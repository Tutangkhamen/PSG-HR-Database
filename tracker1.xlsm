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0" windowWidth="20730" windowHeight="9735" tabRatio="801"/>
  </bookViews>
  <sheets>
    <sheet name="Main" sheetId="1" r:id="rId1"/>
    <sheet name="May 12" sheetId="29" r:id="rId2"/>
    <sheet name="Apr 23" sheetId="28" state="hidden" r:id="rId3"/>
    <sheet name="DBM" sheetId="17" r:id="rId4"/>
    <sheet name="Print" sheetId="2" r:id="rId5"/>
    <sheet name="Report" sheetId="12" r:id="rId6"/>
    <sheet name="Payroll Cutoff" sheetId="3" r:id="rId7"/>
    <sheet name="Employee Information" sheetId="6" r:id="rId8"/>
    <sheet name="Recurring Earning" sheetId="10" r:id="rId9"/>
    <sheet name="Feb 3" sheetId="5" state="hidden" r:id="rId10"/>
    <sheet name="Feb 10" sheetId="14" state="hidden" r:id="rId11"/>
    <sheet name="Feb 13" sheetId="15" state="hidden" r:id="rId12"/>
    <sheet name="Feb 27" sheetId="19" state="hidden" r:id="rId13"/>
    <sheet name="Mar 5" sheetId="20" state="hidden" r:id="rId14"/>
    <sheet name="Mar 12" sheetId="22" state="hidden" r:id="rId15"/>
    <sheet name="Mar 18" sheetId="23" state="hidden" r:id="rId16"/>
    <sheet name="Apr 8" sheetId="24" state="hidden" r:id="rId17"/>
    <sheet name="Salary Adjustments" sheetId="8" r:id="rId18"/>
    <sheet name="Sheet2" sheetId="26" r:id="rId19"/>
    <sheet name="Sheet3" sheetId="27" r:id="rId20"/>
  </sheets>
  <externalReferences>
    <externalReference r:id="rId21"/>
    <externalReference r:id="rId22"/>
    <externalReference r:id="rId23"/>
  </externalReferences>
  <definedNames>
    <definedName name="_xlnm._FilterDatabase" localSheetId="3" hidden="1">DBM!$A$1:$AN$419</definedName>
    <definedName name="_xlnm._FilterDatabase" localSheetId="7" hidden="1">'Employee Information'!$K$2:$Q$75</definedName>
    <definedName name="_xlnm._FilterDatabase" localSheetId="0" hidden="1">Main!$A$1:$DB$290</definedName>
    <definedName name="_xlnm._FilterDatabase" localSheetId="8" hidden="1">'Recurring Earning'!$A$4:$M$56</definedName>
    <definedName name="_xlnm._FilterDatabase" localSheetId="17" hidden="1">'Salary Adjustments'!$A$3:$K$3</definedName>
    <definedName name="_xlnm._FilterDatabase" localSheetId="18" hidden="1">Sheet2!$E$1:$E$105</definedName>
    <definedName name="Approval">[1]Reference!$I$2:$I$3</definedName>
    <definedName name="Blank">[2]Reference!$E$2</definedName>
    <definedName name="dd" localSheetId="2">#REF!</definedName>
    <definedName name="dd" localSheetId="16">#REF!</definedName>
    <definedName name="dd" localSheetId="10">#REF!</definedName>
    <definedName name="dd" localSheetId="11">#REF!</definedName>
    <definedName name="dd" localSheetId="12">#REF!</definedName>
    <definedName name="dd" localSheetId="14">#REF!</definedName>
    <definedName name="dd" localSheetId="15">#REF!</definedName>
    <definedName name="dd" localSheetId="13">#REF!</definedName>
    <definedName name="dd" localSheetId="1">#REF!</definedName>
    <definedName name="dd" localSheetId="17">#REF!</definedName>
    <definedName name="dd">#REF!</definedName>
    <definedName name="Decision">[2]Reference!$D$2:$D$4</definedName>
    <definedName name="ff" localSheetId="2">#REF!</definedName>
    <definedName name="ff" localSheetId="16">#REF!</definedName>
    <definedName name="ff" localSheetId="10">#REF!</definedName>
    <definedName name="ff" localSheetId="11">#REF!</definedName>
    <definedName name="ff" localSheetId="12">#REF!</definedName>
    <definedName name="ff" localSheetId="14">#REF!</definedName>
    <definedName name="ff" localSheetId="15">#REF!</definedName>
    <definedName name="ff" localSheetId="13">#REF!</definedName>
    <definedName name="ff" localSheetId="1">#REF!</definedName>
    <definedName name="ff" localSheetId="17">#REF!</definedName>
    <definedName name="ff">#REF!</definedName>
    <definedName name="kkk" localSheetId="2">#REF!</definedName>
    <definedName name="kkk" localSheetId="16">#REF!</definedName>
    <definedName name="kkk" localSheetId="10">#REF!</definedName>
    <definedName name="kkk" localSheetId="11">#REF!</definedName>
    <definedName name="kkk" localSheetId="12">#REF!</definedName>
    <definedName name="kkk" localSheetId="14">#REF!</definedName>
    <definedName name="kkk" localSheetId="15">#REF!</definedName>
    <definedName name="kkk" localSheetId="13">#REF!</definedName>
    <definedName name="kkk" localSheetId="1">#REF!</definedName>
    <definedName name="kkk" localSheetId="17">#REF!</definedName>
    <definedName name="kkk">#REF!</definedName>
    <definedName name="Leaders">[1]Reference!$L$2:$L$13</definedName>
    <definedName name="Nature">[2]Reference!$B$2:$B$9</definedName>
    <definedName name="Night_Schedules">[3]Schedules!$A$3:$A$73</definedName>
    <definedName name="OTCategory">[1]Reference!$J$2:$J$5</definedName>
    <definedName name="_xlnm.Print_Area" localSheetId="0">Main!$C$125:$D$273</definedName>
    <definedName name="_xlnm.Print_Area" localSheetId="4">Print!$J$52:$K$76</definedName>
    <definedName name="_xlnm.Print_Area" localSheetId="19">Sheet3!$A$1:$C$5</definedName>
    <definedName name="Reasons">[2]Reference!$A$2:$A$9</definedName>
    <definedName name="Save_OT?" localSheetId="2">#REF!</definedName>
    <definedName name="Save_OT?" localSheetId="16">#REF!</definedName>
    <definedName name="Save_OT?" localSheetId="10">#REF!</definedName>
    <definedName name="Save_OT?" localSheetId="11">#REF!</definedName>
    <definedName name="Save_OT?" localSheetId="12">#REF!</definedName>
    <definedName name="Save_OT?" localSheetId="14">#REF!</definedName>
    <definedName name="Save_OT?" localSheetId="15">#REF!</definedName>
    <definedName name="Save_OT?" localSheetId="13">#REF!</definedName>
    <definedName name="Save_OT?" localSheetId="1">#REF!</definedName>
    <definedName name="Save_OT?" localSheetId="17">#REF!</definedName>
    <definedName name="Save_OT?">#REF!</definedName>
  </definedNames>
  <calcPr calcId="144525"/>
  <pivotCaches>
    <pivotCache cacheId="0" r:id="rId24"/>
  </pivotCaches>
</workbook>
</file>

<file path=xl/calcChain.xml><?xml version="1.0" encoding="utf-8"?>
<calcChain xmlns="http://schemas.openxmlformats.org/spreadsheetml/2006/main">
  <c r="Q6" i="6" l="1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" i="2"/>
  <c r="A284" i="17"/>
  <c r="B284" i="17"/>
  <c r="C284" i="17"/>
  <c r="D284" i="17"/>
  <c r="E284" i="17"/>
  <c r="F284" i="17"/>
  <c r="G284" i="17"/>
  <c r="H284" i="17"/>
  <c r="I284" i="17"/>
  <c r="J284" i="17"/>
  <c r="K284" i="17"/>
  <c r="L284" i="17"/>
  <c r="M284" i="17"/>
  <c r="N284" i="17"/>
  <c r="O284" i="17"/>
  <c r="P284" i="17"/>
  <c r="Q284" i="17"/>
  <c r="R284" i="17"/>
  <c r="S284" i="17"/>
  <c r="T284" i="17"/>
  <c r="U284" i="17"/>
  <c r="V284" i="17"/>
  <c r="W284" i="17"/>
  <c r="X284" i="17"/>
  <c r="Y284" i="17"/>
  <c r="Z284" i="17"/>
  <c r="AA284" i="17"/>
  <c r="AB284" i="17"/>
  <c r="AC284" i="17"/>
  <c r="AD284" i="17"/>
  <c r="AE284" i="17"/>
  <c r="AF284" i="17"/>
  <c r="AG284" i="17"/>
  <c r="AH284" i="17"/>
  <c r="AI284" i="17"/>
  <c r="AJ284" i="17"/>
  <c r="AK284" i="17"/>
  <c r="AL284" i="17"/>
  <c r="AM284" i="17"/>
  <c r="AN284" i="17"/>
  <c r="A285" i="17"/>
  <c r="B285" i="17"/>
  <c r="C285" i="17"/>
  <c r="D285" i="17"/>
  <c r="E285" i="17"/>
  <c r="F285" i="17"/>
  <c r="G285" i="17"/>
  <c r="H285" i="17"/>
  <c r="I285" i="17"/>
  <c r="J285" i="17"/>
  <c r="K285" i="17"/>
  <c r="L285" i="17"/>
  <c r="M285" i="17"/>
  <c r="N285" i="17"/>
  <c r="O285" i="17"/>
  <c r="P285" i="17"/>
  <c r="Q285" i="17"/>
  <c r="R285" i="17"/>
  <c r="S285" i="17"/>
  <c r="T285" i="17"/>
  <c r="U285" i="17"/>
  <c r="V285" i="17"/>
  <c r="W285" i="17"/>
  <c r="X285" i="17"/>
  <c r="Y285" i="17"/>
  <c r="Z285" i="17"/>
  <c r="AA285" i="17"/>
  <c r="AB285" i="17"/>
  <c r="AC285" i="17"/>
  <c r="AD285" i="17"/>
  <c r="AE285" i="17"/>
  <c r="AF285" i="17"/>
  <c r="AG285" i="17"/>
  <c r="AH285" i="17"/>
  <c r="AI285" i="17"/>
  <c r="AJ285" i="17"/>
  <c r="AK285" i="17"/>
  <c r="AL285" i="17"/>
  <c r="AM285" i="17"/>
  <c r="AN285" i="17"/>
  <c r="A286" i="17"/>
  <c r="B286" i="17"/>
  <c r="C286" i="17"/>
  <c r="D286" i="17"/>
  <c r="E286" i="17"/>
  <c r="F286" i="17"/>
  <c r="G286" i="17"/>
  <c r="H286" i="17"/>
  <c r="I286" i="17"/>
  <c r="J286" i="17"/>
  <c r="K286" i="17"/>
  <c r="L286" i="17"/>
  <c r="M286" i="17"/>
  <c r="N286" i="17"/>
  <c r="O286" i="17"/>
  <c r="P286" i="17"/>
  <c r="Q286" i="17"/>
  <c r="R286" i="17"/>
  <c r="S286" i="17"/>
  <c r="T286" i="17"/>
  <c r="U286" i="17"/>
  <c r="V286" i="17"/>
  <c r="W286" i="17"/>
  <c r="X286" i="17"/>
  <c r="Y286" i="17"/>
  <c r="Z286" i="17"/>
  <c r="AA286" i="17"/>
  <c r="AB286" i="17"/>
  <c r="AC286" i="17"/>
  <c r="AD286" i="17"/>
  <c r="AE286" i="17"/>
  <c r="AF286" i="17"/>
  <c r="AG286" i="17"/>
  <c r="AH286" i="17"/>
  <c r="AI286" i="17"/>
  <c r="AJ286" i="17"/>
  <c r="AK286" i="17"/>
  <c r="AL286" i="17"/>
  <c r="AM286" i="17"/>
  <c r="AN286" i="17"/>
  <c r="A287" i="17"/>
  <c r="B287" i="17"/>
  <c r="C287" i="17"/>
  <c r="D287" i="17"/>
  <c r="E287" i="17"/>
  <c r="F287" i="17"/>
  <c r="G287" i="17"/>
  <c r="H287" i="17"/>
  <c r="I287" i="17"/>
  <c r="J287" i="17"/>
  <c r="K287" i="17"/>
  <c r="L287" i="17"/>
  <c r="M287" i="17"/>
  <c r="N287" i="17"/>
  <c r="O287" i="17"/>
  <c r="P287" i="17"/>
  <c r="Q287" i="17"/>
  <c r="R287" i="17"/>
  <c r="S287" i="17"/>
  <c r="T287" i="17"/>
  <c r="U287" i="17"/>
  <c r="V287" i="17"/>
  <c r="W287" i="17"/>
  <c r="X287" i="17"/>
  <c r="Y287" i="17"/>
  <c r="Z287" i="17"/>
  <c r="AA287" i="17"/>
  <c r="AB287" i="17"/>
  <c r="AC287" i="17"/>
  <c r="AD287" i="17"/>
  <c r="AE287" i="17"/>
  <c r="AF287" i="17"/>
  <c r="AG287" i="17"/>
  <c r="AH287" i="17"/>
  <c r="AI287" i="17"/>
  <c r="AJ287" i="17"/>
  <c r="AK287" i="17"/>
  <c r="AL287" i="17"/>
  <c r="AM287" i="17"/>
  <c r="AN287" i="17"/>
  <c r="A288" i="17"/>
  <c r="B288" i="17"/>
  <c r="C288" i="17"/>
  <c r="D288" i="17"/>
  <c r="E288" i="17"/>
  <c r="F288" i="17"/>
  <c r="G288" i="17"/>
  <c r="H288" i="17"/>
  <c r="I288" i="17"/>
  <c r="J288" i="17"/>
  <c r="K288" i="17"/>
  <c r="L288" i="17"/>
  <c r="M288" i="17"/>
  <c r="N288" i="17"/>
  <c r="O288" i="17"/>
  <c r="P288" i="17"/>
  <c r="Q288" i="17"/>
  <c r="R288" i="17"/>
  <c r="S288" i="17"/>
  <c r="T288" i="17"/>
  <c r="U288" i="17"/>
  <c r="V288" i="17"/>
  <c r="W288" i="17"/>
  <c r="X288" i="17"/>
  <c r="Y288" i="17"/>
  <c r="Z288" i="17"/>
  <c r="AA288" i="17"/>
  <c r="AB288" i="17"/>
  <c r="AC288" i="17"/>
  <c r="AD288" i="17"/>
  <c r="AE288" i="17"/>
  <c r="AF288" i="17"/>
  <c r="AG288" i="17"/>
  <c r="AH288" i="17"/>
  <c r="AI288" i="17"/>
  <c r="AJ288" i="17"/>
  <c r="AK288" i="17"/>
  <c r="AL288" i="17"/>
  <c r="AM288" i="17"/>
  <c r="AN288" i="17"/>
  <c r="A279" i="17"/>
  <c r="B279" i="17"/>
  <c r="C279" i="17"/>
  <c r="D279" i="17"/>
  <c r="E279" i="17"/>
  <c r="F279" i="17"/>
  <c r="G279" i="17"/>
  <c r="H279" i="17"/>
  <c r="I279" i="17"/>
  <c r="J279" i="17"/>
  <c r="K279" i="17"/>
  <c r="L279" i="17"/>
  <c r="M279" i="17"/>
  <c r="N279" i="17"/>
  <c r="O279" i="17"/>
  <c r="P279" i="17"/>
  <c r="Q279" i="17"/>
  <c r="R279" i="17"/>
  <c r="S279" i="17"/>
  <c r="T279" i="17"/>
  <c r="U279" i="17"/>
  <c r="V279" i="17"/>
  <c r="W279" i="17"/>
  <c r="X279" i="17"/>
  <c r="Y279" i="17"/>
  <c r="Z279" i="17"/>
  <c r="AA279" i="17"/>
  <c r="AB279" i="17"/>
  <c r="AC279" i="17"/>
  <c r="AD279" i="17"/>
  <c r="AE279" i="17"/>
  <c r="AF279" i="17"/>
  <c r="AG279" i="17"/>
  <c r="AH279" i="17"/>
  <c r="AI279" i="17"/>
  <c r="AJ279" i="17"/>
  <c r="AK279" i="17"/>
  <c r="AL279" i="17"/>
  <c r="AM279" i="17"/>
  <c r="AN279" i="17"/>
  <c r="A280" i="17"/>
  <c r="B280" i="17"/>
  <c r="C280" i="17"/>
  <c r="D280" i="17"/>
  <c r="E280" i="17"/>
  <c r="F280" i="17"/>
  <c r="G280" i="17"/>
  <c r="H280" i="17"/>
  <c r="I280" i="17"/>
  <c r="J280" i="17"/>
  <c r="K280" i="17"/>
  <c r="L280" i="17"/>
  <c r="M280" i="17"/>
  <c r="N280" i="17"/>
  <c r="O280" i="17"/>
  <c r="P280" i="17"/>
  <c r="Q280" i="17"/>
  <c r="R280" i="17"/>
  <c r="S280" i="17"/>
  <c r="T280" i="17"/>
  <c r="U280" i="17"/>
  <c r="V280" i="17"/>
  <c r="W280" i="17"/>
  <c r="X280" i="17"/>
  <c r="Y280" i="17"/>
  <c r="Z280" i="17"/>
  <c r="AA280" i="17"/>
  <c r="AB280" i="17"/>
  <c r="AC280" i="17"/>
  <c r="AD280" i="17"/>
  <c r="AE280" i="17"/>
  <c r="AF280" i="17"/>
  <c r="AG280" i="17"/>
  <c r="AH280" i="17"/>
  <c r="AI280" i="17"/>
  <c r="AJ280" i="17"/>
  <c r="AK280" i="17"/>
  <c r="AL280" i="17"/>
  <c r="AM280" i="17"/>
  <c r="AN280" i="17"/>
  <c r="A281" i="17"/>
  <c r="B281" i="17"/>
  <c r="C281" i="17"/>
  <c r="D281" i="17"/>
  <c r="E281" i="17"/>
  <c r="F281" i="17"/>
  <c r="G281" i="17"/>
  <c r="H281" i="17"/>
  <c r="I281" i="17"/>
  <c r="J281" i="17"/>
  <c r="K281" i="17"/>
  <c r="L281" i="17"/>
  <c r="M281" i="17"/>
  <c r="N281" i="17"/>
  <c r="O281" i="17"/>
  <c r="P281" i="17"/>
  <c r="Q281" i="17"/>
  <c r="R281" i="17"/>
  <c r="S281" i="17"/>
  <c r="T281" i="17"/>
  <c r="U281" i="17"/>
  <c r="V281" i="17"/>
  <c r="W281" i="17"/>
  <c r="X281" i="17"/>
  <c r="Y281" i="17"/>
  <c r="Z281" i="17"/>
  <c r="AA281" i="17"/>
  <c r="AB281" i="17"/>
  <c r="AC281" i="17"/>
  <c r="AD281" i="17"/>
  <c r="AE281" i="17"/>
  <c r="AF281" i="17"/>
  <c r="AG281" i="17"/>
  <c r="AH281" i="17"/>
  <c r="AI281" i="17"/>
  <c r="AJ281" i="17"/>
  <c r="AK281" i="17"/>
  <c r="AL281" i="17"/>
  <c r="AM281" i="17"/>
  <c r="AN281" i="17"/>
  <c r="A282" i="17"/>
  <c r="B282" i="17"/>
  <c r="C282" i="17"/>
  <c r="D282" i="17"/>
  <c r="E282" i="17"/>
  <c r="F282" i="17"/>
  <c r="G282" i="17"/>
  <c r="H282" i="17"/>
  <c r="I282" i="17"/>
  <c r="J282" i="17"/>
  <c r="K282" i="17"/>
  <c r="L282" i="17"/>
  <c r="M282" i="17"/>
  <c r="N282" i="17"/>
  <c r="O282" i="17"/>
  <c r="P282" i="17"/>
  <c r="Q282" i="17"/>
  <c r="R282" i="17"/>
  <c r="S282" i="17"/>
  <c r="T282" i="17"/>
  <c r="U282" i="17"/>
  <c r="V282" i="17"/>
  <c r="W282" i="17"/>
  <c r="X282" i="17"/>
  <c r="Y282" i="17"/>
  <c r="Z282" i="17"/>
  <c r="AA282" i="17"/>
  <c r="AB282" i="17"/>
  <c r="AC282" i="17"/>
  <c r="AD282" i="17"/>
  <c r="AE282" i="17"/>
  <c r="AF282" i="17"/>
  <c r="AG282" i="17"/>
  <c r="AH282" i="17"/>
  <c r="AI282" i="17"/>
  <c r="AJ282" i="17"/>
  <c r="AK282" i="17"/>
  <c r="AL282" i="17"/>
  <c r="AM282" i="17"/>
  <c r="AN282" i="17"/>
  <c r="A283" i="17"/>
  <c r="B283" i="17"/>
  <c r="C283" i="17"/>
  <c r="D283" i="17"/>
  <c r="E283" i="17"/>
  <c r="F283" i="17"/>
  <c r="G283" i="17"/>
  <c r="H283" i="17"/>
  <c r="I283" i="17"/>
  <c r="J283" i="17"/>
  <c r="K283" i="17"/>
  <c r="L283" i="17"/>
  <c r="M283" i="17"/>
  <c r="N283" i="17"/>
  <c r="O283" i="17"/>
  <c r="P283" i="17"/>
  <c r="Q283" i="17"/>
  <c r="R283" i="17"/>
  <c r="S283" i="17"/>
  <c r="T283" i="17"/>
  <c r="U283" i="17"/>
  <c r="V283" i="17"/>
  <c r="W283" i="17"/>
  <c r="X283" i="17"/>
  <c r="Y283" i="17"/>
  <c r="Z283" i="17"/>
  <c r="AA283" i="17"/>
  <c r="AB283" i="17"/>
  <c r="AC283" i="17"/>
  <c r="AD283" i="17"/>
  <c r="AE283" i="17"/>
  <c r="AF283" i="17"/>
  <c r="AG283" i="17"/>
  <c r="AH283" i="17"/>
  <c r="AI283" i="17"/>
  <c r="AJ283" i="17"/>
  <c r="AK283" i="17"/>
  <c r="AL283" i="17"/>
  <c r="AM283" i="17"/>
  <c r="AN283" i="17"/>
  <c r="A273" i="17"/>
  <c r="B273" i="17"/>
  <c r="C273" i="17"/>
  <c r="D273" i="17"/>
  <c r="E273" i="17"/>
  <c r="F273" i="17"/>
  <c r="G273" i="17"/>
  <c r="H273" i="17"/>
  <c r="I273" i="17"/>
  <c r="J273" i="17"/>
  <c r="K273" i="17"/>
  <c r="L273" i="17"/>
  <c r="M273" i="17"/>
  <c r="N273" i="17"/>
  <c r="O273" i="17"/>
  <c r="P273" i="17"/>
  <c r="Q273" i="17"/>
  <c r="R273" i="17"/>
  <c r="S273" i="17"/>
  <c r="T273" i="17"/>
  <c r="U273" i="17"/>
  <c r="V273" i="17"/>
  <c r="W273" i="17"/>
  <c r="X273" i="17"/>
  <c r="Y273" i="17"/>
  <c r="Z273" i="17"/>
  <c r="AA273" i="17"/>
  <c r="AB273" i="17"/>
  <c r="AC273" i="17"/>
  <c r="AD273" i="17"/>
  <c r="AE273" i="17"/>
  <c r="AF273" i="17"/>
  <c r="AG273" i="17"/>
  <c r="AH273" i="17"/>
  <c r="AI273" i="17"/>
  <c r="AJ273" i="17"/>
  <c r="AK273" i="17"/>
  <c r="AL273" i="17"/>
  <c r="AM273" i="17"/>
  <c r="AN273" i="17"/>
  <c r="A274" i="17"/>
  <c r="B274" i="17"/>
  <c r="C274" i="17"/>
  <c r="D274" i="17"/>
  <c r="E274" i="17"/>
  <c r="F274" i="17"/>
  <c r="G274" i="17"/>
  <c r="H274" i="17"/>
  <c r="I274" i="17"/>
  <c r="J274" i="17"/>
  <c r="K274" i="17"/>
  <c r="L274" i="17"/>
  <c r="M274" i="17"/>
  <c r="N274" i="17"/>
  <c r="O274" i="17"/>
  <c r="P274" i="17"/>
  <c r="Q274" i="17"/>
  <c r="R274" i="17"/>
  <c r="S274" i="17"/>
  <c r="T274" i="17"/>
  <c r="U274" i="17"/>
  <c r="V274" i="17"/>
  <c r="W274" i="17"/>
  <c r="X274" i="17"/>
  <c r="Y274" i="17"/>
  <c r="Z274" i="17"/>
  <c r="AA274" i="17"/>
  <c r="AB274" i="17"/>
  <c r="AC274" i="17"/>
  <c r="AD274" i="17"/>
  <c r="AE274" i="17"/>
  <c r="AF274" i="17"/>
  <c r="AG274" i="17"/>
  <c r="AH274" i="17"/>
  <c r="AI274" i="17"/>
  <c r="AJ274" i="17"/>
  <c r="AK274" i="17"/>
  <c r="AL274" i="17"/>
  <c r="AM274" i="17"/>
  <c r="A275" i="17"/>
  <c r="B275" i="17"/>
  <c r="C275" i="17"/>
  <c r="D275" i="17"/>
  <c r="E275" i="17"/>
  <c r="F275" i="17"/>
  <c r="G275" i="17"/>
  <c r="H275" i="17"/>
  <c r="I275" i="17"/>
  <c r="J275" i="17"/>
  <c r="K275" i="17"/>
  <c r="L275" i="17"/>
  <c r="M275" i="17"/>
  <c r="N275" i="17"/>
  <c r="O275" i="17"/>
  <c r="P275" i="17"/>
  <c r="Q275" i="17"/>
  <c r="R275" i="17"/>
  <c r="S275" i="17"/>
  <c r="T275" i="17"/>
  <c r="U275" i="17"/>
  <c r="V275" i="17"/>
  <c r="W275" i="17"/>
  <c r="X275" i="17"/>
  <c r="Y275" i="17"/>
  <c r="Z275" i="17"/>
  <c r="AA275" i="17"/>
  <c r="AB275" i="17"/>
  <c r="AC275" i="17"/>
  <c r="AD275" i="17"/>
  <c r="AE275" i="17"/>
  <c r="AF275" i="17"/>
  <c r="AG275" i="17"/>
  <c r="AH275" i="17"/>
  <c r="AI275" i="17"/>
  <c r="AJ275" i="17"/>
  <c r="AK275" i="17"/>
  <c r="AL275" i="17"/>
  <c r="AM275" i="17"/>
  <c r="AN275" i="17"/>
  <c r="A276" i="17"/>
  <c r="B276" i="17"/>
  <c r="C276" i="17"/>
  <c r="D276" i="17"/>
  <c r="E276" i="17"/>
  <c r="F276" i="17"/>
  <c r="G276" i="17"/>
  <c r="H276" i="17"/>
  <c r="I276" i="17"/>
  <c r="J276" i="17"/>
  <c r="K276" i="17"/>
  <c r="L276" i="17"/>
  <c r="M276" i="17"/>
  <c r="N276" i="17"/>
  <c r="O276" i="17"/>
  <c r="P276" i="17"/>
  <c r="Q276" i="17"/>
  <c r="R276" i="17"/>
  <c r="S276" i="17"/>
  <c r="T276" i="17"/>
  <c r="U276" i="17"/>
  <c r="V276" i="17"/>
  <c r="W276" i="17"/>
  <c r="X276" i="17"/>
  <c r="Y276" i="17"/>
  <c r="Z276" i="17"/>
  <c r="AA276" i="17"/>
  <c r="AB276" i="17"/>
  <c r="AC276" i="17"/>
  <c r="AD276" i="17"/>
  <c r="AE276" i="17"/>
  <c r="AF276" i="17"/>
  <c r="AG276" i="17"/>
  <c r="AH276" i="17"/>
  <c r="AI276" i="17"/>
  <c r="AJ276" i="17"/>
  <c r="AK276" i="17"/>
  <c r="AL276" i="17"/>
  <c r="AM276" i="17"/>
  <c r="AN276" i="17"/>
  <c r="A277" i="17"/>
  <c r="B277" i="17"/>
  <c r="C277" i="17"/>
  <c r="D277" i="17"/>
  <c r="E277" i="17"/>
  <c r="F277" i="17"/>
  <c r="G277" i="17"/>
  <c r="H277" i="17"/>
  <c r="I277" i="17"/>
  <c r="J277" i="17"/>
  <c r="K277" i="17"/>
  <c r="L277" i="17"/>
  <c r="M277" i="17"/>
  <c r="N277" i="17"/>
  <c r="O277" i="17"/>
  <c r="P277" i="17"/>
  <c r="Q277" i="17"/>
  <c r="R277" i="17"/>
  <c r="S277" i="17"/>
  <c r="T277" i="17"/>
  <c r="U277" i="17"/>
  <c r="V277" i="17"/>
  <c r="W277" i="17"/>
  <c r="X277" i="17"/>
  <c r="Y277" i="17"/>
  <c r="Z277" i="17"/>
  <c r="AA277" i="17"/>
  <c r="AB277" i="17"/>
  <c r="AC277" i="17"/>
  <c r="AD277" i="17"/>
  <c r="AE277" i="17"/>
  <c r="AF277" i="17"/>
  <c r="AG277" i="17"/>
  <c r="AH277" i="17"/>
  <c r="AI277" i="17"/>
  <c r="AJ277" i="17"/>
  <c r="AK277" i="17"/>
  <c r="AL277" i="17"/>
  <c r="AM277" i="17"/>
  <c r="AN277" i="17"/>
  <c r="A278" i="17"/>
  <c r="B278" i="17"/>
  <c r="C278" i="17"/>
  <c r="D278" i="17"/>
  <c r="E278" i="17"/>
  <c r="F278" i="17"/>
  <c r="G278" i="17"/>
  <c r="H278" i="17"/>
  <c r="I278" i="17"/>
  <c r="J278" i="17"/>
  <c r="K278" i="17"/>
  <c r="L278" i="17"/>
  <c r="M278" i="17"/>
  <c r="N278" i="17"/>
  <c r="O278" i="17"/>
  <c r="P278" i="17"/>
  <c r="Q278" i="17"/>
  <c r="R278" i="17"/>
  <c r="S278" i="17"/>
  <c r="T278" i="17"/>
  <c r="U278" i="17"/>
  <c r="V278" i="17"/>
  <c r="W278" i="17"/>
  <c r="X278" i="17"/>
  <c r="Y278" i="17"/>
  <c r="Z278" i="17"/>
  <c r="AA278" i="17"/>
  <c r="AB278" i="17"/>
  <c r="AC278" i="17"/>
  <c r="AD278" i="17"/>
  <c r="AE278" i="17"/>
  <c r="AF278" i="17"/>
  <c r="AG278" i="17"/>
  <c r="AH278" i="17"/>
  <c r="AI278" i="17"/>
  <c r="AJ278" i="17"/>
  <c r="AK278" i="17"/>
  <c r="AL278" i="17"/>
  <c r="AM278" i="17"/>
  <c r="AN278" i="17"/>
  <c r="S274" i="1" l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BW289" i="1"/>
  <c r="BY289" i="1"/>
  <c r="CA289" i="1"/>
  <c r="CB289" i="1" s="1"/>
  <c r="BW274" i="1"/>
  <c r="BY274" i="1"/>
  <c r="CA274" i="1"/>
  <c r="CB274" i="1" s="1"/>
  <c r="BW275" i="1"/>
  <c r="AN274" i="17" s="1"/>
  <c r="BY275" i="1"/>
  <c r="CA275" i="1"/>
  <c r="CB275" i="1" s="1"/>
  <c r="CC275" i="1" s="1"/>
  <c r="CI275" i="1"/>
  <c r="BW276" i="1"/>
  <c r="BY276" i="1"/>
  <c r="CA276" i="1"/>
  <c r="CB276" i="1" s="1"/>
  <c r="CC276" i="1" s="1"/>
  <c r="BW277" i="1"/>
  <c r="BY277" i="1"/>
  <c r="CA277" i="1"/>
  <c r="CI277" i="1" s="1"/>
  <c r="BW278" i="1"/>
  <c r="BY278" i="1"/>
  <c r="CA278" i="1"/>
  <c r="CB278" i="1" s="1"/>
  <c r="CC278" i="1" s="1"/>
  <c r="BW279" i="1"/>
  <c r="BY279" i="1"/>
  <c r="CA279" i="1"/>
  <c r="CB279" i="1" s="1"/>
  <c r="CH279" i="1" s="1"/>
  <c r="BW280" i="1"/>
  <c r="BY280" i="1"/>
  <c r="CA280" i="1"/>
  <c r="CB280" i="1" s="1"/>
  <c r="CC280" i="1" s="1"/>
  <c r="BW281" i="1"/>
  <c r="BY281" i="1"/>
  <c r="CA281" i="1"/>
  <c r="CB281" i="1" s="1"/>
  <c r="CH281" i="1" s="1"/>
  <c r="BW282" i="1"/>
  <c r="BY282" i="1"/>
  <c r="CA282" i="1"/>
  <c r="CB282" i="1" s="1"/>
  <c r="CC282" i="1" s="1"/>
  <c r="CI282" i="1"/>
  <c r="BW283" i="1"/>
  <c r="BY283" i="1"/>
  <c r="CA283" i="1"/>
  <c r="CI283" i="1" s="1"/>
  <c r="BW284" i="1"/>
  <c r="BY284" i="1"/>
  <c r="CA284" i="1"/>
  <c r="CB284" i="1" s="1"/>
  <c r="BW285" i="1"/>
  <c r="BY285" i="1"/>
  <c r="CA285" i="1"/>
  <c r="CB285" i="1" s="1"/>
  <c r="CC285" i="1" s="1"/>
  <c r="BW286" i="1"/>
  <c r="BY286" i="1"/>
  <c r="CA286" i="1"/>
  <c r="CB286" i="1" s="1"/>
  <c r="BW287" i="1"/>
  <c r="BY287" i="1"/>
  <c r="CA287" i="1"/>
  <c r="CI287" i="1" s="1"/>
  <c r="BW288" i="1"/>
  <c r="BY288" i="1"/>
  <c r="CA288" i="1"/>
  <c r="CB288" i="1" s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CG282" i="1" l="1"/>
  <c r="CE282" i="1" s="1"/>
  <c r="CI274" i="1"/>
  <c r="CB287" i="1"/>
  <c r="CH287" i="1" s="1"/>
  <c r="CI286" i="1"/>
  <c r="CH282" i="1"/>
  <c r="CI281" i="1"/>
  <c r="CG278" i="1"/>
  <c r="CE278" i="1" s="1"/>
  <c r="CB277" i="1"/>
  <c r="CH277" i="1" s="1"/>
  <c r="CI276" i="1"/>
  <c r="CI288" i="1"/>
  <c r="CB283" i="1"/>
  <c r="CG283" i="1" s="1"/>
  <c r="CI280" i="1"/>
  <c r="CI279" i="1"/>
  <c r="CI285" i="1"/>
  <c r="CI284" i="1"/>
  <c r="CI278" i="1"/>
  <c r="CH275" i="1"/>
  <c r="CC289" i="1"/>
  <c r="CH286" i="1"/>
  <c r="CC286" i="1"/>
  <c r="CG286" i="1"/>
  <c r="CC288" i="1"/>
  <c r="CG288" i="1"/>
  <c r="CH288" i="1"/>
  <c r="CC284" i="1"/>
  <c r="CG284" i="1"/>
  <c r="CH284" i="1"/>
  <c r="CH285" i="1"/>
  <c r="CG285" i="1"/>
  <c r="CG280" i="1"/>
  <c r="CC279" i="1"/>
  <c r="CG279" i="1"/>
  <c r="CH278" i="1"/>
  <c r="CG276" i="1"/>
  <c r="CC281" i="1"/>
  <c r="CG281" i="1"/>
  <c r="CH280" i="1"/>
  <c r="CC277" i="1"/>
  <c r="CG277" i="1"/>
  <c r="CH276" i="1"/>
  <c r="CC274" i="1"/>
  <c r="CG274" i="1"/>
  <c r="CH274" i="1"/>
  <c r="CG275" i="1"/>
  <c r="CF282" i="1" l="1"/>
  <c r="CF278" i="1"/>
  <c r="CD282" i="1"/>
  <c r="CC287" i="1"/>
  <c r="CD278" i="1"/>
  <c r="CG287" i="1"/>
  <c r="CD287" i="1" s="1"/>
  <c r="CC283" i="1"/>
  <c r="CH283" i="1"/>
  <c r="CE275" i="1"/>
  <c r="CD275" i="1"/>
  <c r="CF275" i="1"/>
  <c r="CE281" i="1"/>
  <c r="CF281" i="1"/>
  <c r="CD281" i="1"/>
  <c r="CE274" i="1"/>
  <c r="CD274" i="1"/>
  <c r="CF274" i="1"/>
  <c r="CE277" i="1"/>
  <c r="CF277" i="1"/>
  <c r="CD277" i="1"/>
  <c r="CD276" i="1"/>
  <c r="CF276" i="1"/>
  <c r="CE276" i="1"/>
  <c r="CE288" i="1"/>
  <c r="CD288" i="1"/>
  <c r="CF288" i="1"/>
  <c r="CE279" i="1"/>
  <c r="CD279" i="1"/>
  <c r="CF279" i="1"/>
  <c r="CD280" i="1"/>
  <c r="CF280" i="1"/>
  <c r="CE280" i="1"/>
  <c r="CD283" i="1"/>
  <c r="CF283" i="1"/>
  <c r="CE283" i="1"/>
  <c r="CE285" i="1"/>
  <c r="CD285" i="1"/>
  <c r="CF285" i="1"/>
  <c r="CE284" i="1"/>
  <c r="CD284" i="1"/>
  <c r="CF284" i="1"/>
  <c r="CD286" i="1"/>
  <c r="CF286" i="1"/>
  <c r="CE286" i="1"/>
  <c r="CF287" i="1" l="1"/>
  <c r="CE28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J247" i="17" l="1"/>
  <c r="J248" i="17"/>
  <c r="J249" i="17"/>
  <c r="J250" i="17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J267" i="17"/>
  <c r="J268" i="17"/>
  <c r="J269" i="17"/>
  <c r="J270" i="17"/>
  <c r="J271" i="17"/>
  <c r="J272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A247" i="17"/>
  <c r="B247" i="17"/>
  <c r="A248" i="17"/>
  <c r="B248" i="17"/>
  <c r="A249" i="17"/>
  <c r="B249" i="17"/>
  <c r="A250" i="17"/>
  <c r="B250" i="17"/>
  <c r="A251" i="17"/>
  <c r="B251" i="17"/>
  <c r="A252" i="17"/>
  <c r="B252" i="17"/>
  <c r="A253" i="17"/>
  <c r="B253" i="17"/>
  <c r="A254" i="17"/>
  <c r="B254" i="17"/>
  <c r="A255" i="17"/>
  <c r="B255" i="17"/>
  <c r="A256" i="17"/>
  <c r="B256" i="17"/>
  <c r="A257" i="17"/>
  <c r="B257" i="17"/>
  <c r="A258" i="17"/>
  <c r="B258" i="17"/>
  <c r="A259" i="17"/>
  <c r="B259" i="17"/>
  <c r="A260" i="17"/>
  <c r="B260" i="17"/>
  <c r="A261" i="17"/>
  <c r="B261" i="17"/>
  <c r="A262" i="17"/>
  <c r="B262" i="17"/>
  <c r="A263" i="17"/>
  <c r="B263" i="17"/>
  <c r="A264" i="17"/>
  <c r="B264" i="17"/>
  <c r="A265" i="17"/>
  <c r="B265" i="17"/>
  <c r="A266" i="17"/>
  <c r="B266" i="17"/>
  <c r="A267" i="17"/>
  <c r="B267" i="17"/>
  <c r="A268" i="17"/>
  <c r="B268" i="17"/>
  <c r="A269" i="17"/>
  <c r="B269" i="17"/>
  <c r="A270" i="17"/>
  <c r="B270" i="17"/>
  <c r="A271" i="17"/>
  <c r="B271" i="17"/>
  <c r="A272" i="17"/>
  <c r="B272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BW267" i="1" l="1"/>
  <c r="BW268" i="1"/>
  <c r="BW269" i="1"/>
  <c r="BW270" i="1"/>
  <c r="BW271" i="1"/>
  <c r="BW272" i="1"/>
  <c r="BW273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CA247" i="1"/>
  <c r="CB247" i="1" s="1"/>
  <c r="CL248" i="1" s="1"/>
  <c r="CA248" i="1"/>
  <c r="CB248" i="1" s="1"/>
  <c r="CA249" i="1"/>
  <c r="CB249" i="1" s="1"/>
  <c r="CC249" i="1" s="1"/>
  <c r="CA250" i="1"/>
  <c r="CB250" i="1" s="1"/>
  <c r="CH250" i="1" s="1"/>
  <c r="CA251" i="1"/>
  <c r="CB251" i="1" s="1"/>
  <c r="CG251" i="1" s="1"/>
  <c r="CE251" i="1" s="1"/>
  <c r="CA252" i="1"/>
  <c r="CB252" i="1" s="1"/>
  <c r="CH252" i="1" s="1"/>
  <c r="CA253" i="1"/>
  <c r="CB253" i="1" s="1"/>
  <c r="CC253" i="1" s="1"/>
  <c r="CA254" i="1"/>
  <c r="CB254" i="1" s="1"/>
  <c r="CH254" i="1" s="1"/>
  <c r="CA255" i="1"/>
  <c r="CB255" i="1" s="1"/>
  <c r="CC255" i="1" s="1"/>
  <c r="CA256" i="1"/>
  <c r="CB256" i="1" s="1"/>
  <c r="CH256" i="1" s="1"/>
  <c r="CA257" i="1"/>
  <c r="CB257" i="1" s="1"/>
  <c r="CC257" i="1" s="1"/>
  <c r="CA258" i="1"/>
  <c r="CB258" i="1" s="1"/>
  <c r="CH258" i="1" s="1"/>
  <c r="CA259" i="1"/>
  <c r="CB259" i="1" s="1"/>
  <c r="CC259" i="1" s="1"/>
  <c r="CA260" i="1"/>
  <c r="CB260" i="1" s="1"/>
  <c r="CH260" i="1" s="1"/>
  <c r="CA261" i="1"/>
  <c r="CB261" i="1" s="1"/>
  <c r="CC261" i="1" s="1"/>
  <c r="CA262" i="1"/>
  <c r="CB262" i="1" s="1"/>
  <c r="CH262" i="1" s="1"/>
  <c r="CA263" i="1"/>
  <c r="CB263" i="1" s="1"/>
  <c r="CC263" i="1" s="1"/>
  <c r="CA264" i="1"/>
  <c r="CB264" i="1" s="1"/>
  <c r="CH264" i="1" s="1"/>
  <c r="CA265" i="1"/>
  <c r="CB265" i="1" s="1"/>
  <c r="CA266" i="1"/>
  <c r="CI266" i="1" s="1"/>
  <c r="CA267" i="1"/>
  <c r="CB267" i="1" s="1"/>
  <c r="CA268" i="1"/>
  <c r="CI268" i="1" s="1"/>
  <c r="CA269" i="1"/>
  <c r="CB269" i="1" s="1"/>
  <c r="CA270" i="1"/>
  <c r="CB270" i="1" s="1"/>
  <c r="CC270" i="1" s="1"/>
  <c r="CA271" i="1"/>
  <c r="CB271" i="1" s="1"/>
  <c r="CA272" i="1"/>
  <c r="CB272" i="1" s="1"/>
  <c r="CC272" i="1" s="1"/>
  <c r="CA273" i="1"/>
  <c r="CJ274" i="1" s="1"/>
  <c r="CJ275" i="1" s="1"/>
  <c r="CJ276" i="1" s="1"/>
  <c r="CJ277" i="1" s="1"/>
  <c r="CJ278" i="1" s="1"/>
  <c r="CJ279" i="1" s="1"/>
  <c r="CJ280" i="1" s="1"/>
  <c r="CJ281" i="1" s="1"/>
  <c r="CJ282" i="1" s="1"/>
  <c r="CJ283" i="1" s="1"/>
  <c r="CJ284" i="1" s="1"/>
  <c r="CJ285" i="1" s="1"/>
  <c r="CJ286" i="1" s="1"/>
  <c r="CJ287" i="1" s="1"/>
  <c r="CJ288" i="1" s="1"/>
  <c r="CJ289" i="1" s="1"/>
  <c r="CI289" i="1" s="1"/>
  <c r="CI248" i="1" l="1"/>
  <c r="CI272" i="1"/>
  <c r="CI271" i="1"/>
  <c r="CB266" i="1"/>
  <c r="CH266" i="1" s="1"/>
  <c r="CI265" i="1"/>
  <c r="CI264" i="1"/>
  <c r="CI256" i="1"/>
  <c r="CI258" i="1"/>
  <c r="CI255" i="1"/>
  <c r="CI254" i="1"/>
  <c r="CG263" i="1"/>
  <c r="CF263" i="1" s="1"/>
  <c r="CI263" i="1"/>
  <c r="CI262" i="1"/>
  <c r="CI252" i="1"/>
  <c r="CI251" i="1"/>
  <c r="CI250" i="1"/>
  <c r="CI269" i="1"/>
  <c r="CB268" i="1"/>
  <c r="CH268" i="1" s="1"/>
  <c r="CI257" i="1"/>
  <c r="CR248" i="1"/>
  <c r="CR249" i="1" s="1"/>
  <c r="CR250" i="1" s="1"/>
  <c r="CR251" i="1" s="1"/>
  <c r="CR252" i="1" s="1"/>
  <c r="CR253" i="1" s="1"/>
  <c r="CR254" i="1" s="1"/>
  <c r="CR255" i="1" s="1"/>
  <c r="CR256" i="1" s="1"/>
  <c r="CR257" i="1" s="1"/>
  <c r="CR258" i="1" s="1"/>
  <c r="CR259" i="1" s="1"/>
  <c r="CR260" i="1" s="1"/>
  <c r="CR261" i="1" s="1"/>
  <c r="CR262" i="1" s="1"/>
  <c r="CR263" i="1" s="1"/>
  <c r="CR264" i="1" s="1"/>
  <c r="CR265" i="1" s="1"/>
  <c r="CR266" i="1" s="1"/>
  <c r="CR267" i="1" s="1"/>
  <c r="CR268" i="1" s="1"/>
  <c r="CR269" i="1" s="1"/>
  <c r="CR270" i="1" s="1"/>
  <c r="CR271" i="1" s="1"/>
  <c r="CR272" i="1" s="1"/>
  <c r="CR273" i="1" s="1"/>
  <c r="CC248" i="1"/>
  <c r="CH248" i="1"/>
  <c r="CI253" i="1"/>
  <c r="CC251" i="1"/>
  <c r="CG255" i="1"/>
  <c r="CE255" i="1" s="1"/>
  <c r="CI260" i="1"/>
  <c r="CI259" i="1"/>
  <c r="CI270" i="1"/>
  <c r="CG259" i="1"/>
  <c r="CE259" i="1" s="1"/>
  <c r="CI261" i="1"/>
  <c r="CH255" i="1"/>
  <c r="CI249" i="1"/>
  <c r="CN248" i="1"/>
  <c r="CN249" i="1" s="1"/>
  <c r="CN250" i="1" s="1"/>
  <c r="CN251" i="1" s="1"/>
  <c r="CN252" i="1" s="1"/>
  <c r="CN253" i="1" s="1"/>
  <c r="CN254" i="1" s="1"/>
  <c r="CN255" i="1" s="1"/>
  <c r="CN256" i="1" s="1"/>
  <c r="CN257" i="1" s="1"/>
  <c r="CN258" i="1" s="1"/>
  <c r="CN259" i="1" s="1"/>
  <c r="CN260" i="1" s="1"/>
  <c r="CN261" i="1" s="1"/>
  <c r="CN262" i="1" s="1"/>
  <c r="CN263" i="1" s="1"/>
  <c r="CN264" i="1" s="1"/>
  <c r="CN265" i="1" s="1"/>
  <c r="CN266" i="1" s="1"/>
  <c r="CJ248" i="1"/>
  <c r="CJ249" i="1" s="1"/>
  <c r="CJ250" i="1" s="1"/>
  <c r="CJ251" i="1" s="1"/>
  <c r="CJ252" i="1" s="1"/>
  <c r="CJ253" i="1" s="1"/>
  <c r="CJ254" i="1" s="1"/>
  <c r="CJ255" i="1" s="1"/>
  <c r="CJ256" i="1" s="1"/>
  <c r="CJ257" i="1" s="1"/>
  <c r="CJ258" i="1" s="1"/>
  <c r="CJ259" i="1" s="1"/>
  <c r="CJ260" i="1" s="1"/>
  <c r="CJ261" i="1" s="1"/>
  <c r="CJ262" i="1" s="1"/>
  <c r="CJ263" i="1" s="1"/>
  <c r="CJ264" i="1" s="1"/>
  <c r="CJ265" i="1" s="1"/>
  <c r="CJ266" i="1" s="1"/>
  <c r="CJ267" i="1" s="1"/>
  <c r="CJ268" i="1" s="1"/>
  <c r="CJ269" i="1" s="1"/>
  <c r="CJ270" i="1" s="1"/>
  <c r="CJ271" i="1" s="1"/>
  <c r="CJ272" i="1" s="1"/>
  <c r="CJ273" i="1" s="1"/>
  <c r="CI273" i="1" s="1"/>
  <c r="CV248" i="1"/>
  <c r="CV249" i="1" s="1"/>
  <c r="CV250" i="1" s="1"/>
  <c r="CV251" i="1" s="1"/>
  <c r="CV252" i="1" s="1"/>
  <c r="CV253" i="1" s="1"/>
  <c r="CV254" i="1" s="1"/>
  <c r="CV255" i="1" s="1"/>
  <c r="CV256" i="1" s="1"/>
  <c r="CV257" i="1" s="1"/>
  <c r="CV258" i="1" s="1"/>
  <c r="CV259" i="1" s="1"/>
  <c r="CV260" i="1" s="1"/>
  <c r="CV261" i="1" s="1"/>
  <c r="CV262" i="1" s="1"/>
  <c r="CV263" i="1" s="1"/>
  <c r="CV264" i="1" s="1"/>
  <c r="CV265" i="1" s="1"/>
  <c r="CV266" i="1" s="1"/>
  <c r="CH269" i="1"/>
  <c r="CC269" i="1"/>
  <c r="CG269" i="1"/>
  <c r="CH267" i="1"/>
  <c r="CC267" i="1"/>
  <c r="CG267" i="1"/>
  <c r="CC271" i="1"/>
  <c r="CG271" i="1"/>
  <c r="CH271" i="1"/>
  <c r="CH272" i="1"/>
  <c r="CH270" i="1"/>
  <c r="CI267" i="1"/>
  <c r="CH265" i="1"/>
  <c r="CB273" i="1"/>
  <c r="CG272" i="1"/>
  <c r="CG270" i="1"/>
  <c r="CC268" i="1"/>
  <c r="CG265" i="1"/>
  <c r="CC265" i="1"/>
  <c r="CC264" i="1"/>
  <c r="CG264" i="1"/>
  <c r="CH263" i="1"/>
  <c r="CG261" i="1"/>
  <c r="CC260" i="1"/>
  <c r="CG260" i="1"/>
  <c r="CH259" i="1"/>
  <c r="CG257" i="1"/>
  <c r="CC256" i="1"/>
  <c r="CG256" i="1"/>
  <c r="CC262" i="1"/>
  <c r="CG262" i="1"/>
  <c r="CH261" i="1"/>
  <c r="CC258" i="1"/>
  <c r="CG258" i="1"/>
  <c r="CH257" i="1"/>
  <c r="CG253" i="1"/>
  <c r="CC252" i="1"/>
  <c r="CG252" i="1"/>
  <c r="CH251" i="1"/>
  <c r="CG249" i="1"/>
  <c r="CX248" i="1"/>
  <c r="CX249" i="1" s="1"/>
  <c r="CX250" i="1" s="1"/>
  <c r="CX251" i="1" s="1"/>
  <c r="CX252" i="1" s="1"/>
  <c r="CX253" i="1" s="1"/>
  <c r="CX254" i="1" s="1"/>
  <c r="CX255" i="1" s="1"/>
  <c r="CX256" i="1" s="1"/>
  <c r="CX257" i="1" s="1"/>
  <c r="CX258" i="1" s="1"/>
  <c r="CX259" i="1" s="1"/>
  <c r="CX260" i="1" s="1"/>
  <c r="CX261" i="1" s="1"/>
  <c r="CX262" i="1" s="1"/>
  <c r="CX263" i="1" s="1"/>
  <c r="CX264" i="1" s="1"/>
  <c r="CX265" i="1" s="1"/>
  <c r="CX266" i="1" s="1"/>
  <c r="CT248" i="1"/>
  <c r="CT249" i="1" s="1"/>
  <c r="CT250" i="1" s="1"/>
  <c r="CT251" i="1" s="1"/>
  <c r="CT252" i="1" s="1"/>
  <c r="CT253" i="1" s="1"/>
  <c r="CT254" i="1" s="1"/>
  <c r="CT255" i="1" s="1"/>
  <c r="CT256" i="1" s="1"/>
  <c r="CT257" i="1" s="1"/>
  <c r="CT258" i="1" s="1"/>
  <c r="CT259" i="1" s="1"/>
  <c r="CT260" i="1" s="1"/>
  <c r="CT261" i="1" s="1"/>
  <c r="CT262" i="1" s="1"/>
  <c r="CT263" i="1" s="1"/>
  <c r="CT264" i="1" s="1"/>
  <c r="CT265" i="1" s="1"/>
  <c r="CT266" i="1" s="1"/>
  <c r="CP248" i="1"/>
  <c r="CP249" i="1" s="1"/>
  <c r="CP250" i="1" s="1"/>
  <c r="CP251" i="1" s="1"/>
  <c r="CP252" i="1" s="1"/>
  <c r="CP253" i="1" s="1"/>
  <c r="CP254" i="1" s="1"/>
  <c r="CP255" i="1" s="1"/>
  <c r="CP256" i="1" s="1"/>
  <c r="CP257" i="1" s="1"/>
  <c r="CP258" i="1" s="1"/>
  <c r="CP259" i="1" s="1"/>
  <c r="CP260" i="1" s="1"/>
  <c r="CP261" i="1" s="1"/>
  <c r="CP262" i="1" s="1"/>
  <c r="CP263" i="1" s="1"/>
  <c r="CP264" i="1" s="1"/>
  <c r="CP265" i="1" s="1"/>
  <c r="CP266" i="1" s="1"/>
  <c r="CC254" i="1"/>
  <c r="CG254" i="1"/>
  <c r="CH253" i="1"/>
  <c r="CD251" i="1"/>
  <c r="CF251" i="1"/>
  <c r="CC250" i="1"/>
  <c r="CG250" i="1"/>
  <c r="CH249" i="1"/>
  <c r="CC247" i="1"/>
  <c r="CK248" i="1"/>
  <c r="CK249" i="1" s="1"/>
  <c r="CK250" i="1" s="1"/>
  <c r="CK251" i="1" s="1"/>
  <c r="CK252" i="1" s="1"/>
  <c r="CK253" i="1" s="1"/>
  <c r="CK254" i="1" s="1"/>
  <c r="CK255" i="1" s="1"/>
  <c r="CK256" i="1" s="1"/>
  <c r="CK257" i="1" s="1"/>
  <c r="CK258" i="1" s="1"/>
  <c r="CK259" i="1" s="1"/>
  <c r="CK260" i="1" s="1"/>
  <c r="CK261" i="1" s="1"/>
  <c r="CK262" i="1" s="1"/>
  <c r="CK263" i="1" s="1"/>
  <c r="CK264" i="1" s="1"/>
  <c r="CK265" i="1" s="1"/>
  <c r="CK266" i="1" s="1"/>
  <c r="CM248" i="1"/>
  <c r="CM249" i="1" s="1"/>
  <c r="CM250" i="1" s="1"/>
  <c r="CM251" i="1" s="1"/>
  <c r="CM252" i="1" s="1"/>
  <c r="CM253" i="1" s="1"/>
  <c r="CM254" i="1" s="1"/>
  <c r="CM255" i="1" s="1"/>
  <c r="CM256" i="1" s="1"/>
  <c r="CM257" i="1" s="1"/>
  <c r="CM258" i="1" s="1"/>
  <c r="CM259" i="1" s="1"/>
  <c r="CM260" i="1" s="1"/>
  <c r="CM261" i="1" s="1"/>
  <c r="CM262" i="1" s="1"/>
  <c r="CM263" i="1" s="1"/>
  <c r="CM264" i="1" s="1"/>
  <c r="CM265" i="1" s="1"/>
  <c r="CM266" i="1" s="1"/>
  <c r="CO248" i="1"/>
  <c r="CO249" i="1" s="1"/>
  <c r="CO250" i="1" s="1"/>
  <c r="CO251" i="1" s="1"/>
  <c r="CO252" i="1" s="1"/>
  <c r="CO253" i="1" s="1"/>
  <c r="CO254" i="1" s="1"/>
  <c r="CO255" i="1" s="1"/>
  <c r="CO256" i="1" s="1"/>
  <c r="CO257" i="1" s="1"/>
  <c r="CO258" i="1" s="1"/>
  <c r="CO259" i="1" s="1"/>
  <c r="CO260" i="1" s="1"/>
  <c r="CO261" i="1" s="1"/>
  <c r="CO262" i="1" s="1"/>
  <c r="CO263" i="1" s="1"/>
  <c r="CO264" i="1" s="1"/>
  <c r="CO265" i="1" s="1"/>
  <c r="CO266" i="1" s="1"/>
  <c r="CQ248" i="1"/>
  <c r="CQ249" i="1" s="1"/>
  <c r="CQ250" i="1" s="1"/>
  <c r="CQ251" i="1" s="1"/>
  <c r="CQ252" i="1" s="1"/>
  <c r="CQ253" i="1" s="1"/>
  <c r="CQ254" i="1" s="1"/>
  <c r="CQ255" i="1" s="1"/>
  <c r="CQ256" i="1" s="1"/>
  <c r="CQ257" i="1" s="1"/>
  <c r="CQ258" i="1" s="1"/>
  <c r="CQ259" i="1" s="1"/>
  <c r="CQ260" i="1" s="1"/>
  <c r="CQ261" i="1" s="1"/>
  <c r="CQ262" i="1" s="1"/>
  <c r="CQ263" i="1" s="1"/>
  <c r="CQ264" i="1" s="1"/>
  <c r="CQ265" i="1" s="1"/>
  <c r="CQ266" i="1" s="1"/>
  <c r="CQ267" i="1" s="1"/>
  <c r="CQ268" i="1" s="1"/>
  <c r="CQ269" i="1" s="1"/>
  <c r="CQ270" i="1" s="1"/>
  <c r="CQ271" i="1" s="1"/>
  <c r="CQ272" i="1" s="1"/>
  <c r="CQ273" i="1" s="1"/>
  <c r="CS248" i="1"/>
  <c r="CS249" i="1" s="1"/>
  <c r="CS250" i="1" s="1"/>
  <c r="CS251" i="1" s="1"/>
  <c r="CS252" i="1" s="1"/>
  <c r="CS253" i="1" s="1"/>
  <c r="CS254" i="1" s="1"/>
  <c r="CS255" i="1" s="1"/>
  <c r="CS256" i="1" s="1"/>
  <c r="CS257" i="1" s="1"/>
  <c r="CS258" i="1" s="1"/>
  <c r="CS259" i="1" s="1"/>
  <c r="CS260" i="1" s="1"/>
  <c r="CS261" i="1" s="1"/>
  <c r="CS262" i="1" s="1"/>
  <c r="CS263" i="1" s="1"/>
  <c r="CS264" i="1" s="1"/>
  <c r="CS265" i="1" s="1"/>
  <c r="CS266" i="1" s="1"/>
  <c r="CU248" i="1"/>
  <c r="CU249" i="1" s="1"/>
  <c r="CU250" i="1" s="1"/>
  <c r="CU251" i="1" s="1"/>
  <c r="CU252" i="1" s="1"/>
  <c r="CU253" i="1" s="1"/>
  <c r="CU254" i="1" s="1"/>
  <c r="CU255" i="1" s="1"/>
  <c r="CU256" i="1" s="1"/>
  <c r="CU257" i="1" s="1"/>
  <c r="CU258" i="1" s="1"/>
  <c r="CU259" i="1" s="1"/>
  <c r="CU260" i="1" s="1"/>
  <c r="CU261" i="1" s="1"/>
  <c r="CU262" i="1" s="1"/>
  <c r="CU263" i="1" s="1"/>
  <c r="CU264" i="1" s="1"/>
  <c r="CU265" i="1" s="1"/>
  <c r="CU266" i="1" s="1"/>
  <c r="CU267" i="1" s="1"/>
  <c r="CU268" i="1" s="1"/>
  <c r="CU269" i="1" s="1"/>
  <c r="CU270" i="1" s="1"/>
  <c r="CU271" i="1" s="1"/>
  <c r="CU272" i="1" s="1"/>
  <c r="CU273" i="1" s="1"/>
  <c r="CW248" i="1"/>
  <c r="CW249" i="1" s="1"/>
  <c r="CW250" i="1" s="1"/>
  <c r="CW251" i="1" s="1"/>
  <c r="CW252" i="1" s="1"/>
  <c r="CW253" i="1" s="1"/>
  <c r="CW254" i="1" s="1"/>
  <c r="CW255" i="1" s="1"/>
  <c r="CW256" i="1" s="1"/>
  <c r="CW257" i="1" s="1"/>
  <c r="CW258" i="1" s="1"/>
  <c r="CW259" i="1" s="1"/>
  <c r="CW260" i="1" s="1"/>
  <c r="CW261" i="1" s="1"/>
  <c r="CW262" i="1" s="1"/>
  <c r="CW263" i="1" s="1"/>
  <c r="CW264" i="1" s="1"/>
  <c r="CW265" i="1" s="1"/>
  <c r="CW266" i="1" s="1"/>
  <c r="CY248" i="1"/>
  <c r="CY249" i="1" s="1"/>
  <c r="CY250" i="1" s="1"/>
  <c r="CY251" i="1" s="1"/>
  <c r="CY252" i="1" s="1"/>
  <c r="CY253" i="1" s="1"/>
  <c r="CY254" i="1" s="1"/>
  <c r="CY255" i="1" s="1"/>
  <c r="CY256" i="1" s="1"/>
  <c r="CY257" i="1" s="1"/>
  <c r="CY258" i="1" s="1"/>
  <c r="CY259" i="1" s="1"/>
  <c r="CY260" i="1" s="1"/>
  <c r="CY261" i="1" s="1"/>
  <c r="CY262" i="1" s="1"/>
  <c r="CY263" i="1" s="1"/>
  <c r="CY264" i="1" s="1"/>
  <c r="CY265" i="1" s="1"/>
  <c r="CY266" i="1" s="1"/>
  <c r="CY267" i="1" s="1"/>
  <c r="CY268" i="1" s="1"/>
  <c r="CY269" i="1" s="1"/>
  <c r="CY270" i="1" s="1"/>
  <c r="CY271" i="1" s="1"/>
  <c r="CY272" i="1" s="1"/>
  <c r="CY273" i="1" s="1"/>
  <c r="CL249" i="1"/>
  <c r="CL250" i="1" s="1"/>
  <c r="CL251" i="1" s="1"/>
  <c r="CL252" i="1" s="1"/>
  <c r="CL253" i="1" s="1"/>
  <c r="CL254" i="1" s="1"/>
  <c r="CL255" i="1" s="1"/>
  <c r="CL256" i="1" s="1"/>
  <c r="CL257" i="1" s="1"/>
  <c r="CL258" i="1" s="1"/>
  <c r="CL259" i="1" s="1"/>
  <c r="CL260" i="1" s="1"/>
  <c r="CL261" i="1" s="1"/>
  <c r="CL262" i="1" s="1"/>
  <c r="CL263" i="1" s="1"/>
  <c r="CL264" i="1" s="1"/>
  <c r="CL265" i="1" s="1"/>
  <c r="CL266" i="1" s="1"/>
  <c r="CL267" i="1" s="1"/>
  <c r="CL268" i="1" s="1"/>
  <c r="CL269" i="1" s="1"/>
  <c r="CL270" i="1" s="1"/>
  <c r="CL271" i="1" s="1"/>
  <c r="CL272" i="1" s="1"/>
  <c r="CL273" i="1" s="1"/>
  <c r="CG248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AJ248" i="1"/>
  <c r="AJ249" i="1"/>
  <c r="AJ250" i="1"/>
  <c r="AJ251" i="1"/>
  <c r="AJ252" i="1"/>
  <c r="AJ253" i="1"/>
  <c r="AJ254" i="1"/>
  <c r="AJ255" i="1"/>
  <c r="AJ256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CW267" i="1" l="1"/>
  <c r="CW268" i="1" s="1"/>
  <c r="CW269" i="1" s="1"/>
  <c r="CW270" i="1" s="1"/>
  <c r="CW271" i="1" s="1"/>
  <c r="CW272" i="1" s="1"/>
  <c r="CW273" i="1" s="1"/>
  <c r="CO267" i="1"/>
  <c r="CO268" i="1" s="1"/>
  <c r="CO269" i="1" s="1"/>
  <c r="CO270" i="1" s="1"/>
  <c r="CO271" i="1" s="1"/>
  <c r="CO272" i="1" s="1"/>
  <c r="CO273" i="1" s="1"/>
  <c r="CP267" i="1"/>
  <c r="CP268" i="1" s="1"/>
  <c r="CP269" i="1" s="1"/>
  <c r="CP270" i="1" s="1"/>
  <c r="CP271" i="1" s="1"/>
  <c r="CP272" i="1" s="1"/>
  <c r="CP273" i="1" s="1"/>
  <c r="CV267" i="1"/>
  <c r="CV268" i="1" s="1"/>
  <c r="CV269" i="1" s="1"/>
  <c r="CV270" i="1" s="1"/>
  <c r="CV271" i="1" s="1"/>
  <c r="CV272" i="1" s="1"/>
  <c r="CV273" i="1" s="1"/>
  <c r="CM267" i="1"/>
  <c r="CM268" i="1" s="1"/>
  <c r="CM269" i="1" s="1"/>
  <c r="CM270" i="1" s="1"/>
  <c r="CM271" i="1" s="1"/>
  <c r="CM272" i="1" s="1"/>
  <c r="CM273" i="1" s="1"/>
  <c r="CT267" i="1"/>
  <c r="CT268" i="1" s="1"/>
  <c r="CT269" i="1" s="1"/>
  <c r="CT270" i="1" s="1"/>
  <c r="CT271" i="1" s="1"/>
  <c r="CT272" i="1" s="1"/>
  <c r="CT273" i="1" s="1"/>
  <c r="CS267" i="1"/>
  <c r="CS268" i="1" s="1"/>
  <c r="CS269" i="1" s="1"/>
  <c r="CS270" i="1" s="1"/>
  <c r="CS271" i="1" s="1"/>
  <c r="CS272" i="1" s="1"/>
  <c r="CS273" i="1" s="1"/>
  <c r="CK267" i="1"/>
  <c r="CK268" i="1" s="1"/>
  <c r="CK269" i="1" s="1"/>
  <c r="CK270" i="1" s="1"/>
  <c r="CK271" i="1" s="1"/>
  <c r="CK272" i="1" s="1"/>
  <c r="CK273" i="1" s="1"/>
  <c r="CX267" i="1"/>
  <c r="CX268" i="1" s="1"/>
  <c r="CX269" i="1" s="1"/>
  <c r="CX270" i="1" s="1"/>
  <c r="CX271" i="1" s="1"/>
  <c r="CX272" i="1" s="1"/>
  <c r="CX273" i="1" s="1"/>
  <c r="CG266" i="1"/>
  <c r="CE266" i="1" s="1"/>
  <c r="CN274" i="1"/>
  <c r="CN275" i="1" s="1"/>
  <c r="CN276" i="1" s="1"/>
  <c r="CN277" i="1" s="1"/>
  <c r="CN278" i="1" s="1"/>
  <c r="CN279" i="1" s="1"/>
  <c r="CN280" i="1" s="1"/>
  <c r="CN281" i="1" s="1"/>
  <c r="CN282" i="1" s="1"/>
  <c r="CN283" i="1" s="1"/>
  <c r="CN284" i="1" s="1"/>
  <c r="CN285" i="1" s="1"/>
  <c r="CN286" i="1" s="1"/>
  <c r="CN287" i="1" s="1"/>
  <c r="CN288" i="1" s="1"/>
  <c r="CN289" i="1" s="1"/>
  <c r="CR274" i="1"/>
  <c r="CR275" i="1" s="1"/>
  <c r="CR276" i="1" s="1"/>
  <c r="CR277" i="1" s="1"/>
  <c r="CR278" i="1" s="1"/>
  <c r="CR279" i="1" s="1"/>
  <c r="CR280" i="1" s="1"/>
  <c r="CR281" i="1" s="1"/>
  <c r="CR282" i="1" s="1"/>
  <c r="CR283" i="1" s="1"/>
  <c r="CR284" i="1" s="1"/>
  <c r="CR285" i="1" s="1"/>
  <c r="CR286" i="1" s="1"/>
  <c r="CR287" i="1" s="1"/>
  <c r="CR288" i="1" s="1"/>
  <c r="CR289" i="1" s="1"/>
  <c r="CV274" i="1"/>
  <c r="CV275" i="1" s="1"/>
  <c r="CV276" i="1" s="1"/>
  <c r="CV277" i="1" s="1"/>
  <c r="CV278" i="1" s="1"/>
  <c r="CV279" i="1" s="1"/>
  <c r="CV280" i="1" s="1"/>
  <c r="CV281" i="1" s="1"/>
  <c r="CV282" i="1" s="1"/>
  <c r="CV283" i="1" s="1"/>
  <c r="CV284" i="1" s="1"/>
  <c r="CV285" i="1" s="1"/>
  <c r="CV286" i="1" s="1"/>
  <c r="CV287" i="1" s="1"/>
  <c r="CV288" i="1" s="1"/>
  <c r="CV289" i="1" s="1"/>
  <c r="CK274" i="1"/>
  <c r="CK275" i="1" s="1"/>
  <c r="CK276" i="1" s="1"/>
  <c r="CK277" i="1" s="1"/>
  <c r="CK278" i="1" s="1"/>
  <c r="CK279" i="1" s="1"/>
  <c r="CK280" i="1" s="1"/>
  <c r="CK281" i="1" s="1"/>
  <c r="CK282" i="1" s="1"/>
  <c r="CK283" i="1" s="1"/>
  <c r="CK284" i="1" s="1"/>
  <c r="CK285" i="1" s="1"/>
  <c r="CK286" i="1" s="1"/>
  <c r="CK287" i="1" s="1"/>
  <c r="CK288" i="1" s="1"/>
  <c r="CK289" i="1" s="1"/>
  <c r="CO274" i="1"/>
  <c r="CO275" i="1" s="1"/>
  <c r="CO276" i="1" s="1"/>
  <c r="CO277" i="1" s="1"/>
  <c r="CO278" i="1" s="1"/>
  <c r="CO279" i="1" s="1"/>
  <c r="CO280" i="1" s="1"/>
  <c r="CO281" i="1" s="1"/>
  <c r="CO282" i="1" s="1"/>
  <c r="CO283" i="1" s="1"/>
  <c r="CO284" i="1" s="1"/>
  <c r="CO285" i="1" s="1"/>
  <c r="CO286" i="1" s="1"/>
  <c r="CO287" i="1" s="1"/>
  <c r="CO288" i="1" s="1"/>
  <c r="CO289" i="1" s="1"/>
  <c r="CS274" i="1"/>
  <c r="CS275" i="1" s="1"/>
  <c r="CS276" i="1" s="1"/>
  <c r="CS277" i="1" s="1"/>
  <c r="CS278" i="1" s="1"/>
  <c r="CS279" i="1" s="1"/>
  <c r="CS280" i="1" s="1"/>
  <c r="CS281" i="1" s="1"/>
  <c r="CS282" i="1" s="1"/>
  <c r="CS283" i="1" s="1"/>
  <c r="CS284" i="1" s="1"/>
  <c r="CS285" i="1" s="1"/>
  <c r="CS286" i="1" s="1"/>
  <c r="CS287" i="1" s="1"/>
  <c r="CS288" i="1" s="1"/>
  <c r="CS289" i="1" s="1"/>
  <c r="CW274" i="1"/>
  <c r="CW275" i="1" s="1"/>
  <c r="CW276" i="1" s="1"/>
  <c r="CW277" i="1" s="1"/>
  <c r="CW278" i="1" s="1"/>
  <c r="CW279" i="1" s="1"/>
  <c r="CW280" i="1" s="1"/>
  <c r="CW281" i="1" s="1"/>
  <c r="CW282" i="1" s="1"/>
  <c r="CW283" i="1" s="1"/>
  <c r="CW284" i="1" s="1"/>
  <c r="CW285" i="1" s="1"/>
  <c r="CW286" i="1" s="1"/>
  <c r="CW287" i="1" s="1"/>
  <c r="CW288" i="1" s="1"/>
  <c r="CW289" i="1" s="1"/>
  <c r="CM274" i="1"/>
  <c r="CM275" i="1" s="1"/>
  <c r="CM276" i="1" s="1"/>
  <c r="CM277" i="1" s="1"/>
  <c r="CM278" i="1" s="1"/>
  <c r="CM279" i="1" s="1"/>
  <c r="CM280" i="1" s="1"/>
  <c r="CM281" i="1" s="1"/>
  <c r="CM282" i="1" s="1"/>
  <c r="CM283" i="1" s="1"/>
  <c r="CM284" i="1" s="1"/>
  <c r="CM285" i="1" s="1"/>
  <c r="CM286" i="1" s="1"/>
  <c r="CM287" i="1" s="1"/>
  <c r="CM288" i="1" s="1"/>
  <c r="CM289" i="1" s="1"/>
  <c r="CQ274" i="1"/>
  <c r="CQ275" i="1" s="1"/>
  <c r="CQ276" i="1" s="1"/>
  <c r="CQ277" i="1" s="1"/>
  <c r="CQ278" i="1" s="1"/>
  <c r="CQ279" i="1" s="1"/>
  <c r="CQ280" i="1" s="1"/>
  <c r="CQ281" i="1" s="1"/>
  <c r="CQ282" i="1" s="1"/>
  <c r="CQ283" i="1" s="1"/>
  <c r="CQ284" i="1" s="1"/>
  <c r="CQ285" i="1" s="1"/>
  <c r="CQ286" i="1" s="1"/>
  <c r="CQ287" i="1" s="1"/>
  <c r="CQ288" i="1" s="1"/>
  <c r="CQ289" i="1" s="1"/>
  <c r="CU274" i="1"/>
  <c r="CU275" i="1" s="1"/>
  <c r="CU276" i="1" s="1"/>
  <c r="CU277" i="1" s="1"/>
  <c r="CU278" i="1" s="1"/>
  <c r="CU279" i="1" s="1"/>
  <c r="CU280" i="1" s="1"/>
  <c r="CU281" i="1" s="1"/>
  <c r="CU282" i="1" s="1"/>
  <c r="CU283" i="1" s="1"/>
  <c r="CU284" i="1" s="1"/>
  <c r="CU285" i="1" s="1"/>
  <c r="CU286" i="1" s="1"/>
  <c r="CU287" i="1" s="1"/>
  <c r="CU288" i="1" s="1"/>
  <c r="CU289" i="1" s="1"/>
  <c r="CY274" i="1"/>
  <c r="CY275" i="1" s="1"/>
  <c r="CY276" i="1" s="1"/>
  <c r="CY277" i="1" s="1"/>
  <c r="CY278" i="1" s="1"/>
  <c r="CY279" i="1" s="1"/>
  <c r="CY280" i="1" s="1"/>
  <c r="CY281" i="1" s="1"/>
  <c r="CY282" i="1" s="1"/>
  <c r="CY283" i="1" s="1"/>
  <c r="CY284" i="1" s="1"/>
  <c r="CY285" i="1" s="1"/>
  <c r="CY286" i="1" s="1"/>
  <c r="CY287" i="1" s="1"/>
  <c r="CY288" i="1" s="1"/>
  <c r="CY289" i="1" s="1"/>
  <c r="CL274" i="1"/>
  <c r="CL275" i="1" s="1"/>
  <c r="CL276" i="1" s="1"/>
  <c r="CL277" i="1" s="1"/>
  <c r="CL278" i="1" s="1"/>
  <c r="CL279" i="1" s="1"/>
  <c r="CL280" i="1" s="1"/>
  <c r="CL281" i="1" s="1"/>
  <c r="CL282" i="1" s="1"/>
  <c r="CL283" i="1" s="1"/>
  <c r="CL284" i="1" s="1"/>
  <c r="CL285" i="1" s="1"/>
  <c r="CL286" i="1" s="1"/>
  <c r="CL287" i="1" s="1"/>
  <c r="CL288" i="1" s="1"/>
  <c r="CL289" i="1" s="1"/>
  <c r="CP274" i="1"/>
  <c r="CP275" i="1" s="1"/>
  <c r="CP276" i="1" s="1"/>
  <c r="CP277" i="1" s="1"/>
  <c r="CP278" i="1" s="1"/>
  <c r="CP279" i="1" s="1"/>
  <c r="CP280" i="1" s="1"/>
  <c r="CP281" i="1" s="1"/>
  <c r="CP282" i="1" s="1"/>
  <c r="CP283" i="1" s="1"/>
  <c r="CP284" i="1" s="1"/>
  <c r="CP285" i="1" s="1"/>
  <c r="CP286" i="1" s="1"/>
  <c r="CP287" i="1" s="1"/>
  <c r="CP288" i="1" s="1"/>
  <c r="CP289" i="1" s="1"/>
  <c r="CT274" i="1"/>
  <c r="CT275" i="1" s="1"/>
  <c r="CT276" i="1" s="1"/>
  <c r="CT277" i="1" s="1"/>
  <c r="CT278" i="1" s="1"/>
  <c r="CT279" i="1" s="1"/>
  <c r="CT280" i="1" s="1"/>
  <c r="CT281" i="1" s="1"/>
  <c r="CT282" i="1" s="1"/>
  <c r="CT283" i="1" s="1"/>
  <c r="CT284" i="1" s="1"/>
  <c r="CT285" i="1" s="1"/>
  <c r="CT286" i="1" s="1"/>
  <c r="CT287" i="1" s="1"/>
  <c r="CT288" i="1" s="1"/>
  <c r="CT289" i="1" s="1"/>
  <c r="CX274" i="1"/>
  <c r="CX275" i="1" s="1"/>
  <c r="CX276" i="1" s="1"/>
  <c r="CX277" i="1" s="1"/>
  <c r="CX278" i="1" s="1"/>
  <c r="CX279" i="1" s="1"/>
  <c r="CX280" i="1" s="1"/>
  <c r="CX281" i="1" s="1"/>
  <c r="CX282" i="1" s="1"/>
  <c r="CX283" i="1" s="1"/>
  <c r="CX284" i="1" s="1"/>
  <c r="CX285" i="1" s="1"/>
  <c r="CX286" i="1" s="1"/>
  <c r="CX287" i="1" s="1"/>
  <c r="CX288" i="1" s="1"/>
  <c r="CX289" i="1" s="1"/>
  <c r="CN267" i="1"/>
  <c r="CN268" i="1" s="1"/>
  <c r="CN269" i="1" s="1"/>
  <c r="CN270" i="1" s="1"/>
  <c r="CN271" i="1" s="1"/>
  <c r="CN272" i="1" s="1"/>
  <c r="CN273" i="1" s="1"/>
  <c r="CC266" i="1"/>
  <c r="CD263" i="1"/>
  <c r="CG268" i="1"/>
  <c r="CD268" i="1" s="1"/>
  <c r="CE263" i="1"/>
  <c r="CF255" i="1"/>
  <c r="CF259" i="1"/>
  <c r="CD255" i="1"/>
  <c r="CD259" i="1"/>
  <c r="CE248" i="1"/>
  <c r="CD248" i="1"/>
  <c r="CF248" i="1"/>
  <c r="CE250" i="1"/>
  <c r="CF250" i="1"/>
  <c r="CD250" i="1"/>
  <c r="CD249" i="1"/>
  <c r="CF249" i="1"/>
  <c r="CE249" i="1"/>
  <c r="CE256" i="1"/>
  <c r="CD256" i="1"/>
  <c r="CF256" i="1"/>
  <c r="CD257" i="1"/>
  <c r="CF257" i="1"/>
  <c r="CE257" i="1"/>
  <c r="CD265" i="1"/>
  <c r="CF265" i="1"/>
  <c r="CE265" i="1"/>
  <c r="CE270" i="1"/>
  <c r="CD270" i="1"/>
  <c r="CF270" i="1"/>
  <c r="CE272" i="1"/>
  <c r="CD272" i="1"/>
  <c r="CF272" i="1"/>
  <c r="CE271" i="1"/>
  <c r="CD271" i="1"/>
  <c r="CF271" i="1"/>
  <c r="CD267" i="1"/>
  <c r="CF267" i="1"/>
  <c r="CE267" i="1"/>
  <c r="CD269" i="1"/>
  <c r="CF269" i="1"/>
  <c r="CE269" i="1"/>
  <c r="CE254" i="1"/>
  <c r="CF254" i="1"/>
  <c r="CD254" i="1"/>
  <c r="CE252" i="1"/>
  <c r="CD252" i="1"/>
  <c r="CF252" i="1"/>
  <c r="CD253" i="1"/>
  <c r="CF253" i="1"/>
  <c r="CE253" i="1"/>
  <c r="CE258" i="1"/>
  <c r="CF258" i="1"/>
  <c r="CD258" i="1"/>
  <c r="CE262" i="1"/>
  <c r="CF262" i="1"/>
  <c r="CD262" i="1"/>
  <c r="CD266" i="1"/>
  <c r="CE260" i="1"/>
  <c r="CD260" i="1"/>
  <c r="CF260" i="1"/>
  <c r="CD261" i="1"/>
  <c r="CF261" i="1"/>
  <c r="CE261" i="1"/>
  <c r="CE264" i="1"/>
  <c r="CD264" i="1"/>
  <c r="CF264" i="1"/>
  <c r="CC273" i="1"/>
  <c r="E209" i="1"/>
  <c r="CF266" i="1" l="1"/>
  <c r="CG273" i="1"/>
  <c r="CD273" i="1" s="1"/>
  <c r="CG289" i="1"/>
  <c r="CH289" i="1"/>
  <c r="CH273" i="1"/>
  <c r="CF268" i="1"/>
  <c r="CE268" i="1"/>
  <c r="CE273" i="1"/>
  <c r="Q5" i="6"/>
  <c r="AA216" i="1"/>
  <c r="AC216" i="1"/>
  <c r="AD216" i="1"/>
  <c r="AA217" i="1"/>
  <c r="AC217" i="1"/>
  <c r="AD217" i="1"/>
  <c r="AA218" i="1"/>
  <c r="AC218" i="1"/>
  <c r="AD218" i="1"/>
  <c r="AA219" i="1"/>
  <c r="AC219" i="1"/>
  <c r="AD219" i="1"/>
  <c r="AA220" i="1"/>
  <c r="AC220" i="1"/>
  <c r="AD220" i="1"/>
  <c r="AA221" i="1"/>
  <c r="AC221" i="1"/>
  <c r="AD221" i="1"/>
  <c r="AA222" i="1"/>
  <c r="AC222" i="1"/>
  <c r="AD222" i="1"/>
  <c r="AA223" i="1"/>
  <c r="AC223" i="1"/>
  <c r="AD223" i="1"/>
  <c r="AA224" i="1"/>
  <c r="AC224" i="1"/>
  <c r="AD224" i="1"/>
  <c r="AA225" i="1"/>
  <c r="AC225" i="1"/>
  <c r="AD225" i="1"/>
  <c r="AA226" i="1"/>
  <c r="AC226" i="1"/>
  <c r="AD226" i="1"/>
  <c r="AA227" i="1"/>
  <c r="AC227" i="1"/>
  <c r="AD227" i="1"/>
  <c r="AA228" i="1"/>
  <c r="AC228" i="1"/>
  <c r="AD228" i="1"/>
  <c r="AA229" i="1"/>
  <c r="AC229" i="1"/>
  <c r="AD229" i="1"/>
  <c r="AA230" i="1"/>
  <c r="AC230" i="1"/>
  <c r="AD230" i="1"/>
  <c r="AA231" i="1"/>
  <c r="AC231" i="1"/>
  <c r="AD231" i="1"/>
  <c r="AA233" i="1"/>
  <c r="AC233" i="1"/>
  <c r="AD233" i="1"/>
  <c r="AA234" i="1"/>
  <c r="AC234" i="1"/>
  <c r="AD234" i="1"/>
  <c r="AA235" i="1"/>
  <c r="AC235" i="1"/>
  <c r="AD235" i="1"/>
  <c r="AA236" i="1"/>
  <c r="AC236" i="1"/>
  <c r="AD236" i="1"/>
  <c r="AA237" i="1"/>
  <c r="AC237" i="1"/>
  <c r="AD237" i="1"/>
  <c r="AA238" i="1"/>
  <c r="AC238" i="1"/>
  <c r="AD238" i="1"/>
  <c r="AA239" i="1"/>
  <c r="AC239" i="1"/>
  <c r="AD239" i="1"/>
  <c r="AA240" i="1"/>
  <c r="AC240" i="1"/>
  <c r="AD240" i="1"/>
  <c r="AA241" i="1"/>
  <c r="AC241" i="1"/>
  <c r="AD241" i="1"/>
  <c r="AA242" i="1"/>
  <c r="AC242" i="1"/>
  <c r="AD242" i="1"/>
  <c r="AA243" i="1"/>
  <c r="AC243" i="1"/>
  <c r="AD243" i="1"/>
  <c r="AA244" i="1"/>
  <c r="AC244" i="1"/>
  <c r="AD244" i="1"/>
  <c r="AA245" i="1"/>
  <c r="AC245" i="1"/>
  <c r="AD245" i="1"/>
  <c r="AA246" i="1"/>
  <c r="AC246" i="1"/>
  <c r="AD246" i="1"/>
  <c r="AC247" i="1"/>
  <c r="AD247" i="1"/>
  <c r="AD215" i="1"/>
  <c r="AC215" i="1"/>
  <c r="AA215" i="1"/>
  <c r="AD214" i="1"/>
  <c r="AC214" i="1"/>
  <c r="AA214" i="1"/>
  <c r="CF273" i="1" l="1"/>
  <c r="CE289" i="1"/>
  <c r="CD289" i="1"/>
  <c r="CF289" i="1"/>
  <c r="AC154" i="17"/>
  <c r="AB139" i="17"/>
  <c r="AC139" i="17"/>
  <c r="AD139" i="17"/>
  <c r="AE139" i="17"/>
  <c r="AB140" i="17"/>
  <c r="AC140" i="17"/>
  <c r="AD140" i="17"/>
  <c r="AE140" i="17"/>
  <c r="U139" i="17"/>
  <c r="U140" i="17"/>
  <c r="T139" i="17"/>
  <c r="BW233" i="1" l="1"/>
  <c r="BX233" i="1"/>
  <c r="BY233" i="1"/>
  <c r="CA233" i="1"/>
  <c r="CB233" i="1" s="1"/>
  <c r="BW234" i="1"/>
  <c r="BX234" i="1"/>
  <c r="BY234" i="1"/>
  <c r="CA234" i="1"/>
  <c r="CB234" i="1" s="1"/>
  <c r="BW235" i="1"/>
  <c r="BX235" i="1"/>
  <c r="BY235" i="1"/>
  <c r="CA235" i="1"/>
  <c r="CB235" i="1" s="1"/>
  <c r="BW236" i="1"/>
  <c r="BX236" i="1"/>
  <c r="BY236" i="1"/>
  <c r="CA236" i="1"/>
  <c r="CB236" i="1" s="1"/>
  <c r="CH236" i="1" s="1"/>
  <c r="BW237" i="1"/>
  <c r="BX237" i="1"/>
  <c r="BY237" i="1"/>
  <c r="CA237" i="1"/>
  <c r="CB237" i="1" s="1"/>
  <c r="CC237" i="1" s="1"/>
  <c r="BW238" i="1"/>
  <c r="BX238" i="1"/>
  <c r="BY238" i="1"/>
  <c r="CA238" i="1"/>
  <c r="CB238" i="1" s="1"/>
  <c r="CH238" i="1" s="1"/>
  <c r="BW239" i="1"/>
  <c r="BX239" i="1"/>
  <c r="BY239" i="1"/>
  <c r="CA239" i="1"/>
  <c r="CB239" i="1" s="1"/>
  <c r="CC239" i="1" s="1"/>
  <c r="BW240" i="1"/>
  <c r="BX240" i="1"/>
  <c r="BY240" i="1"/>
  <c r="CA240" i="1"/>
  <c r="CB240" i="1" s="1"/>
  <c r="CH240" i="1" s="1"/>
  <c r="BW241" i="1"/>
  <c r="BX241" i="1"/>
  <c r="BY241" i="1"/>
  <c r="CA241" i="1"/>
  <c r="CB241" i="1" s="1"/>
  <c r="BW242" i="1"/>
  <c r="BX242" i="1"/>
  <c r="BY242" i="1"/>
  <c r="CA242" i="1"/>
  <c r="CB242" i="1" s="1"/>
  <c r="CC242" i="1" s="1"/>
  <c r="BW243" i="1"/>
  <c r="BX243" i="1"/>
  <c r="BY243" i="1"/>
  <c r="CA243" i="1"/>
  <c r="CB243" i="1" s="1"/>
  <c r="BW244" i="1"/>
  <c r="BX244" i="1"/>
  <c r="BY244" i="1"/>
  <c r="CA244" i="1"/>
  <c r="CB244" i="1" s="1"/>
  <c r="BW245" i="1"/>
  <c r="BX245" i="1"/>
  <c r="BY245" i="1"/>
  <c r="CA245" i="1"/>
  <c r="CB245" i="1" s="1"/>
  <c r="CC245" i="1" s="1"/>
  <c r="BW246" i="1"/>
  <c r="BX246" i="1"/>
  <c r="BY246" i="1"/>
  <c r="CA246" i="1"/>
  <c r="BW247" i="1"/>
  <c r="BX247" i="1"/>
  <c r="BY247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CB246" i="1" l="1"/>
  <c r="CC246" i="1" s="1"/>
  <c r="CI238" i="1"/>
  <c r="BZ246" i="1"/>
  <c r="BZ238" i="1"/>
  <c r="CI246" i="1"/>
  <c r="CI242" i="1"/>
  <c r="BZ242" i="1"/>
  <c r="CI240" i="1"/>
  <c r="BZ240" i="1"/>
  <c r="CI236" i="1"/>
  <c r="BZ236" i="1"/>
  <c r="BZ234" i="1"/>
  <c r="BZ247" i="1"/>
  <c r="CI245" i="1"/>
  <c r="BZ245" i="1"/>
  <c r="BZ244" i="1"/>
  <c r="CI241" i="1"/>
  <c r="BZ241" i="1"/>
  <c r="CI239" i="1"/>
  <c r="BZ239" i="1"/>
  <c r="CI237" i="1"/>
  <c r="BZ237" i="1"/>
  <c r="CC244" i="1"/>
  <c r="CH244" i="1"/>
  <c r="CC234" i="1"/>
  <c r="CH234" i="1"/>
  <c r="CI244" i="1"/>
  <c r="CI243" i="1"/>
  <c r="BZ243" i="1"/>
  <c r="CH242" i="1"/>
  <c r="CI235" i="1"/>
  <c r="BZ235" i="1"/>
  <c r="CI234" i="1"/>
  <c r="CI233" i="1"/>
  <c r="BZ233" i="1"/>
  <c r="CG245" i="1"/>
  <c r="CC243" i="1"/>
  <c r="CG243" i="1"/>
  <c r="CH243" i="1"/>
  <c r="CH245" i="1"/>
  <c r="CC241" i="1"/>
  <c r="CG241" i="1"/>
  <c r="CH241" i="1"/>
  <c r="CG244" i="1"/>
  <c r="CG242" i="1"/>
  <c r="CG239" i="1"/>
  <c r="CG237" i="1"/>
  <c r="CC235" i="1"/>
  <c r="CG235" i="1"/>
  <c r="CH235" i="1"/>
  <c r="CC233" i="1"/>
  <c r="CG233" i="1"/>
  <c r="CH233" i="1"/>
  <c r="CC240" i="1"/>
  <c r="CG240" i="1"/>
  <c r="CH239" i="1"/>
  <c r="CC238" i="1"/>
  <c r="CG238" i="1"/>
  <c r="CH237" i="1"/>
  <c r="CC236" i="1"/>
  <c r="CG236" i="1"/>
  <c r="CG234" i="1"/>
  <c r="CG246" i="1" l="1"/>
  <c r="CE246" i="1" s="1"/>
  <c r="CH246" i="1"/>
  <c r="CE236" i="1"/>
  <c r="CF236" i="1"/>
  <c r="CD236" i="1"/>
  <c r="CE238" i="1"/>
  <c r="CF238" i="1"/>
  <c r="CD238" i="1"/>
  <c r="CD239" i="1"/>
  <c r="CF239" i="1"/>
  <c r="CE239" i="1"/>
  <c r="CE244" i="1"/>
  <c r="CF244" i="1"/>
  <c r="CD244" i="1"/>
  <c r="CE241" i="1"/>
  <c r="CD241" i="1"/>
  <c r="CF241" i="1"/>
  <c r="CD234" i="1"/>
  <c r="CF234" i="1"/>
  <c r="CE234" i="1"/>
  <c r="CE235" i="1"/>
  <c r="CD235" i="1"/>
  <c r="CF235" i="1"/>
  <c r="CD237" i="1"/>
  <c r="CF237" i="1"/>
  <c r="CE237" i="1"/>
  <c r="CE240" i="1"/>
  <c r="CF240" i="1"/>
  <c r="CD240" i="1"/>
  <c r="CE233" i="1"/>
  <c r="CD233" i="1"/>
  <c r="CF233" i="1"/>
  <c r="CD242" i="1"/>
  <c r="CF242" i="1"/>
  <c r="CE242" i="1"/>
  <c r="CE243" i="1"/>
  <c r="CD243" i="1"/>
  <c r="CF243" i="1"/>
  <c r="CD245" i="1"/>
  <c r="CF245" i="1"/>
  <c r="CE245" i="1"/>
  <c r="CF246" i="1" l="1"/>
  <c r="CD246" i="1"/>
  <c r="F158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A224" i="17"/>
  <c r="B224" i="17"/>
  <c r="D224" i="17"/>
  <c r="E224" i="17"/>
  <c r="G224" i="17"/>
  <c r="H224" i="17"/>
  <c r="I224" i="17"/>
  <c r="J224" i="17"/>
  <c r="K224" i="17"/>
  <c r="L224" i="17"/>
  <c r="O224" i="17"/>
  <c r="P224" i="17"/>
  <c r="Q224" i="17"/>
  <c r="R224" i="17"/>
  <c r="S224" i="17"/>
  <c r="T224" i="17"/>
  <c r="U224" i="17"/>
  <c r="V224" i="17"/>
  <c r="W224" i="17"/>
  <c r="X224" i="17"/>
  <c r="Y224" i="17"/>
  <c r="Z224" i="17"/>
  <c r="AA224" i="17"/>
  <c r="AB224" i="17"/>
  <c r="AC224" i="17"/>
  <c r="AD224" i="17"/>
  <c r="AE224" i="17"/>
  <c r="AF224" i="17"/>
  <c r="AG224" i="17"/>
  <c r="AH224" i="17"/>
  <c r="AI224" i="17"/>
  <c r="AJ224" i="17"/>
  <c r="AK224" i="17"/>
  <c r="AL224" i="17"/>
  <c r="AM224" i="17"/>
  <c r="A225" i="17"/>
  <c r="B225" i="17"/>
  <c r="D225" i="17"/>
  <c r="E225" i="17"/>
  <c r="G225" i="17"/>
  <c r="H225" i="17"/>
  <c r="I225" i="17"/>
  <c r="J225" i="17"/>
  <c r="K225" i="17"/>
  <c r="L225" i="17"/>
  <c r="O225" i="17"/>
  <c r="P225" i="17"/>
  <c r="Q225" i="17"/>
  <c r="R225" i="17"/>
  <c r="S225" i="17"/>
  <c r="T225" i="17"/>
  <c r="U225" i="17"/>
  <c r="V225" i="17"/>
  <c r="W225" i="17"/>
  <c r="X225" i="17"/>
  <c r="Y225" i="17"/>
  <c r="Z225" i="17"/>
  <c r="AA225" i="17"/>
  <c r="AB225" i="17"/>
  <c r="AC225" i="17"/>
  <c r="AD225" i="17"/>
  <c r="AE225" i="17"/>
  <c r="AF225" i="17"/>
  <c r="AG225" i="17"/>
  <c r="AH225" i="17"/>
  <c r="AI225" i="17"/>
  <c r="AJ225" i="17"/>
  <c r="AK225" i="17"/>
  <c r="AL225" i="17"/>
  <c r="AM225" i="17"/>
  <c r="A226" i="17"/>
  <c r="B226" i="17"/>
  <c r="D226" i="17"/>
  <c r="E226" i="17"/>
  <c r="G226" i="17"/>
  <c r="H226" i="17"/>
  <c r="I226" i="17"/>
  <c r="J226" i="17"/>
  <c r="K226" i="17"/>
  <c r="L226" i="17"/>
  <c r="O226" i="17"/>
  <c r="P226" i="17"/>
  <c r="Q226" i="17"/>
  <c r="R226" i="17"/>
  <c r="S226" i="17"/>
  <c r="T226" i="17"/>
  <c r="U226" i="17"/>
  <c r="V226" i="17"/>
  <c r="W226" i="17"/>
  <c r="X226" i="17"/>
  <c r="Y226" i="17"/>
  <c r="Z226" i="17"/>
  <c r="AA226" i="17"/>
  <c r="AB226" i="17"/>
  <c r="AC226" i="17"/>
  <c r="AD226" i="17"/>
  <c r="AE226" i="17"/>
  <c r="AF226" i="17"/>
  <c r="AG226" i="17"/>
  <c r="AH226" i="17"/>
  <c r="AI226" i="17"/>
  <c r="AJ226" i="17"/>
  <c r="AK226" i="17"/>
  <c r="AL226" i="17"/>
  <c r="AM226" i="17"/>
  <c r="A227" i="17"/>
  <c r="B227" i="17"/>
  <c r="D227" i="17"/>
  <c r="E227" i="17"/>
  <c r="G227" i="17"/>
  <c r="H227" i="17"/>
  <c r="I227" i="17"/>
  <c r="J227" i="17"/>
  <c r="K227" i="17"/>
  <c r="L227" i="17"/>
  <c r="O227" i="17"/>
  <c r="P227" i="17"/>
  <c r="Q227" i="17"/>
  <c r="R227" i="17"/>
  <c r="S227" i="17"/>
  <c r="T227" i="17"/>
  <c r="U227" i="17"/>
  <c r="V227" i="17"/>
  <c r="W227" i="17"/>
  <c r="X227" i="17"/>
  <c r="Y227" i="17"/>
  <c r="Z227" i="17"/>
  <c r="AA227" i="17"/>
  <c r="AB227" i="17"/>
  <c r="AC227" i="17"/>
  <c r="AD227" i="17"/>
  <c r="AE227" i="17"/>
  <c r="AF227" i="17"/>
  <c r="AG227" i="17"/>
  <c r="AH227" i="17"/>
  <c r="AI227" i="17"/>
  <c r="AJ227" i="17"/>
  <c r="AK227" i="17"/>
  <c r="AL227" i="17"/>
  <c r="AM227" i="17"/>
  <c r="A228" i="17"/>
  <c r="B228" i="17"/>
  <c r="D228" i="17"/>
  <c r="E228" i="17"/>
  <c r="G228" i="17"/>
  <c r="H228" i="17"/>
  <c r="I228" i="17"/>
  <c r="J228" i="17"/>
  <c r="K228" i="17"/>
  <c r="L228" i="17"/>
  <c r="O228" i="17"/>
  <c r="P228" i="17"/>
  <c r="Q228" i="17"/>
  <c r="R228" i="17"/>
  <c r="S228" i="17"/>
  <c r="T228" i="17"/>
  <c r="U228" i="17"/>
  <c r="V228" i="17"/>
  <c r="W228" i="17"/>
  <c r="X228" i="17"/>
  <c r="Y228" i="17"/>
  <c r="Z228" i="17"/>
  <c r="AA228" i="17"/>
  <c r="AB228" i="17"/>
  <c r="AC228" i="17"/>
  <c r="AD228" i="17"/>
  <c r="AE228" i="17"/>
  <c r="AF228" i="17"/>
  <c r="AG228" i="17"/>
  <c r="AH228" i="17"/>
  <c r="AI228" i="17"/>
  <c r="AJ228" i="17"/>
  <c r="AK228" i="17"/>
  <c r="AL228" i="17"/>
  <c r="AM228" i="17"/>
  <c r="A229" i="17"/>
  <c r="B229" i="17"/>
  <c r="D229" i="17"/>
  <c r="E229" i="17"/>
  <c r="G229" i="17"/>
  <c r="H229" i="17"/>
  <c r="I229" i="17"/>
  <c r="J229" i="17"/>
  <c r="K229" i="17"/>
  <c r="L229" i="17"/>
  <c r="O229" i="17"/>
  <c r="P229" i="17"/>
  <c r="Q229" i="17"/>
  <c r="R229" i="17"/>
  <c r="S229" i="17"/>
  <c r="T229" i="17"/>
  <c r="U229" i="17"/>
  <c r="V229" i="17"/>
  <c r="W229" i="17"/>
  <c r="X229" i="17"/>
  <c r="Y229" i="17"/>
  <c r="Z229" i="17"/>
  <c r="AA229" i="17"/>
  <c r="AB229" i="17"/>
  <c r="AC229" i="17"/>
  <c r="AD229" i="17"/>
  <c r="AE229" i="17"/>
  <c r="AF229" i="17"/>
  <c r="AG229" i="17"/>
  <c r="AH229" i="17"/>
  <c r="AI229" i="17"/>
  <c r="AJ229" i="17"/>
  <c r="AK229" i="17"/>
  <c r="AL229" i="17"/>
  <c r="AM229" i="17"/>
  <c r="A230" i="17"/>
  <c r="B230" i="17"/>
  <c r="D230" i="17"/>
  <c r="E230" i="17"/>
  <c r="G230" i="17"/>
  <c r="H230" i="17"/>
  <c r="I230" i="17"/>
  <c r="J230" i="17"/>
  <c r="K230" i="17"/>
  <c r="L230" i="17"/>
  <c r="O230" i="17"/>
  <c r="P230" i="17"/>
  <c r="Q230" i="17"/>
  <c r="R230" i="17"/>
  <c r="S230" i="17"/>
  <c r="T230" i="17"/>
  <c r="U230" i="17"/>
  <c r="V230" i="17"/>
  <c r="W230" i="17"/>
  <c r="X230" i="17"/>
  <c r="Y230" i="17"/>
  <c r="Z230" i="17"/>
  <c r="AA230" i="17"/>
  <c r="AB230" i="17"/>
  <c r="AC230" i="17"/>
  <c r="AD230" i="17"/>
  <c r="AE230" i="17"/>
  <c r="AF230" i="17"/>
  <c r="AG230" i="17"/>
  <c r="AH230" i="17"/>
  <c r="AI230" i="17"/>
  <c r="AJ230" i="17"/>
  <c r="AK230" i="17"/>
  <c r="AL230" i="17"/>
  <c r="AM230" i="17"/>
  <c r="A231" i="17"/>
  <c r="B231" i="17"/>
  <c r="D231" i="17"/>
  <c r="E231" i="17"/>
  <c r="G231" i="17"/>
  <c r="H231" i="17"/>
  <c r="I231" i="17"/>
  <c r="J231" i="17"/>
  <c r="K231" i="17"/>
  <c r="L231" i="17"/>
  <c r="O231" i="17"/>
  <c r="P231" i="17"/>
  <c r="Q231" i="17"/>
  <c r="R231" i="17"/>
  <c r="S231" i="17"/>
  <c r="T231" i="17"/>
  <c r="U231" i="17"/>
  <c r="V231" i="17"/>
  <c r="W231" i="17"/>
  <c r="X231" i="17"/>
  <c r="Y231" i="17"/>
  <c r="Z231" i="17"/>
  <c r="AA231" i="17"/>
  <c r="AB231" i="17"/>
  <c r="AC231" i="17"/>
  <c r="AD231" i="17"/>
  <c r="AE231" i="17"/>
  <c r="AF231" i="17"/>
  <c r="AG231" i="17"/>
  <c r="AH231" i="17"/>
  <c r="AI231" i="17"/>
  <c r="AJ231" i="17"/>
  <c r="AK231" i="17"/>
  <c r="AL231" i="17"/>
  <c r="AM231" i="17"/>
  <c r="A232" i="17"/>
  <c r="B232" i="17"/>
  <c r="D232" i="17"/>
  <c r="E232" i="17"/>
  <c r="G232" i="17"/>
  <c r="H232" i="17"/>
  <c r="I232" i="17"/>
  <c r="J232" i="17"/>
  <c r="K232" i="17"/>
  <c r="L232" i="17"/>
  <c r="M232" i="17"/>
  <c r="N232" i="17"/>
  <c r="O232" i="17"/>
  <c r="P232" i="17"/>
  <c r="Q232" i="17"/>
  <c r="R232" i="17"/>
  <c r="S232" i="17"/>
  <c r="T232" i="17"/>
  <c r="U232" i="17"/>
  <c r="V232" i="17"/>
  <c r="W232" i="17"/>
  <c r="X232" i="17"/>
  <c r="Y232" i="17"/>
  <c r="Z232" i="17"/>
  <c r="AA232" i="17"/>
  <c r="AB232" i="17"/>
  <c r="AC232" i="17"/>
  <c r="AD232" i="17"/>
  <c r="AE232" i="17"/>
  <c r="AF232" i="17"/>
  <c r="AG232" i="17"/>
  <c r="AH232" i="17"/>
  <c r="AI232" i="17"/>
  <c r="AJ232" i="17"/>
  <c r="AK232" i="17"/>
  <c r="AL232" i="17"/>
  <c r="AM232" i="17"/>
  <c r="AN232" i="17"/>
  <c r="A233" i="17"/>
  <c r="B233" i="17"/>
  <c r="D233" i="17"/>
  <c r="E233" i="17"/>
  <c r="G233" i="17"/>
  <c r="H233" i="17"/>
  <c r="I233" i="17"/>
  <c r="J233" i="17"/>
  <c r="K233" i="17"/>
  <c r="L233" i="17"/>
  <c r="M233" i="17"/>
  <c r="N233" i="17"/>
  <c r="O233" i="17"/>
  <c r="P233" i="17"/>
  <c r="Q233" i="17"/>
  <c r="R233" i="17"/>
  <c r="S233" i="17"/>
  <c r="T233" i="17"/>
  <c r="U233" i="17"/>
  <c r="V233" i="17"/>
  <c r="W233" i="17"/>
  <c r="X233" i="17"/>
  <c r="Y233" i="17"/>
  <c r="Z233" i="17"/>
  <c r="AA233" i="17"/>
  <c r="AB233" i="17"/>
  <c r="AC233" i="17"/>
  <c r="AD233" i="17"/>
  <c r="AE233" i="17"/>
  <c r="AF233" i="17"/>
  <c r="AG233" i="17"/>
  <c r="AH233" i="17"/>
  <c r="AI233" i="17"/>
  <c r="AJ233" i="17"/>
  <c r="AK233" i="17"/>
  <c r="AL233" i="17"/>
  <c r="AM233" i="17"/>
  <c r="AN233" i="17"/>
  <c r="A234" i="17"/>
  <c r="B234" i="17"/>
  <c r="D234" i="17"/>
  <c r="E234" i="17"/>
  <c r="G234" i="17"/>
  <c r="H234" i="17"/>
  <c r="I234" i="17"/>
  <c r="J234" i="17"/>
  <c r="K234" i="17"/>
  <c r="L234" i="17"/>
  <c r="M234" i="17"/>
  <c r="N234" i="17"/>
  <c r="O234" i="17"/>
  <c r="P234" i="17"/>
  <c r="Q234" i="17"/>
  <c r="R234" i="17"/>
  <c r="S234" i="17"/>
  <c r="T234" i="17"/>
  <c r="U234" i="17"/>
  <c r="V234" i="17"/>
  <c r="W234" i="17"/>
  <c r="X234" i="17"/>
  <c r="Y234" i="17"/>
  <c r="Z234" i="17"/>
  <c r="AA234" i="17"/>
  <c r="AB234" i="17"/>
  <c r="AC234" i="17"/>
  <c r="AD234" i="17"/>
  <c r="AE234" i="17"/>
  <c r="AF234" i="17"/>
  <c r="AG234" i="17"/>
  <c r="AH234" i="17"/>
  <c r="AI234" i="17"/>
  <c r="AJ234" i="17"/>
  <c r="AK234" i="17"/>
  <c r="AL234" i="17"/>
  <c r="AM234" i="17"/>
  <c r="AN234" i="17"/>
  <c r="A235" i="17"/>
  <c r="B235" i="17"/>
  <c r="D235" i="17"/>
  <c r="E235" i="17"/>
  <c r="G235" i="17"/>
  <c r="H235" i="17"/>
  <c r="I235" i="17"/>
  <c r="J235" i="17"/>
  <c r="K235" i="17"/>
  <c r="L235" i="17"/>
  <c r="M235" i="17"/>
  <c r="N235" i="17"/>
  <c r="O235" i="17"/>
  <c r="P235" i="17"/>
  <c r="Q235" i="17"/>
  <c r="R235" i="17"/>
  <c r="S235" i="17"/>
  <c r="T235" i="17"/>
  <c r="U235" i="17"/>
  <c r="V235" i="17"/>
  <c r="W235" i="17"/>
  <c r="X235" i="17"/>
  <c r="Y235" i="17"/>
  <c r="Z235" i="17"/>
  <c r="AA235" i="17"/>
  <c r="AB235" i="17"/>
  <c r="AC235" i="17"/>
  <c r="AD235" i="17"/>
  <c r="AE235" i="17"/>
  <c r="AF235" i="17"/>
  <c r="AG235" i="17"/>
  <c r="AH235" i="17"/>
  <c r="AI235" i="17"/>
  <c r="AJ235" i="17"/>
  <c r="AK235" i="17"/>
  <c r="AL235" i="17"/>
  <c r="AM235" i="17"/>
  <c r="AN235" i="17"/>
  <c r="A236" i="17"/>
  <c r="B236" i="17"/>
  <c r="D236" i="17"/>
  <c r="E236" i="17"/>
  <c r="G236" i="17"/>
  <c r="H236" i="17"/>
  <c r="I236" i="17"/>
  <c r="J236" i="17"/>
  <c r="K236" i="17"/>
  <c r="L236" i="17"/>
  <c r="M236" i="17"/>
  <c r="N236" i="17"/>
  <c r="O236" i="17"/>
  <c r="P236" i="17"/>
  <c r="Q236" i="17"/>
  <c r="R236" i="17"/>
  <c r="S236" i="17"/>
  <c r="T236" i="17"/>
  <c r="U236" i="17"/>
  <c r="V236" i="17"/>
  <c r="W236" i="17"/>
  <c r="X236" i="17"/>
  <c r="Y236" i="17"/>
  <c r="Z236" i="17"/>
  <c r="AA236" i="17"/>
  <c r="AB236" i="17"/>
  <c r="AC236" i="17"/>
  <c r="AD236" i="17"/>
  <c r="AE236" i="17"/>
  <c r="AF236" i="17"/>
  <c r="AG236" i="17"/>
  <c r="AH236" i="17"/>
  <c r="AI236" i="17"/>
  <c r="AJ236" i="17"/>
  <c r="AK236" i="17"/>
  <c r="AL236" i="17"/>
  <c r="AM236" i="17"/>
  <c r="AN236" i="17"/>
  <c r="A237" i="17"/>
  <c r="B237" i="17"/>
  <c r="D237" i="17"/>
  <c r="E237" i="17"/>
  <c r="G237" i="17"/>
  <c r="H237" i="17"/>
  <c r="I237" i="17"/>
  <c r="J237" i="17"/>
  <c r="K237" i="17"/>
  <c r="L237" i="17"/>
  <c r="M237" i="17"/>
  <c r="N237" i="17"/>
  <c r="O237" i="17"/>
  <c r="P237" i="17"/>
  <c r="Q237" i="17"/>
  <c r="R237" i="17"/>
  <c r="S237" i="17"/>
  <c r="T237" i="17"/>
  <c r="U237" i="17"/>
  <c r="V237" i="17"/>
  <c r="W237" i="17"/>
  <c r="X237" i="17"/>
  <c r="Y237" i="17"/>
  <c r="Z237" i="17"/>
  <c r="AA237" i="17"/>
  <c r="AB237" i="17"/>
  <c r="AC237" i="17"/>
  <c r="AD237" i="17"/>
  <c r="AE237" i="17"/>
  <c r="AF237" i="17"/>
  <c r="AG237" i="17"/>
  <c r="AH237" i="17"/>
  <c r="AI237" i="17"/>
  <c r="AJ237" i="17"/>
  <c r="AK237" i="17"/>
  <c r="AL237" i="17"/>
  <c r="AM237" i="17"/>
  <c r="AN237" i="17"/>
  <c r="A238" i="17"/>
  <c r="B238" i="17"/>
  <c r="D238" i="17"/>
  <c r="E238" i="17"/>
  <c r="G238" i="17"/>
  <c r="H238" i="17"/>
  <c r="I238" i="17"/>
  <c r="J238" i="17"/>
  <c r="K238" i="17"/>
  <c r="L238" i="17"/>
  <c r="M238" i="17"/>
  <c r="N238" i="17"/>
  <c r="O238" i="17"/>
  <c r="P238" i="17"/>
  <c r="Q238" i="17"/>
  <c r="R238" i="17"/>
  <c r="S238" i="17"/>
  <c r="T238" i="17"/>
  <c r="U238" i="17"/>
  <c r="V238" i="17"/>
  <c r="W238" i="17"/>
  <c r="X238" i="17"/>
  <c r="Y238" i="17"/>
  <c r="Z238" i="17"/>
  <c r="AA238" i="17"/>
  <c r="AB238" i="17"/>
  <c r="AC238" i="17"/>
  <c r="AD238" i="17"/>
  <c r="AE238" i="17"/>
  <c r="AF238" i="17"/>
  <c r="AG238" i="17"/>
  <c r="AH238" i="17"/>
  <c r="AI238" i="17"/>
  <c r="AJ238" i="17"/>
  <c r="AK238" i="17"/>
  <c r="AL238" i="17"/>
  <c r="AM238" i="17"/>
  <c r="AN238" i="17"/>
  <c r="A239" i="17"/>
  <c r="B239" i="17"/>
  <c r="D239" i="17"/>
  <c r="E239" i="17"/>
  <c r="G239" i="17"/>
  <c r="H239" i="17"/>
  <c r="I239" i="17"/>
  <c r="J239" i="17"/>
  <c r="K239" i="17"/>
  <c r="L239" i="17"/>
  <c r="M239" i="17"/>
  <c r="N239" i="17"/>
  <c r="O239" i="17"/>
  <c r="P239" i="17"/>
  <c r="Q239" i="17"/>
  <c r="R239" i="17"/>
  <c r="S239" i="17"/>
  <c r="T239" i="17"/>
  <c r="U239" i="17"/>
  <c r="V239" i="17"/>
  <c r="W239" i="17"/>
  <c r="X239" i="17"/>
  <c r="Y239" i="17"/>
  <c r="Z239" i="17"/>
  <c r="AA239" i="17"/>
  <c r="AB239" i="17"/>
  <c r="AC239" i="17"/>
  <c r="AD239" i="17"/>
  <c r="AE239" i="17"/>
  <c r="AF239" i="17"/>
  <c r="AG239" i="17"/>
  <c r="AH239" i="17"/>
  <c r="AI239" i="17"/>
  <c r="AJ239" i="17"/>
  <c r="AK239" i="17"/>
  <c r="AL239" i="17"/>
  <c r="AM239" i="17"/>
  <c r="AN239" i="17"/>
  <c r="A240" i="17"/>
  <c r="B240" i="17"/>
  <c r="D240" i="17"/>
  <c r="E240" i="17"/>
  <c r="G240" i="17"/>
  <c r="H240" i="17"/>
  <c r="I240" i="17"/>
  <c r="J240" i="17"/>
  <c r="K240" i="17"/>
  <c r="L240" i="17"/>
  <c r="M240" i="17"/>
  <c r="N240" i="17"/>
  <c r="O240" i="17"/>
  <c r="P240" i="17"/>
  <c r="Q240" i="17"/>
  <c r="R240" i="17"/>
  <c r="S240" i="17"/>
  <c r="T240" i="17"/>
  <c r="U240" i="17"/>
  <c r="V240" i="17"/>
  <c r="W240" i="17"/>
  <c r="X240" i="17"/>
  <c r="Y240" i="17"/>
  <c r="Z240" i="17"/>
  <c r="AA240" i="17"/>
  <c r="AB240" i="17"/>
  <c r="AC240" i="17"/>
  <c r="AD240" i="17"/>
  <c r="AE240" i="17"/>
  <c r="AF240" i="17"/>
  <c r="AG240" i="17"/>
  <c r="AH240" i="17"/>
  <c r="AI240" i="17"/>
  <c r="AJ240" i="17"/>
  <c r="AK240" i="17"/>
  <c r="AL240" i="17"/>
  <c r="AM240" i="17"/>
  <c r="AN240" i="17"/>
  <c r="A241" i="17"/>
  <c r="B241" i="17"/>
  <c r="D241" i="17"/>
  <c r="E241" i="17"/>
  <c r="G241" i="17"/>
  <c r="H241" i="17"/>
  <c r="I241" i="17"/>
  <c r="J241" i="17"/>
  <c r="K241" i="17"/>
  <c r="L241" i="17"/>
  <c r="M241" i="17"/>
  <c r="N241" i="17"/>
  <c r="O241" i="17"/>
  <c r="P241" i="17"/>
  <c r="Q241" i="17"/>
  <c r="R241" i="17"/>
  <c r="S241" i="17"/>
  <c r="T241" i="17"/>
  <c r="U241" i="17"/>
  <c r="V241" i="17"/>
  <c r="W241" i="17"/>
  <c r="X241" i="17"/>
  <c r="Y241" i="17"/>
  <c r="Z241" i="17"/>
  <c r="AA241" i="17"/>
  <c r="AB241" i="17"/>
  <c r="AC241" i="17"/>
  <c r="AD241" i="17"/>
  <c r="AE241" i="17"/>
  <c r="AF241" i="17"/>
  <c r="AG241" i="17"/>
  <c r="AH241" i="17"/>
  <c r="AI241" i="17"/>
  <c r="AJ241" i="17"/>
  <c r="AK241" i="17"/>
  <c r="AL241" i="17"/>
  <c r="AM241" i="17"/>
  <c r="AN241" i="17"/>
  <c r="A242" i="17"/>
  <c r="B242" i="17"/>
  <c r="D242" i="17"/>
  <c r="E242" i="17"/>
  <c r="G242" i="17"/>
  <c r="H242" i="17"/>
  <c r="I242" i="17"/>
  <c r="J242" i="17"/>
  <c r="K242" i="17"/>
  <c r="L242" i="17"/>
  <c r="M242" i="17"/>
  <c r="N242" i="17"/>
  <c r="O242" i="17"/>
  <c r="P242" i="17"/>
  <c r="Q242" i="17"/>
  <c r="R242" i="17"/>
  <c r="S242" i="17"/>
  <c r="T242" i="17"/>
  <c r="U242" i="17"/>
  <c r="V242" i="17"/>
  <c r="W242" i="17"/>
  <c r="X242" i="17"/>
  <c r="Y242" i="17"/>
  <c r="Z242" i="17"/>
  <c r="AA242" i="17"/>
  <c r="AB242" i="17"/>
  <c r="AC242" i="17"/>
  <c r="AD242" i="17"/>
  <c r="AE242" i="17"/>
  <c r="AF242" i="17"/>
  <c r="AG242" i="17"/>
  <c r="AH242" i="17"/>
  <c r="AI242" i="17"/>
  <c r="AJ242" i="17"/>
  <c r="AK242" i="17"/>
  <c r="AL242" i="17"/>
  <c r="AM242" i="17"/>
  <c r="AN242" i="17"/>
  <c r="A243" i="17"/>
  <c r="B243" i="17"/>
  <c r="D243" i="17"/>
  <c r="E243" i="17"/>
  <c r="G243" i="17"/>
  <c r="H243" i="17"/>
  <c r="I243" i="17"/>
  <c r="J243" i="17"/>
  <c r="K243" i="17"/>
  <c r="L243" i="17"/>
  <c r="M243" i="17"/>
  <c r="N243" i="17"/>
  <c r="O243" i="17"/>
  <c r="P243" i="17"/>
  <c r="Q243" i="17"/>
  <c r="R243" i="17"/>
  <c r="S243" i="17"/>
  <c r="T243" i="17"/>
  <c r="U243" i="17"/>
  <c r="V243" i="17"/>
  <c r="W243" i="17"/>
  <c r="X243" i="17"/>
  <c r="Y243" i="17"/>
  <c r="Z243" i="17"/>
  <c r="AA243" i="17"/>
  <c r="AB243" i="17"/>
  <c r="AC243" i="17"/>
  <c r="AD243" i="17"/>
  <c r="AE243" i="17"/>
  <c r="AF243" i="17"/>
  <c r="AG243" i="17"/>
  <c r="AH243" i="17"/>
  <c r="AI243" i="17"/>
  <c r="AJ243" i="17"/>
  <c r="AK243" i="17"/>
  <c r="AL243" i="17"/>
  <c r="AM243" i="17"/>
  <c r="AN243" i="17"/>
  <c r="A244" i="17"/>
  <c r="B244" i="17"/>
  <c r="D244" i="17"/>
  <c r="E244" i="17"/>
  <c r="G244" i="17"/>
  <c r="H244" i="17"/>
  <c r="I244" i="17"/>
  <c r="J244" i="17"/>
  <c r="K244" i="17"/>
  <c r="L244" i="17"/>
  <c r="M244" i="17"/>
  <c r="N244" i="17"/>
  <c r="O244" i="17"/>
  <c r="P244" i="17"/>
  <c r="Q244" i="17"/>
  <c r="R244" i="17"/>
  <c r="S244" i="17"/>
  <c r="T244" i="17"/>
  <c r="U244" i="17"/>
  <c r="V244" i="17"/>
  <c r="W244" i="17"/>
  <c r="X244" i="17"/>
  <c r="Y244" i="17"/>
  <c r="Z244" i="17"/>
  <c r="AA244" i="17"/>
  <c r="AB244" i="17"/>
  <c r="AC244" i="17"/>
  <c r="AD244" i="17"/>
  <c r="AE244" i="17"/>
  <c r="AF244" i="17"/>
  <c r="AG244" i="17"/>
  <c r="AH244" i="17"/>
  <c r="AI244" i="17"/>
  <c r="AJ244" i="17"/>
  <c r="AK244" i="17"/>
  <c r="AL244" i="17"/>
  <c r="AM244" i="17"/>
  <c r="AN244" i="17"/>
  <c r="A245" i="17"/>
  <c r="B245" i="17"/>
  <c r="D245" i="17"/>
  <c r="E245" i="17"/>
  <c r="G245" i="17"/>
  <c r="H245" i="17"/>
  <c r="I245" i="17"/>
  <c r="J245" i="17"/>
  <c r="K245" i="17"/>
  <c r="L245" i="17"/>
  <c r="M245" i="17"/>
  <c r="N245" i="17"/>
  <c r="O245" i="17"/>
  <c r="P245" i="17"/>
  <c r="Q245" i="17"/>
  <c r="R245" i="17"/>
  <c r="S245" i="17"/>
  <c r="T245" i="17"/>
  <c r="U245" i="17"/>
  <c r="V245" i="17"/>
  <c r="W245" i="17"/>
  <c r="X245" i="17"/>
  <c r="Y245" i="17"/>
  <c r="Z245" i="17"/>
  <c r="AA245" i="17"/>
  <c r="AB245" i="17"/>
  <c r="AC245" i="17"/>
  <c r="AD245" i="17"/>
  <c r="AE245" i="17"/>
  <c r="AF245" i="17"/>
  <c r="AG245" i="17"/>
  <c r="AH245" i="17"/>
  <c r="AI245" i="17"/>
  <c r="AJ245" i="17"/>
  <c r="AK245" i="17"/>
  <c r="AL245" i="17"/>
  <c r="AM245" i="17"/>
  <c r="AN245" i="17"/>
  <c r="A246" i="17"/>
  <c r="B246" i="17"/>
  <c r="D246" i="17"/>
  <c r="E246" i="17"/>
  <c r="G246" i="17"/>
  <c r="H246" i="17"/>
  <c r="I246" i="17"/>
  <c r="J246" i="17"/>
  <c r="K246" i="17"/>
  <c r="L246" i="17"/>
  <c r="M246" i="17"/>
  <c r="N246" i="17"/>
  <c r="O246" i="17"/>
  <c r="P246" i="17"/>
  <c r="Q246" i="17"/>
  <c r="R246" i="17"/>
  <c r="S246" i="17"/>
  <c r="T246" i="17"/>
  <c r="U246" i="17"/>
  <c r="V246" i="17"/>
  <c r="W246" i="17"/>
  <c r="X246" i="17"/>
  <c r="Y246" i="17"/>
  <c r="Z246" i="17"/>
  <c r="AA246" i="17"/>
  <c r="AB246" i="17"/>
  <c r="AC246" i="17"/>
  <c r="AD246" i="17"/>
  <c r="AE246" i="17"/>
  <c r="AF246" i="17"/>
  <c r="AG246" i="17"/>
  <c r="AH246" i="17"/>
  <c r="AI246" i="17"/>
  <c r="AJ246" i="17"/>
  <c r="AK246" i="17"/>
  <c r="AL246" i="17"/>
  <c r="AM246" i="17"/>
  <c r="AN246" i="17"/>
  <c r="E247" i="17"/>
  <c r="G247" i="17"/>
  <c r="H247" i="17"/>
  <c r="I247" i="17"/>
  <c r="K247" i="17"/>
  <c r="L247" i="17"/>
  <c r="M247" i="17"/>
  <c r="N247" i="17"/>
  <c r="O247" i="17"/>
  <c r="P247" i="17"/>
  <c r="Q247" i="17"/>
  <c r="R247" i="17"/>
  <c r="S247" i="17"/>
  <c r="T247" i="17"/>
  <c r="U247" i="17"/>
  <c r="V247" i="17"/>
  <c r="W247" i="17"/>
  <c r="X247" i="17"/>
  <c r="Y247" i="17"/>
  <c r="Z247" i="17"/>
  <c r="AA247" i="17"/>
  <c r="AB247" i="17"/>
  <c r="AC247" i="17"/>
  <c r="AD247" i="17"/>
  <c r="AE247" i="17"/>
  <c r="AF247" i="17"/>
  <c r="AG247" i="17"/>
  <c r="AH247" i="17"/>
  <c r="AI247" i="17"/>
  <c r="AJ247" i="17"/>
  <c r="AK247" i="17"/>
  <c r="AL247" i="17"/>
  <c r="AM247" i="17"/>
  <c r="AN247" i="17"/>
  <c r="E248" i="17"/>
  <c r="G248" i="17"/>
  <c r="H248" i="17"/>
  <c r="I248" i="17"/>
  <c r="K248" i="17"/>
  <c r="L248" i="17"/>
  <c r="M248" i="17"/>
  <c r="N248" i="17"/>
  <c r="O248" i="17"/>
  <c r="P248" i="17"/>
  <c r="Q248" i="17"/>
  <c r="R248" i="17"/>
  <c r="S248" i="17"/>
  <c r="T248" i="17"/>
  <c r="U248" i="17"/>
  <c r="V248" i="17"/>
  <c r="W248" i="17"/>
  <c r="X248" i="17"/>
  <c r="Y248" i="17"/>
  <c r="Z248" i="17"/>
  <c r="AA248" i="17"/>
  <c r="AB248" i="17"/>
  <c r="AC248" i="17"/>
  <c r="AD248" i="17"/>
  <c r="AE248" i="17"/>
  <c r="AF248" i="17"/>
  <c r="AG248" i="17"/>
  <c r="AH248" i="17"/>
  <c r="AI248" i="17"/>
  <c r="AJ248" i="17"/>
  <c r="AK248" i="17"/>
  <c r="AL248" i="17"/>
  <c r="AM248" i="17"/>
  <c r="AN248" i="17"/>
  <c r="E249" i="17"/>
  <c r="G249" i="17"/>
  <c r="H249" i="17"/>
  <c r="I249" i="17"/>
  <c r="K249" i="17"/>
  <c r="L249" i="17"/>
  <c r="M249" i="17"/>
  <c r="N249" i="17"/>
  <c r="O249" i="17"/>
  <c r="P249" i="17"/>
  <c r="Q249" i="17"/>
  <c r="R249" i="17"/>
  <c r="S249" i="17"/>
  <c r="T249" i="17"/>
  <c r="U249" i="17"/>
  <c r="V249" i="17"/>
  <c r="W249" i="17"/>
  <c r="X249" i="17"/>
  <c r="Y249" i="17"/>
  <c r="Z249" i="17"/>
  <c r="AA249" i="17"/>
  <c r="AB249" i="17"/>
  <c r="AC249" i="17"/>
  <c r="AD249" i="17"/>
  <c r="AE249" i="17"/>
  <c r="AF249" i="17"/>
  <c r="AG249" i="17"/>
  <c r="AH249" i="17"/>
  <c r="AI249" i="17"/>
  <c r="AJ249" i="17"/>
  <c r="AK249" i="17"/>
  <c r="AL249" i="17"/>
  <c r="AM249" i="17"/>
  <c r="AN249" i="17"/>
  <c r="E250" i="17"/>
  <c r="G250" i="17"/>
  <c r="H250" i="17"/>
  <c r="I250" i="17"/>
  <c r="K250" i="17"/>
  <c r="L250" i="17"/>
  <c r="M250" i="17"/>
  <c r="N250" i="17"/>
  <c r="O250" i="17"/>
  <c r="P250" i="17"/>
  <c r="Q250" i="17"/>
  <c r="R250" i="17"/>
  <c r="S250" i="17"/>
  <c r="T250" i="17"/>
  <c r="U250" i="17"/>
  <c r="V250" i="17"/>
  <c r="W250" i="17"/>
  <c r="X250" i="17"/>
  <c r="Y250" i="17"/>
  <c r="Z250" i="17"/>
  <c r="AA250" i="17"/>
  <c r="AB250" i="17"/>
  <c r="AC250" i="17"/>
  <c r="AD250" i="17"/>
  <c r="AE250" i="17"/>
  <c r="AF250" i="17"/>
  <c r="AG250" i="17"/>
  <c r="AH250" i="17"/>
  <c r="AI250" i="17"/>
  <c r="AJ250" i="17"/>
  <c r="AK250" i="17"/>
  <c r="AL250" i="17"/>
  <c r="AM250" i="17"/>
  <c r="AN250" i="17"/>
  <c r="E251" i="17"/>
  <c r="G251" i="17"/>
  <c r="H251" i="17"/>
  <c r="I251" i="17"/>
  <c r="K251" i="17"/>
  <c r="L251" i="17"/>
  <c r="M251" i="17"/>
  <c r="N251" i="17"/>
  <c r="O251" i="17"/>
  <c r="P251" i="17"/>
  <c r="Q251" i="17"/>
  <c r="R251" i="17"/>
  <c r="S251" i="17"/>
  <c r="T251" i="17"/>
  <c r="U251" i="17"/>
  <c r="V251" i="17"/>
  <c r="W251" i="17"/>
  <c r="X251" i="17"/>
  <c r="Y251" i="17"/>
  <c r="Z251" i="17"/>
  <c r="AA251" i="17"/>
  <c r="AB251" i="17"/>
  <c r="AC251" i="17"/>
  <c r="AD251" i="17"/>
  <c r="AE251" i="17"/>
  <c r="AF251" i="17"/>
  <c r="AG251" i="17"/>
  <c r="AH251" i="17"/>
  <c r="AI251" i="17"/>
  <c r="AJ251" i="17"/>
  <c r="AK251" i="17"/>
  <c r="AL251" i="17"/>
  <c r="AM251" i="17"/>
  <c r="AN251" i="17"/>
  <c r="E252" i="17"/>
  <c r="G252" i="17"/>
  <c r="H252" i="17"/>
  <c r="I252" i="17"/>
  <c r="K252" i="17"/>
  <c r="L252" i="17"/>
  <c r="M252" i="17"/>
  <c r="N252" i="17"/>
  <c r="O252" i="17"/>
  <c r="P252" i="17"/>
  <c r="Q252" i="17"/>
  <c r="R252" i="17"/>
  <c r="S252" i="17"/>
  <c r="T252" i="17"/>
  <c r="U252" i="17"/>
  <c r="V252" i="17"/>
  <c r="W252" i="17"/>
  <c r="X252" i="17"/>
  <c r="Y252" i="17"/>
  <c r="Z252" i="17"/>
  <c r="AA252" i="17"/>
  <c r="AB252" i="17"/>
  <c r="AC252" i="17"/>
  <c r="AD252" i="17"/>
  <c r="AE252" i="17"/>
  <c r="AF252" i="17"/>
  <c r="AG252" i="17"/>
  <c r="AH252" i="17"/>
  <c r="AI252" i="17"/>
  <c r="AJ252" i="17"/>
  <c r="AK252" i="17"/>
  <c r="AL252" i="17"/>
  <c r="AM252" i="17"/>
  <c r="AN252" i="17"/>
  <c r="E253" i="17"/>
  <c r="G253" i="17"/>
  <c r="H253" i="17"/>
  <c r="I253" i="17"/>
  <c r="K253" i="17"/>
  <c r="L253" i="17"/>
  <c r="M253" i="17"/>
  <c r="N253" i="17"/>
  <c r="O253" i="17"/>
  <c r="P253" i="17"/>
  <c r="Q253" i="17"/>
  <c r="R253" i="17"/>
  <c r="S253" i="17"/>
  <c r="T253" i="17"/>
  <c r="U253" i="17"/>
  <c r="V253" i="17"/>
  <c r="W253" i="17"/>
  <c r="X253" i="17"/>
  <c r="Y253" i="17"/>
  <c r="Z253" i="17"/>
  <c r="AA253" i="17"/>
  <c r="AB253" i="17"/>
  <c r="AC253" i="17"/>
  <c r="AD253" i="17"/>
  <c r="AE253" i="17"/>
  <c r="AF253" i="17"/>
  <c r="AG253" i="17"/>
  <c r="AH253" i="17"/>
  <c r="AI253" i="17"/>
  <c r="AJ253" i="17"/>
  <c r="AK253" i="17"/>
  <c r="AL253" i="17"/>
  <c r="AM253" i="17"/>
  <c r="AN253" i="17"/>
  <c r="E254" i="17"/>
  <c r="G254" i="17"/>
  <c r="H254" i="17"/>
  <c r="I254" i="17"/>
  <c r="K254" i="17"/>
  <c r="L254" i="17"/>
  <c r="M254" i="17"/>
  <c r="N254" i="17"/>
  <c r="O254" i="17"/>
  <c r="P254" i="17"/>
  <c r="Q254" i="17"/>
  <c r="R254" i="17"/>
  <c r="S254" i="17"/>
  <c r="T254" i="17"/>
  <c r="U254" i="17"/>
  <c r="V254" i="17"/>
  <c r="W254" i="17"/>
  <c r="X254" i="17"/>
  <c r="Y254" i="17"/>
  <c r="Z254" i="17"/>
  <c r="AA254" i="17"/>
  <c r="AB254" i="17"/>
  <c r="AC254" i="17"/>
  <c r="AD254" i="17"/>
  <c r="AE254" i="17"/>
  <c r="AF254" i="17"/>
  <c r="AG254" i="17"/>
  <c r="AH254" i="17"/>
  <c r="AI254" i="17"/>
  <c r="AJ254" i="17"/>
  <c r="AK254" i="17"/>
  <c r="AL254" i="17"/>
  <c r="AM254" i="17"/>
  <c r="AN254" i="17"/>
  <c r="E255" i="17"/>
  <c r="G255" i="17"/>
  <c r="H255" i="17"/>
  <c r="I255" i="17"/>
  <c r="K255" i="17"/>
  <c r="L255" i="17"/>
  <c r="M255" i="17"/>
  <c r="N255" i="17"/>
  <c r="O255" i="17"/>
  <c r="P255" i="17"/>
  <c r="Q255" i="17"/>
  <c r="R255" i="17"/>
  <c r="S255" i="17"/>
  <c r="T255" i="17"/>
  <c r="U255" i="17"/>
  <c r="V255" i="17"/>
  <c r="W255" i="17"/>
  <c r="X255" i="17"/>
  <c r="Y255" i="17"/>
  <c r="Z255" i="17"/>
  <c r="AA255" i="17"/>
  <c r="AB255" i="17"/>
  <c r="AC255" i="17"/>
  <c r="AD255" i="17"/>
  <c r="AE255" i="17"/>
  <c r="AF255" i="17"/>
  <c r="AG255" i="17"/>
  <c r="AH255" i="17"/>
  <c r="AI255" i="17"/>
  <c r="AJ255" i="17"/>
  <c r="AK255" i="17"/>
  <c r="AL255" i="17"/>
  <c r="AM255" i="17"/>
  <c r="AN255" i="17"/>
  <c r="E256" i="17"/>
  <c r="G256" i="17"/>
  <c r="H256" i="17"/>
  <c r="I256" i="17"/>
  <c r="K256" i="17"/>
  <c r="L256" i="17"/>
  <c r="M256" i="17"/>
  <c r="N256" i="17"/>
  <c r="O256" i="17"/>
  <c r="P256" i="17"/>
  <c r="Q256" i="17"/>
  <c r="R256" i="17"/>
  <c r="S256" i="17"/>
  <c r="T256" i="17"/>
  <c r="U256" i="17"/>
  <c r="V256" i="17"/>
  <c r="W256" i="17"/>
  <c r="X256" i="17"/>
  <c r="Y256" i="17"/>
  <c r="Z256" i="17"/>
  <c r="AA256" i="17"/>
  <c r="AB256" i="17"/>
  <c r="AC256" i="17"/>
  <c r="AD256" i="17"/>
  <c r="AE256" i="17"/>
  <c r="AF256" i="17"/>
  <c r="AG256" i="17"/>
  <c r="AH256" i="17"/>
  <c r="AI256" i="17"/>
  <c r="AJ256" i="17"/>
  <c r="AK256" i="17"/>
  <c r="AL256" i="17"/>
  <c r="AM256" i="17"/>
  <c r="AN256" i="17"/>
  <c r="E257" i="17"/>
  <c r="G257" i="17"/>
  <c r="H257" i="17"/>
  <c r="I257" i="17"/>
  <c r="K257" i="17"/>
  <c r="L257" i="17"/>
  <c r="M257" i="17"/>
  <c r="N257" i="17"/>
  <c r="O257" i="17"/>
  <c r="P257" i="17"/>
  <c r="Q257" i="17"/>
  <c r="R257" i="17"/>
  <c r="S257" i="17"/>
  <c r="T257" i="17"/>
  <c r="U257" i="17"/>
  <c r="V257" i="17"/>
  <c r="W257" i="17"/>
  <c r="X257" i="17"/>
  <c r="Y257" i="17"/>
  <c r="Z257" i="17"/>
  <c r="AA257" i="17"/>
  <c r="AB257" i="17"/>
  <c r="AC257" i="17"/>
  <c r="AD257" i="17"/>
  <c r="AE257" i="17"/>
  <c r="AF257" i="17"/>
  <c r="AG257" i="17"/>
  <c r="AH257" i="17"/>
  <c r="AI257" i="17"/>
  <c r="AJ257" i="17"/>
  <c r="AK257" i="17"/>
  <c r="AL257" i="17"/>
  <c r="AM257" i="17"/>
  <c r="AN257" i="17"/>
  <c r="E258" i="17"/>
  <c r="G258" i="17"/>
  <c r="H258" i="17"/>
  <c r="I258" i="17"/>
  <c r="K258" i="17"/>
  <c r="L258" i="17"/>
  <c r="M258" i="17"/>
  <c r="N258" i="17"/>
  <c r="O258" i="17"/>
  <c r="P258" i="17"/>
  <c r="Q258" i="17"/>
  <c r="R258" i="17"/>
  <c r="S258" i="17"/>
  <c r="T258" i="17"/>
  <c r="U258" i="17"/>
  <c r="V258" i="17"/>
  <c r="W258" i="17"/>
  <c r="X258" i="17"/>
  <c r="Y258" i="17"/>
  <c r="Z258" i="17"/>
  <c r="AA258" i="17"/>
  <c r="AB258" i="17"/>
  <c r="AC258" i="17"/>
  <c r="AD258" i="17"/>
  <c r="AE258" i="17"/>
  <c r="AF258" i="17"/>
  <c r="AG258" i="17"/>
  <c r="AH258" i="17"/>
  <c r="AI258" i="17"/>
  <c r="AJ258" i="17"/>
  <c r="AK258" i="17"/>
  <c r="AL258" i="17"/>
  <c r="AM258" i="17"/>
  <c r="AN258" i="17"/>
  <c r="E259" i="17"/>
  <c r="G259" i="17"/>
  <c r="H259" i="17"/>
  <c r="I259" i="17"/>
  <c r="K259" i="17"/>
  <c r="L259" i="17"/>
  <c r="M259" i="17"/>
  <c r="N259" i="17"/>
  <c r="O259" i="17"/>
  <c r="P259" i="17"/>
  <c r="Q259" i="17"/>
  <c r="R259" i="17"/>
  <c r="S259" i="17"/>
  <c r="T259" i="17"/>
  <c r="U259" i="17"/>
  <c r="V259" i="17"/>
  <c r="W259" i="17"/>
  <c r="X259" i="17"/>
  <c r="Y259" i="17"/>
  <c r="Z259" i="17"/>
  <c r="AA259" i="17"/>
  <c r="AB259" i="17"/>
  <c r="AC259" i="17"/>
  <c r="AD259" i="17"/>
  <c r="AE259" i="17"/>
  <c r="AF259" i="17"/>
  <c r="AG259" i="17"/>
  <c r="AH259" i="17"/>
  <c r="AI259" i="17"/>
  <c r="AJ259" i="17"/>
  <c r="AK259" i="17"/>
  <c r="AL259" i="17"/>
  <c r="AM259" i="17"/>
  <c r="AN259" i="17"/>
  <c r="E260" i="17"/>
  <c r="G260" i="17"/>
  <c r="H260" i="17"/>
  <c r="I260" i="17"/>
  <c r="K260" i="17"/>
  <c r="L260" i="17"/>
  <c r="M260" i="17"/>
  <c r="N260" i="17"/>
  <c r="O260" i="17"/>
  <c r="P260" i="17"/>
  <c r="Q260" i="17"/>
  <c r="R260" i="17"/>
  <c r="S260" i="17"/>
  <c r="T260" i="17"/>
  <c r="U260" i="17"/>
  <c r="V260" i="17"/>
  <c r="W260" i="17"/>
  <c r="X260" i="17"/>
  <c r="Y260" i="17"/>
  <c r="Z260" i="17"/>
  <c r="AA260" i="17"/>
  <c r="AB260" i="17"/>
  <c r="AC260" i="17"/>
  <c r="AD260" i="17"/>
  <c r="AE260" i="17"/>
  <c r="AF260" i="17"/>
  <c r="AG260" i="17"/>
  <c r="AH260" i="17"/>
  <c r="AI260" i="17"/>
  <c r="AJ260" i="17"/>
  <c r="AK260" i="17"/>
  <c r="AL260" i="17"/>
  <c r="AM260" i="17"/>
  <c r="AN260" i="17"/>
  <c r="E261" i="17"/>
  <c r="G261" i="17"/>
  <c r="H261" i="17"/>
  <c r="I261" i="17"/>
  <c r="K261" i="17"/>
  <c r="L261" i="17"/>
  <c r="M261" i="17"/>
  <c r="N261" i="17"/>
  <c r="O261" i="17"/>
  <c r="P261" i="17"/>
  <c r="Q261" i="17"/>
  <c r="R261" i="17"/>
  <c r="S261" i="17"/>
  <c r="T261" i="17"/>
  <c r="U261" i="17"/>
  <c r="V261" i="17"/>
  <c r="W261" i="17"/>
  <c r="X261" i="17"/>
  <c r="Y261" i="17"/>
  <c r="Z261" i="17"/>
  <c r="AA261" i="17"/>
  <c r="AB261" i="17"/>
  <c r="AC261" i="17"/>
  <c r="AD261" i="17"/>
  <c r="AE261" i="17"/>
  <c r="AF261" i="17"/>
  <c r="AG261" i="17"/>
  <c r="AH261" i="17"/>
  <c r="AI261" i="17"/>
  <c r="AJ261" i="17"/>
  <c r="AK261" i="17"/>
  <c r="AL261" i="17"/>
  <c r="AM261" i="17"/>
  <c r="AN261" i="17"/>
  <c r="E262" i="17"/>
  <c r="G262" i="17"/>
  <c r="H262" i="17"/>
  <c r="I262" i="17"/>
  <c r="K262" i="17"/>
  <c r="L262" i="17"/>
  <c r="M262" i="17"/>
  <c r="N262" i="17"/>
  <c r="O262" i="17"/>
  <c r="P262" i="17"/>
  <c r="Q262" i="17"/>
  <c r="R262" i="17"/>
  <c r="S262" i="17"/>
  <c r="T262" i="17"/>
  <c r="U262" i="17"/>
  <c r="V262" i="17"/>
  <c r="W262" i="17"/>
  <c r="X262" i="17"/>
  <c r="Y262" i="17"/>
  <c r="Z262" i="17"/>
  <c r="AA262" i="17"/>
  <c r="AB262" i="17"/>
  <c r="AC262" i="17"/>
  <c r="AD262" i="17"/>
  <c r="AE262" i="17"/>
  <c r="AF262" i="17"/>
  <c r="AG262" i="17"/>
  <c r="AH262" i="17"/>
  <c r="AI262" i="17"/>
  <c r="AJ262" i="17"/>
  <c r="AK262" i="17"/>
  <c r="AL262" i="17"/>
  <c r="AM262" i="17"/>
  <c r="AN262" i="17"/>
  <c r="E263" i="17"/>
  <c r="G263" i="17"/>
  <c r="H263" i="17"/>
  <c r="I263" i="17"/>
  <c r="K263" i="17"/>
  <c r="L263" i="17"/>
  <c r="M263" i="17"/>
  <c r="N263" i="17"/>
  <c r="O263" i="17"/>
  <c r="P263" i="17"/>
  <c r="Q263" i="17"/>
  <c r="R263" i="17"/>
  <c r="S263" i="17"/>
  <c r="T263" i="17"/>
  <c r="U263" i="17"/>
  <c r="V263" i="17"/>
  <c r="W263" i="17"/>
  <c r="X263" i="17"/>
  <c r="Y263" i="17"/>
  <c r="Z263" i="17"/>
  <c r="AA263" i="17"/>
  <c r="AB263" i="17"/>
  <c r="AC263" i="17"/>
  <c r="AD263" i="17"/>
  <c r="AE263" i="17"/>
  <c r="AF263" i="17"/>
  <c r="AG263" i="17"/>
  <c r="AH263" i="17"/>
  <c r="AI263" i="17"/>
  <c r="AJ263" i="17"/>
  <c r="AK263" i="17"/>
  <c r="AL263" i="17"/>
  <c r="AM263" i="17"/>
  <c r="AN263" i="17"/>
  <c r="E264" i="17"/>
  <c r="G264" i="17"/>
  <c r="H264" i="17"/>
  <c r="I264" i="17"/>
  <c r="K264" i="17"/>
  <c r="L264" i="17"/>
  <c r="M264" i="17"/>
  <c r="N264" i="17"/>
  <c r="O264" i="17"/>
  <c r="P264" i="17"/>
  <c r="Q264" i="17"/>
  <c r="R264" i="17"/>
  <c r="S264" i="17"/>
  <c r="T264" i="17"/>
  <c r="U264" i="17"/>
  <c r="V264" i="17"/>
  <c r="W264" i="17"/>
  <c r="X264" i="17"/>
  <c r="Y264" i="17"/>
  <c r="Z264" i="17"/>
  <c r="AA264" i="17"/>
  <c r="AB264" i="17"/>
  <c r="AC264" i="17"/>
  <c r="AD264" i="17"/>
  <c r="AE264" i="17"/>
  <c r="AF264" i="17"/>
  <c r="AG264" i="17"/>
  <c r="AH264" i="17"/>
  <c r="AI264" i="17"/>
  <c r="AJ264" i="17"/>
  <c r="AK264" i="17"/>
  <c r="AL264" i="17"/>
  <c r="AM264" i="17"/>
  <c r="AN264" i="17"/>
  <c r="E265" i="17"/>
  <c r="G265" i="17"/>
  <c r="H265" i="17"/>
  <c r="I265" i="17"/>
  <c r="K265" i="17"/>
  <c r="L265" i="17"/>
  <c r="M265" i="17"/>
  <c r="N265" i="17"/>
  <c r="O265" i="17"/>
  <c r="P265" i="17"/>
  <c r="Q265" i="17"/>
  <c r="R265" i="17"/>
  <c r="S265" i="17"/>
  <c r="T265" i="17"/>
  <c r="U265" i="17"/>
  <c r="V265" i="17"/>
  <c r="W265" i="17"/>
  <c r="X265" i="17"/>
  <c r="Y265" i="17"/>
  <c r="Z265" i="17"/>
  <c r="AA265" i="17"/>
  <c r="AB265" i="17"/>
  <c r="AC265" i="17"/>
  <c r="AD265" i="17"/>
  <c r="AE265" i="17"/>
  <c r="AF265" i="17"/>
  <c r="AG265" i="17"/>
  <c r="AH265" i="17"/>
  <c r="AI265" i="17"/>
  <c r="AJ265" i="17"/>
  <c r="AK265" i="17"/>
  <c r="AL265" i="17"/>
  <c r="AM265" i="17"/>
  <c r="AN265" i="17"/>
  <c r="E266" i="17"/>
  <c r="G266" i="17"/>
  <c r="H266" i="17"/>
  <c r="I266" i="17"/>
  <c r="K266" i="17"/>
  <c r="L266" i="17"/>
  <c r="M266" i="17"/>
  <c r="N266" i="17"/>
  <c r="O266" i="17"/>
  <c r="P266" i="17"/>
  <c r="Q266" i="17"/>
  <c r="R266" i="17"/>
  <c r="S266" i="17"/>
  <c r="T266" i="17"/>
  <c r="U266" i="17"/>
  <c r="V266" i="17"/>
  <c r="W266" i="17"/>
  <c r="X266" i="17"/>
  <c r="Y266" i="17"/>
  <c r="Z266" i="17"/>
  <c r="AA266" i="17"/>
  <c r="AB266" i="17"/>
  <c r="AC266" i="17"/>
  <c r="AD266" i="17"/>
  <c r="AE266" i="17"/>
  <c r="AF266" i="17"/>
  <c r="AG266" i="17"/>
  <c r="AH266" i="17"/>
  <c r="AI266" i="17"/>
  <c r="AJ266" i="17"/>
  <c r="AK266" i="17"/>
  <c r="AL266" i="17"/>
  <c r="AM266" i="17"/>
  <c r="AN266" i="17"/>
  <c r="E267" i="17"/>
  <c r="G267" i="17"/>
  <c r="H267" i="17"/>
  <c r="I267" i="17"/>
  <c r="K267" i="17"/>
  <c r="L267" i="17"/>
  <c r="M267" i="17"/>
  <c r="N267" i="17"/>
  <c r="O267" i="17"/>
  <c r="P267" i="17"/>
  <c r="Q267" i="17"/>
  <c r="R267" i="17"/>
  <c r="S267" i="17"/>
  <c r="T267" i="17"/>
  <c r="U267" i="17"/>
  <c r="V267" i="17"/>
  <c r="W267" i="17"/>
  <c r="X267" i="17"/>
  <c r="Y267" i="17"/>
  <c r="Z267" i="17"/>
  <c r="AA267" i="17"/>
  <c r="AB267" i="17"/>
  <c r="AC267" i="17"/>
  <c r="AD267" i="17"/>
  <c r="AE267" i="17"/>
  <c r="AF267" i="17"/>
  <c r="AG267" i="17"/>
  <c r="AH267" i="17"/>
  <c r="AI267" i="17"/>
  <c r="AJ267" i="17"/>
  <c r="AK267" i="17"/>
  <c r="AL267" i="17"/>
  <c r="AM267" i="17"/>
  <c r="AN267" i="17"/>
  <c r="E268" i="17"/>
  <c r="G268" i="17"/>
  <c r="H268" i="17"/>
  <c r="I268" i="17"/>
  <c r="K268" i="17"/>
  <c r="L268" i="17"/>
  <c r="M268" i="17"/>
  <c r="N268" i="17"/>
  <c r="O268" i="17"/>
  <c r="P268" i="17"/>
  <c r="Q268" i="17"/>
  <c r="R268" i="17"/>
  <c r="S268" i="17"/>
  <c r="T268" i="17"/>
  <c r="U268" i="17"/>
  <c r="V268" i="17"/>
  <c r="W268" i="17"/>
  <c r="X268" i="17"/>
  <c r="Y268" i="17"/>
  <c r="Z268" i="17"/>
  <c r="AA268" i="17"/>
  <c r="AB268" i="17"/>
  <c r="AC268" i="17"/>
  <c r="AD268" i="17"/>
  <c r="AE268" i="17"/>
  <c r="AF268" i="17"/>
  <c r="AG268" i="17"/>
  <c r="AH268" i="17"/>
  <c r="AI268" i="17"/>
  <c r="AJ268" i="17"/>
  <c r="AK268" i="17"/>
  <c r="AL268" i="17"/>
  <c r="AM268" i="17"/>
  <c r="AN268" i="17"/>
  <c r="E269" i="17"/>
  <c r="G269" i="17"/>
  <c r="H269" i="17"/>
  <c r="I269" i="17"/>
  <c r="K269" i="17"/>
  <c r="L269" i="17"/>
  <c r="M269" i="17"/>
  <c r="N269" i="17"/>
  <c r="O269" i="17"/>
  <c r="P269" i="17"/>
  <c r="Q269" i="17"/>
  <c r="R269" i="17"/>
  <c r="S269" i="17"/>
  <c r="T269" i="17"/>
  <c r="U269" i="17"/>
  <c r="V269" i="17"/>
  <c r="W269" i="17"/>
  <c r="X269" i="17"/>
  <c r="Y269" i="17"/>
  <c r="Z269" i="17"/>
  <c r="AA269" i="17"/>
  <c r="AB269" i="17"/>
  <c r="AC269" i="17"/>
  <c r="AD269" i="17"/>
  <c r="AE269" i="17"/>
  <c r="AF269" i="17"/>
  <c r="AG269" i="17"/>
  <c r="AH269" i="17"/>
  <c r="AI269" i="17"/>
  <c r="AJ269" i="17"/>
  <c r="AK269" i="17"/>
  <c r="AL269" i="17"/>
  <c r="AM269" i="17"/>
  <c r="AN269" i="17"/>
  <c r="E270" i="17"/>
  <c r="G270" i="17"/>
  <c r="H270" i="17"/>
  <c r="I270" i="17"/>
  <c r="K270" i="17"/>
  <c r="L270" i="17"/>
  <c r="M270" i="17"/>
  <c r="N270" i="17"/>
  <c r="O270" i="17"/>
  <c r="P270" i="17"/>
  <c r="Q270" i="17"/>
  <c r="R270" i="17"/>
  <c r="S270" i="17"/>
  <c r="T270" i="17"/>
  <c r="U270" i="17"/>
  <c r="V270" i="17"/>
  <c r="W270" i="17"/>
  <c r="X270" i="17"/>
  <c r="Y270" i="17"/>
  <c r="Z270" i="17"/>
  <c r="AA270" i="17"/>
  <c r="AB270" i="17"/>
  <c r="AC270" i="17"/>
  <c r="AD270" i="17"/>
  <c r="AE270" i="17"/>
  <c r="AF270" i="17"/>
  <c r="AG270" i="17"/>
  <c r="AH270" i="17"/>
  <c r="AI270" i="17"/>
  <c r="AJ270" i="17"/>
  <c r="AK270" i="17"/>
  <c r="AL270" i="17"/>
  <c r="AM270" i="17"/>
  <c r="AN270" i="17"/>
  <c r="E271" i="17"/>
  <c r="G271" i="17"/>
  <c r="H271" i="17"/>
  <c r="I271" i="17"/>
  <c r="K271" i="17"/>
  <c r="L271" i="17"/>
  <c r="M271" i="17"/>
  <c r="N271" i="17"/>
  <c r="O271" i="17"/>
  <c r="P271" i="17"/>
  <c r="Q271" i="17"/>
  <c r="R271" i="17"/>
  <c r="S271" i="17"/>
  <c r="T271" i="17"/>
  <c r="U271" i="17"/>
  <c r="V271" i="17"/>
  <c r="W271" i="17"/>
  <c r="X271" i="17"/>
  <c r="Y271" i="17"/>
  <c r="Z271" i="17"/>
  <c r="AA271" i="17"/>
  <c r="AB271" i="17"/>
  <c r="AC271" i="17"/>
  <c r="AD271" i="17"/>
  <c r="AE271" i="17"/>
  <c r="AF271" i="17"/>
  <c r="AG271" i="17"/>
  <c r="AH271" i="17"/>
  <c r="AI271" i="17"/>
  <c r="AJ271" i="17"/>
  <c r="AK271" i="17"/>
  <c r="AL271" i="17"/>
  <c r="AM271" i="17"/>
  <c r="AN271" i="17"/>
  <c r="E272" i="17"/>
  <c r="G272" i="17"/>
  <c r="H272" i="17"/>
  <c r="I272" i="17"/>
  <c r="K272" i="17"/>
  <c r="L272" i="17"/>
  <c r="M272" i="17"/>
  <c r="N272" i="17"/>
  <c r="O272" i="17"/>
  <c r="P272" i="17"/>
  <c r="Q272" i="17"/>
  <c r="R272" i="17"/>
  <c r="S272" i="17"/>
  <c r="T272" i="17"/>
  <c r="U272" i="17"/>
  <c r="V272" i="17"/>
  <c r="W272" i="17"/>
  <c r="X272" i="17"/>
  <c r="Y272" i="17"/>
  <c r="Z272" i="17"/>
  <c r="AA272" i="17"/>
  <c r="AB272" i="17"/>
  <c r="AC272" i="17"/>
  <c r="AD272" i="17"/>
  <c r="AE272" i="17"/>
  <c r="AF272" i="17"/>
  <c r="AG272" i="17"/>
  <c r="AH272" i="17"/>
  <c r="AI272" i="17"/>
  <c r="AJ272" i="17"/>
  <c r="AK272" i="17"/>
  <c r="AL272" i="17"/>
  <c r="AM272" i="17"/>
  <c r="AN272" i="17"/>
  <c r="DB8" i="1" l="1"/>
  <c r="DB9" i="1"/>
  <c r="DB10" i="1"/>
  <c r="DB11" i="1"/>
  <c r="DB12" i="1"/>
  <c r="DB13" i="1"/>
  <c r="DB14" i="1"/>
  <c r="DB15" i="1"/>
  <c r="DB16" i="1"/>
  <c r="DB17" i="1"/>
  <c r="DB18" i="1"/>
  <c r="DB19" i="1"/>
  <c r="DB20" i="1"/>
  <c r="DB21" i="1"/>
  <c r="DB22" i="1"/>
  <c r="DB23" i="1"/>
  <c r="DB24" i="1"/>
  <c r="DB25" i="1"/>
  <c r="DB26" i="1"/>
  <c r="DB27" i="1"/>
  <c r="DB28" i="1"/>
  <c r="DB29" i="1"/>
  <c r="DB30" i="1"/>
  <c r="DB31" i="1"/>
  <c r="DB32" i="1"/>
  <c r="DB33" i="1"/>
  <c r="DB34" i="1"/>
  <c r="DB35" i="1"/>
  <c r="DB36" i="1"/>
  <c r="DB37" i="1"/>
  <c r="DB38" i="1"/>
  <c r="DB39" i="1"/>
  <c r="DB40" i="1"/>
  <c r="DB41" i="1"/>
  <c r="DB42" i="1"/>
  <c r="DB43" i="1"/>
  <c r="DB44" i="1"/>
  <c r="DB45" i="1"/>
  <c r="DB46" i="1"/>
  <c r="DB47" i="1"/>
  <c r="DB48" i="1"/>
  <c r="DB49" i="1"/>
  <c r="DB50" i="1"/>
  <c r="DB51" i="1"/>
  <c r="DB52" i="1"/>
  <c r="DB53" i="1"/>
  <c r="DB54" i="1"/>
  <c r="DB55" i="1"/>
  <c r="DB56" i="1"/>
  <c r="DB57" i="1"/>
  <c r="DB58" i="1"/>
  <c r="DB59" i="1"/>
  <c r="DB60" i="1"/>
  <c r="DB61" i="1"/>
  <c r="DB62" i="1"/>
  <c r="DB63" i="1"/>
  <c r="DB64" i="1"/>
  <c r="DB65" i="1"/>
  <c r="DB66" i="1"/>
  <c r="DB67" i="1"/>
  <c r="DB68" i="1"/>
  <c r="DB69" i="1"/>
  <c r="DB70" i="1"/>
  <c r="DB71" i="1"/>
  <c r="DB72" i="1"/>
  <c r="DB73" i="1"/>
  <c r="DB74" i="1"/>
  <c r="DB75" i="1"/>
  <c r="DB76" i="1"/>
  <c r="DB77" i="1"/>
  <c r="DB78" i="1"/>
  <c r="DB79" i="1"/>
  <c r="DB80" i="1"/>
  <c r="DB81" i="1"/>
  <c r="DB82" i="1"/>
  <c r="DB83" i="1"/>
  <c r="DB84" i="1"/>
  <c r="DB85" i="1"/>
  <c r="DB86" i="1"/>
  <c r="DB87" i="1"/>
  <c r="DB88" i="1"/>
  <c r="DB89" i="1"/>
  <c r="DB90" i="1"/>
  <c r="DB91" i="1"/>
  <c r="DB92" i="1"/>
  <c r="DB93" i="1"/>
  <c r="DB94" i="1"/>
  <c r="DB95" i="1"/>
  <c r="DB96" i="1"/>
  <c r="DB97" i="1"/>
  <c r="DB98" i="1"/>
  <c r="DB99" i="1"/>
  <c r="DB100" i="1"/>
  <c r="DB101" i="1"/>
  <c r="DB102" i="1"/>
  <c r="DB103" i="1"/>
  <c r="DB104" i="1"/>
  <c r="DB105" i="1"/>
  <c r="DB106" i="1"/>
  <c r="DB107" i="1"/>
  <c r="DB108" i="1"/>
  <c r="DB109" i="1"/>
  <c r="DB110" i="1"/>
  <c r="DB111" i="1"/>
  <c r="DB112" i="1"/>
  <c r="DB113" i="1"/>
  <c r="DB114" i="1"/>
  <c r="DB115" i="1"/>
  <c r="DB116" i="1"/>
  <c r="DB117" i="1"/>
  <c r="DB118" i="1"/>
  <c r="DB119" i="1"/>
  <c r="DB120" i="1"/>
  <c r="DB121" i="1"/>
  <c r="DB122" i="1"/>
  <c r="DB123" i="1"/>
  <c r="DB124" i="1"/>
  <c r="DB125" i="1"/>
  <c r="DB126" i="1"/>
  <c r="DB127" i="1"/>
  <c r="DB128" i="1"/>
  <c r="DB129" i="1"/>
  <c r="DB130" i="1"/>
  <c r="DB131" i="1"/>
  <c r="DB132" i="1"/>
  <c r="DB133" i="1"/>
  <c r="DB134" i="1"/>
  <c r="DB135" i="1"/>
  <c r="DB136" i="1"/>
  <c r="DB137" i="1"/>
  <c r="DB138" i="1"/>
  <c r="DB139" i="1"/>
  <c r="DB140" i="1"/>
  <c r="DB141" i="1"/>
  <c r="DB142" i="1"/>
  <c r="DB143" i="1"/>
  <c r="DB144" i="1"/>
  <c r="DB145" i="1"/>
  <c r="DB7" i="1"/>
  <c r="DA9" i="1"/>
  <c r="DA10" i="1"/>
  <c r="DA11" i="1"/>
  <c r="DA12" i="1"/>
  <c r="DA13" i="1"/>
  <c r="DA14" i="1"/>
  <c r="DA15" i="1"/>
  <c r="DA16" i="1"/>
  <c r="DA18" i="1"/>
  <c r="DA19" i="1"/>
  <c r="DA20" i="1"/>
  <c r="DA22" i="1"/>
  <c r="DA23" i="1"/>
  <c r="DA24" i="1"/>
  <c r="DA25" i="1"/>
  <c r="DA26" i="1"/>
  <c r="DA28" i="1"/>
  <c r="DA29" i="1"/>
  <c r="DA30" i="1"/>
  <c r="DA33" i="1"/>
  <c r="DA36" i="1"/>
  <c r="DA40" i="1"/>
  <c r="DA41" i="1"/>
  <c r="DA44" i="1"/>
  <c r="DA45" i="1"/>
  <c r="DA46" i="1"/>
  <c r="DA47" i="1"/>
  <c r="DA51" i="1"/>
  <c r="DA52" i="1"/>
  <c r="DA54" i="1"/>
  <c r="DA55" i="1"/>
  <c r="DA58" i="1"/>
  <c r="DA60" i="1"/>
  <c r="DA61" i="1"/>
  <c r="DA62" i="1"/>
  <c r="DA64" i="1"/>
  <c r="DA65" i="1"/>
  <c r="DA67" i="1"/>
  <c r="DA70" i="1"/>
  <c r="DA75" i="1"/>
  <c r="DA76" i="1"/>
  <c r="DA79" i="1"/>
  <c r="DA83" i="1"/>
  <c r="DA84" i="1"/>
  <c r="DA86" i="1"/>
  <c r="DA87" i="1"/>
  <c r="DA88" i="1"/>
  <c r="DA91" i="1"/>
  <c r="DA98" i="1"/>
  <c r="DA99" i="1"/>
  <c r="DA100" i="1"/>
  <c r="DA104" i="1"/>
  <c r="DA105" i="1"/>
  <c r="DA107" i="1"/>
  <c r="DA108" i="1"/>
  <c r="DA118" i="1"/>
  <c r="DA119" i="1"/>
  <c r="DA120" i="1"/>
  <c r="DA121" i="1"/>
  <c r="DA124" i="1"/>
  <c r="DA131" i="1"/>
  <c r="DA134" i="1"/>
  <c r="DA135" i="1"/>
  <c r="DA136" i="1"/>
  <c r="DA137" i="1"/>
  <c r="DA138" i="1"/>
  <c r="DA140" i="1"/>
  <c r="DA143" i="1"/>
  <c r="DA144" i="1"/>
  <c r="CZ8" i="1"/>
  <c r="DA8" i="1" s="1"/>
  <c r="CZ9" i="1"/>
  <c r="CZ10" i="1"/>
  <c r="CZ11" i="1"/>
  <c r="CZ12" i="1"/>
  <c r="CZ13" i="1"/>
  <c r="CZ14" i="1"/>
  <c r="CZ15" i="1"/>
  <c r="CZ16" i="1"/>
  <c r="CZ17" i="1"/>
  <c r="DA17" i="1" s="1"/>
  <c r="CZ18" i="1"/>
  <c r="CZ19" i="1"/>
  <c r="CZ20" i="1"/>
  <c r="CZ21" i="1"/>
  <c r="DA21" i="1" s="1"/>
  <c r="CZ22" i="1"/>
  <c r="CZ23" i="1"/>
  <c r="CZ24" i="1"/>
  <c r="CZ25" i="1"/>
  <c r="CZ26" i="1"/>
  <c r="CZ27" i="1"/>
  <c r="DA27" i="1" s="1"/>
  <c r="CZ28" i="1"/>
  <c r="CZ29" i="1"/>
  <c r="CZ30" i="1"/>
  <c r="CZ31" i="1"/>
  <c r="DA31" i="1" s="1"/>
  <c r="CZ32" i="1"/>
  <c r="DA32" i="1" s="1"/>
  <c r="CZ33" i="1"/>
  <c r="CZ34" i="1"/>
  <c r="DA34" i="1" s="1"/>
  <c r="CZ35" i="1"/>
  <c r="DA35" i="1" s="1"/>
  <c r="CZ36" i="1"/>
  <c r="CZ37" i="1"/>
  <c r="DA37" i="1" s="1"/>
  <c r="CZ38" i="1"/>
  <c r="DA38" i="1" s="1"/>
  <c r="CZ39" i="1"/>
  <c r="DA39" i="1" s="1"/>
  <c r="CZ40" i="1"/>
  <c r="CZ41" i="1"/>
  <c r="CZ42" i="1"/>
  <c r="DA42" i="1" s="1"/>
  <c r="CZ43" i="1"/>
  <c r="DA43" i="1" s="1"/>
  <c r="CZ44" i="1"/>
  <c r="CZ45" i="1"/>
  <c r="CZ46" i="1"/>
  <c r="CZ47" i="1"/>
  <c r="CZ48" i="1"/>
  <c r="DA48" i="1" s="1"/>
  <c r="CZ49" i="1"/>
  <c r="DA49" i="1" s="1"/>
  <c r="CZ50" i="1"/>
  <c r="DA50" i="1" s="1"/>
  <c r="CZ51" i="1"/>
  <c r="CZ52" i="1"/>
  <c r="CZ53" i="1"/>
  <c r="DA53" i="1" s="1"/>
  <c r="CZ54" i="1"/>
  <c r="CZ55" i="1"/>
  <c r="CZ56" i="1"/>
  <c r="DA56" i="1" s="1"/>
  <c r="CZ57" i="1"/>
  <c r="DA57" i="1" s="1"/>
  <c r="CZ58" i="1"/>
  <c r="CZ59" i="1"/>
  <c r="DA59" i="1" s="1"/>
  <c r="CZ60" i="1"/>
  <c r="CZ61" i="1"/>
  <c r="CZ62" i="1"/>
  <c r="CZ63" i="1"/>
  <c r="DA63" i="1" s="1"/>
  <c r="CZ64" i="1"/>
  <c r="CZ65" i="1"/>
  <c r="CZ66" i="1"/>
  <c r="DA66" i="1" s="1"/>
  <c r="CZ67" i="1"/>
  <c r="CZ68" i="1"/>
  <c r="DA68" i="1" s="1"/>
  <c r="CZ69" i="1"/>
  <c r="DA69" i="1" s="1"/>
  <c r="CZ70" i="1"/>
  <c r="CZ71" i="1"/>
  <c r="DA71" i="1" s="1"/>
  <c r="CZ72" i="1"/>
  <c r="DA72" i="1" s="1"/>
  <c r="CZ73" i="1"/>
  <c r="DA73" i="1" s="1"/>
  <c r="CZ74" i="1"/>
  <c r="DA74" i="1" s="1"/>
  <c r="CZ75" i="1"/>
  <c r="CZ76" i="1"/>
  <c r="CZ77" i="1"/>
  <c r="DA77" i="1" s="1"/>
  <c r="CZ78" i="1"/>
  <c r="DA78" i="1" s="1"/>
  <c r="CZ79" i="1"/>
  <c r="CZ80" i="1"/>
  <c r="DA80" i="1" s="1"/>
  <c r="CZ81" i="1"/>
  <c r="DA81" i="1" s="1"/>
  <c r="CZ82" i="1"/>
  <c r="DA82" i="1" s="1"/>
  <c r="CZ83" i="1"/>
  <c r="CZ84" i="1"/>
  <c r="CZ85" i="1"/>
  <c r="DA85" i="1" s="1"/>
  <c r="CZ86" i="1"/>
  <c r="CZ87" i="1"/>
  <c r="CZ88" i="1"/>
  <c r="CZ89" i="1"/>
  <c r="DA89" i="1" s="1"/>
  <c r="CZ90" i="1"/>
  <c r="DA90" i="1" s="1"/>
  <c r="CZ91" i="1"/>
  <c r="CZ92" i="1"/>
  <c r="DA92" i="1" s="1"/>
  <c r="CZ93" i="1"/>
  <c r="DA93" i="1" s="1"/>
  <c r="CZ94" i="1"/>
  <c r="DA94" i="1" s="1"/>
  <c r="CZ95" i="1"/>
  <c r="DA95" i="1" s="1"/>
  <c r="CZ96" i="1"/>
  <c r="DA96" i="1" s="1"/>
  <c r="CZ97" i="1"/>
  <c r="DA97" i="1" s="1"/>
  <c r="CZ98" i="1"/>
  <c r="CZ99" i="1"/>
  <c r="CZ100" i="1"/>
  <c r="CZ101" i="1"/>
  <c r="DA101" i="1" s="1"/>
  <c r="CZ102" i="1"/>
  <c r="DA102" i="1" s="1"/>
  <c r="CZ103" i="1"/>
  <c r="DA103" i="1" s="1"/>
  <c r="CZ104" i="1"/>
  <c r="CZ105" i="1"/>
  <c r="CZ106" i="1"/>
  <c r="DA106" i="1" s="1"/>
  <c r="CZ107" i="1"/>
  <c r="CZ108" i="1"/>
  <c r="CZ109" i="1"/>
  <c r="DA109" i="1" s="1"/>
  <c r="CZ110" i="1"/>
  <c r="DA110" i="1" s="1"/>
  <c r="CZ111" i="1"/>
  <c r="DA111" i="1" s="1"/>
  <c r="CZ112" i="1"/>
  <c r="DA112" i="1" s="1"/>
  <c r="CZ113" i="1"/>
  <c r="DA113" i="1" s="1"/>
  <c r="CZ114" i="1"/>
  <c r="DA114" i="1" s="1"/>
  <c r="CZ115" i="1"/>
  <c r="DA115" i="1" s="1"/>
  <c r="CZ116" i="1"/>
  <c r="DA116" i="1" s="1"/>
  <c r="CZ117" i="1"/>
  <c r="DA117" i="1" s="1"/>
  <c r="CZ118" i="1"/>
  <c r="CZ119" i="1"/>
  <c r="CZ120" i="1"/>
  <c r="CZ121" i="1"/>
  <c r="CZ122" i="1"/>
  <c r="DA122" i="1" s="1"/>
  <c r="CZ123" i="1"/>
  <c r="DA123" i="1" s="1"/>
  <c r="CZ124" i="1"/>
  <c r="CZ125" i="1"/>
  <c r="DA125" i="1" s="1"/>
  <c r="CZ126" i="1"/>
  <c r="DA126" i="1" s="1"/>
  <c r="CZ127" i="1"/>
  <c r="DA127" i="1" s="1"/>
  <c r="CZ128" i="1"/>
  <c r="DA128" i="1" s="1"/>
  <c r="CZ129" i="1"/>
  <c r="DA129" i="1" s="1"/>
  <c r="CZ130" i="1"/>
  <c r="DA130" i="1" s="1"/>
  <c r="CZ131" i="1"/>
  <c r="CZ132" i="1"/>
  <c r="DA132" i="1" s="1"/>
  <c r="CZ133" i="1"/>
  <c r="DA133" i="1" s="1"/>
  <c r="CZ134" i="1"/>
  <c r="CZ135" i="1"/>
  <c r="CZ136" i="1"/>
  <c r="CZ137" i="1"/>
  <c r="CZ138" i="1"/>
  <c r="CZ139" i="1"/>
  <c r="DA139" i="1" s="1"/>
  <c r="CZ140" i="1"/>
  <c r="CZ141" i="1"/>
  <c r="DA141" i="1" s="1"/>
  <c r="CZ142" i="1"/>
  <c r="DA142" i="1" s="1"/>
  <c r="CZ143" i="1"/>
  <c r="CZ144" i="1"/>
  <c r="CZ145" i="1"/>
  <c r="DA145" i="1" s="1"/>
  <c r="CZ7" i="1"/>
  <c r="DA7" i="1" s="1"/>
  <c r="DB146" i="1" l="1"/>
  <c r="DA146" i="1"/>
  <c r="BW214" i="1"/>
  <c r="BX214" i="1"/>
  <c r="BY214" i="1"/>
  <c r="CA214" i="1"/>
  <c r="CB214" i="1" s="1"/>
  <c r="BW215" i="1"/>
  <c r="BX215" i="1"/>
  <c r="BY215" i="1"/>
  <c r="CA215" i="1"/>
  <c r="CB215" i="1" s="1"/>
  <c r="BW216" i="1"/>
  <c r="BX216" i="1"/>
  <c r="BY216" i="1"/>
  <c r="CA216" i="1"/>
  <c r="CB216" i="1" s="1"/>
  <c r="CC216" i="1" s="1"/>
  <c r="BW217" i="1"/>
  <c r="BX217" i="1"/>
  <c r="BY217" i="1"/>
  <c r="CA217" i="1"/>
  <c r="CB217" i="1" s="1"/>
  <c r="CH217" i="1" s="1"/>
  <c r="BW218" i="1"/>
  <c r="BX218" i="1"/>
  <c r="BY218" i="1"/>
  <c r="CA218" i="1"/>
  <c r="CB218" i="1" s="1"/>
  <c r="CC218" i="1" s="1"/>
  <c r="BW219" i="1"/>
  <c r="BX219" i="1"/>
  <c r="BY219" i="1"/>
  <c r="CA219" i="1"/>
  <c r="CB219" i="1" s="1"/>
  <c r="CH219" i="1" s="1"/>
  <c r="BW220" i="1"/>
  <c r="BX220" i="1"/>
  <c r="BY220" i="1"/>
  <c r="CA220" i="1"/>
  <c r="CB220" i="1" s="1"/>
  <c r="CC220" i="1" s="1"/>
  <c r="BW221" i="1"/>
  <c r="BX221" i="1"/>
  <c r="BY221" i="1"/>
  <c r="CA221" i="1"/>
  <c r="CB221" i="1" s="1"/>
  <c r="CH221" i="1" s="1"/>
  <c r="BW222" i="1"/>
  <c r="BX222" i="1"/>
  <c r="BY222" i="1"/>
  <c r="CA222" i="1"/>
  <c r="CB222" i="1" s="1"/>
  <c r="CC222" i="1" s="1"/>
  <c r="BW223" i="1"/>
  <c r="BX223" i="1"/>
  <c r="BY223" i="1"/>
  <c r="CA223" i="1"/>
  <c r="CB223" i="1" s="1"/>
  <c r="BW224" i="1"/>
  <c r="BX224" i="1"/>
  <c r="BY224" i="1"/>
  <c r="CA224" i="1"/>
  <c r="CB224" i="1" s="1"/>
  <c r="CC224" i="1" s="1"/>
  <c r="BW225" i="1"/>
  <c r="AN224" i="17" s="1"/>
  <c r="BX225" i="1"/>
  <c r="BY225" i="1"/>
  <c r="CA225" i="1"/>
  <c r="CB225" i="1" s="1"/>
  <c r="BW226" i="1"/>
  <c r="AN225" i="17" s="1"/>
  <c r="BX226" i="1"/>
  <c r="BY226" i="1"/>
  <c r="CA226" i="1"/>
  <c r="CB226" i="1" s="1"/>
  <c r="CH226" i="1" s="1"/>
  <c r="BW227" i="1"/>
  <c r="AN226" i="17" s="1"/>
  <c r="BX227" i="1"/>
  <c r="BY227" i="1"/>
  <c r="CA227" i="1"/>
  <c r="CB227" i="1" s="1"/>
  <c r="CC227" i="1" s="1"/>
  <c r="BW228" i="1"/>
  <c r="AN227" i="17" s="1"/>
  <c r="BX228" i="1"/>
  <c r="BY228" i="1"/>
  <c r="CA228" i="1"/>
  <c r="CB228" i="1" s="1"/>
  <c r="CH228" i="1" s="1"/>
  <c r="BW229" i="1"/>
  <c r="AN228" i="17" s="1"/>
  <c r="BX229" i="1"/>
  <c r="BY229" i="1"/>
  <c r="CA229" i="1"/>
  <c r="CB229" i="1" s="1"/>
  <c r="CC229" i="1" s="1"/>
  <c r="BW230" i="1"/>
  <c r="AN229" i="17" s="1"/>
  <c r="BX230" i="1"/>
  <c r="BY230" i="1"/>
  <c r="CA230" i="1"/>
  <c r="CB230" i="1" s="1"/>
  <c r="CH230" i="1" s="1"/>
  <c r="BW231" i="1"/>
  <c r="AN230" i="17" s="1"/>
  <c r="BX231" i="1"/>
  <c r="BY231" i="1"/>
  <c r="CA231" i="1"/>
  <c r="CB231" i="1" s="1"/>
  <c r="CC231" i="1" s="1"/>
  <c r="BW232" i="1"/>
  <c r="AN231" i="17" s="1"/>
  <c r="BX232" i="1"/>
  <c r="BY232" i="1"/>
  <c r="CA232" i="1"/>
  <c r="AJ214" i="1"/>
  <c r="F213" i="17" s="1"/>
  <c r="AJ215" i="1"/>
  <c r="F214" i="17" s="1"/>
  <c r="AJ216" i="1"/>
  <c r="F215" i="17" s="1"/>
  <c r="AJ217" i="1"/>
  <c r="F216" i="17" s="1"/>
  <c r="AJ218" i="1"/>
  <c r="F217" i="17" s="1"/>
  <c r="AJ219" i="1"/>
  <c r="F218" i="17" s="1"/>
  <c r="AJ220" i="1"/>
  <c r="F219" i="17" s="1"/>
  <c r="AJ221" i="1"/>
  <c r="F220" i="17" s="1"/>
  <c r="AJ222" i="1"/>
  <c r="F221" i="17" s="1"/>
  <c r="AJ223" i="1"/>
  <c r="F222" i="17" s="1"/>
  <c r="AJ224" i="1"/>
  <c r="F223" i="17" s="1"/>
  <c r="AJ225" i="1"/>
  <c r="F224" i="17" s="1"/>
  <c r="AJ226" i="1"/>
  <c r="F225" i="17" s="1"/>
  <c r="AJ227" i="1"/>
  <c r="F226" i="17" s="1"/>
  <c r="AJ228" i="1"/>
  <c r="F227" i="17" s="1"/>
  <c r="AJ229" i="1"/>
  <c r="F228" i="17" s="1"/>
  <c r="AJ230" i="1"/>
  <c r="F229" i="17" s="1"/>
  <c r="AJ231" i="1"/>
  <c r="F230" i="17" s="1"/>
  <c r="AJ232" i="1"/>
  <c r="F231" i="17" s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M224" i="17" s="1"/>
  <c r="T225" i="1"/>
  <c r="N224" i="17" s="1"/>
  <c r="S226" i="1"/>
  <c r="M225" i="17" s="1"/>
  <c r="T226" i="1"/>
  <c r="N225" i="17" s="1"/>
  <c r="S227" i="1"/>
  <c r="M226" i="17" s="1"/>
  <c r="T227" i="1"/>
  <c r="N226" i="17" s="1"/>
  <c r="S228" i="1"/>
  <c r="M227" i="17" s="1"/>
  <c r="T228" i="1"/>
  <c r="N227" i="17" s="1"/>
  <c r="S229" i="1"/>
  <c r="M228" i="17" s="1"/>
  <c r="T229" i="1"/>
  <c r="N228" i="17" s="1"/>
  <c r="S230" i="1"/>
  <c r="M229" i="17" s="1"/>
  <c r="T230" i="1"/>
  <c r="N229" i="17" s="1"/>
  <c r="S231" i="1"/>
  <c r="M230" i="17" s="1"/>
  <c r="T231" i="1"/>
  <c r="N230" i="17" s="1"/>
  <c r="S232" i="1"/>
  <c r="M231" i="17" s="1"/>
  <c r="T232" i="1"/>
  <c r="N231" i="17" s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CI214" i="1" l="1"/>
  <c r="CB232" i="1"/>
  <c r="CC232" i="1" s="1"/>
  <c r="CJ233" i="1"/>
  <c r="CJ234" i="1" s="1"/>
  <c r="CJ235" i="1" s="1"/>
  <c r="CJ236" i="1" s="1"/>
  <c r="CJ237" i="1" s="1"/>
  <c r="CJ238" i="1" s="1"/>
  <c r="CJ239" i="1" s="1"/>
  <c r="CJ240" i="1" s="1"/>
  <c r="CJ241" i="1" s="1"/>
  <c r="CJ242" i="1" s="1"/>
  <c r="CJ243" i="1" s="1"/>
  <c r="CJ244" i="1" s="1"/>
  <c r="CJ245" i="1" s="1"/>
  <c r="CJ246" i="1" s="1"/>
  <c r="CJ247" i="1" s="1"/>
  <c r="CI247" i="1" s="1"/>
  <c r="DB147" i="1"/>
  <c r="CG229" i="1"/>
  <c r="CE229" i="1" s="1"/>
  <c r="BZ228" i="1"/>
  <c r="BZ214" i="1"/>
  <c r="CI222" i="1"/>
  <c r="BZ222" i="1"/>
  <c r="BZ221" i="1"/>
  <c r="BZ232" i="1"/>
  <c r="CI224" i="1"/>
  <c r="BZ224" i="1"/>
  <c r="CG218" i="1"/>
  <c r="CE218" i="1" s="1"/>
  <c r="BZ217" i="1"/>
  <c r="CG231" i="1"/>
  <c r="CE231" i="1" s="1"/>
  <c r="BZ230" i="1"/>
  <c r="CG227" i="1"/>
  <c r="CE227" i="1" s="1"/>
  <c r="BZ226" i="1"/>
  <c r="CI223" i="1"/>
  <c r="CG220" i="1"/>
  <c r="CE220" i="1" s="1"/>
  <c r="BZ219" i="1"/>
  <c r="CG216" i="1"/>
  <c r="CE216" i="1" s="1"/>
  <c r="BZ215" i="1"/>
  <c r="CC215" i="1"/>
  <c r="CH215" i="1"/>
  <c r="CI231" i="1"/>
  <c r="BZ231" i="1"/>
  <c r="CI230" i="1"/>
  <c r="CI229" i="1"/>
  <c r="BZ229" i="1"/>
  <c r="CI228" i="1"/>
  <c r="CI227" i="1"/>
  <c r="BZ227" i="1"/>
  <c r="CI226" i="1"/>
  <c r="CI225" i="1"/>
  <c r="BZ225" i="1"/>
  <c r="CH224" i="1"/>
  <c r="CH222" i="1"/>
  <c r="CI221" i="1"/>
  <c r="CI220" i="1"/>
  <c r="BZ220" i="1"/>
  <c r="CI219" i="1"/>
  <c r="CI218" i="1"/>
  <c r="BZ218" i="1"/>
  <c r="CI217" i="1"/>
  <c r="CI216" i="1"/>
  <c r="BZ216" i="1"/>
  <c r="CI215" i="1"/>
  <c r="BZ223" i="1"/>
  <c r="CH231" i="1"/>
  <c r="CC230" i="1"/>
  <c r="CG230" i="1"/>
  <c r="CH229" i="1"/>
  <c r="CC228" i="1"/>
  <c r="CG228" i="1"/>
  <c r="CH227" i="1"/>
  <c r="CC226" i="1"/>
  <c r="CG226" i="1"/>
  <c r="CC225" i="1"/>
  <c r="CG225" i="1"/>
  <c r="CH225" i="1"/>
  <c r="CC223" i="1"/>
  <c r="CG223" i="1"/>
  <c r="CH223" i="1"/>
  <c r="CG224" i="1"/>
  <c r="CG222" i="1"/>
  <c r="CC221" i="1"/>
  <c r="CG221" i="1"/>
  <c r="CH220" i="1"/>
  <c r="CC219" i="1"/>
  <c r="CG219" i="1"/>
  <c r="CH218" i="1"/>
  <c r="CC217" i="1"/>
  <c r="CG217" i="1"/>
  <c r="CH216" i="1"/>
  <c r="CC214" i="1"/>
  <c r="CG214" i="1"/>
  <c r="CH214" i="1"/>
  <c r="CG215" i="1"/>
  <c r="CK233" i="1" l="1"/>
  <c r="CK234" i="1" s="1"/>
  <c r="CK235" i="1" s="1"/>
  <c r="CK236" i="1" s="1"/>
  <c r="CK237" i="1" s="1"/>
  <c r="CK238" i="1" s="1"/>
  <c r="CK239" i="1" s="1"/>
  <c r="CK240" i="1" s="1"/>
  <c r="CK241" i="1" s="1"/>
  <c r="CK242" i="1" s="1"/>
  <c r="CK243" i="1" s="1"/>
  <c r="CK244" i="1" s="1"/>
  <c r="CK245" i="1" s="1"/>
  <c r="CK246" i="1" s="1"/>
  <c r="CK247" i="1" s="1"/>
  <c r="CM233" i="1"/>
  <c r="CM234" i="1" s="1"/>
  <c r="CM235" i="1" s="1"/>
  <c r="CM236" i="1" s="1"/>
  <c r="CM237" i="1" s="1"/>
  <c r="CM238" i="1" s="1"/>
  <c r="CM239" i="1" s="1"/>
  <c r="CM240" i="1" s="1"/>
  <c r="CM241" i="1" s="1"/>
  <c r="CM242" i="1" s="1"/>
  <c r="CM243" i="1" s="1"/>
  <c r="CM244" i="1" s="1"/>
  <c r="CM245" i="1" s="1"/>
  <c r="CM246" i="1" s="1"/>
  <c r="CM247" i="1" s="1"/>
  <c r="CO233" i="1"/>
  <c r="CO234" i="1" s="1"/>
  <c r="CO235" i="1" s="1"/>
  <c r="CO236" i="1" s="1"/>
  <c r="CO237" i="1" s="1"/>
  <c r="CO238" i="1" s="1"/>
  <c r="CO239" i="1" s="1"/>
  <c r="CO240" i="1" s="1"/>
  <c r="CO241" i="1" s="1"/>
  <c r="CO242" i="1" s="1"/>
  <c r="CO243" i="1" s="1"/>
  <c r="CO244" i="1" s="1"/>
  <c r="CO245" i="1" s="1"/>
  <c r="CO246" i="1" s="1"/>
  <c r="CO247" i="1" s="1"/>
  <c r="CQ233" i="1"/>
  <c r="CQ234" i="1" s="1"/>
  <c r="CQ235" i="1" s="1"/>
  <c r="CQ236" i="1" s="1"/>
  <c r="CQ237" i="1" s="1"/>
  <c r="CQ238" i="1" s="1"/>
  <c r="CQ239" i="1" s="1"/>
  <c r="CQ240" i="1" s="1"/>
  <c r="CQ241" i="1" s="1"/>
  <c r="CQ242" i="1" s="1"/>
  <c r="CQ243" i="1" s="1"/>
  <c r="CQ244" i="1" s="1"/>
  <c r="CQ245" i="1" s="1"/>
  <c r="CQ246" i="1" s="1"/>
  <c r="CQ247" i="1" s="1"/>
  <c r="CS233" i="1"/>
  <c r="CS234" i="1" s="1"/>
  <c r="CS235" i="1" s="1"/>
  <c r="CS236" i="1" s="1"/>
  <c r="CS237" i="1" s="1"/>
  <c r="CS238" i="1" s="1"/>
  <c r="CS239" i="1" s="1"/>
  <c r="CS240" i="1" s="1"/>
  <c r="CS241" i="1" s="1"/>
  <c r="CS242" i="1" s="1"/>
  <c r="CS243" i="1" s="1"/>
  <c r="CS244" i="1" s="1"/>
  <c r="CS245" i="1" s="1"/>
  <c r="CS246" i="1" s="1"/>
  <c r="CS247" i="1" s="1"/>
  <c r="CU233" i="1"/>
  <c r="CU234" i="1" s="1"/>
  <c r="CU235" i="1" s="1"/>
  <c r="CU236" i="1" s="1"/>
  <c r="CU237" i="1" s="1"/>
  <c r="CU238" i="1" s="1"/>
  <c r="CU239" i="1" s="1"/>
  <c r="CU240" i="1" s="1"/>
  <c r="CU241" i="1" s="1"/>
  <c r="CU242" i="1" s="1"/>
  <c r="CU243" i="1" s="1"/>
  <c r="CU244" i="1" s="1"/>
  <c r="CU245" i="1" s="1"/>
  <c r="CU246" i="1" s="1"/>
  <c r="CU247" i="1" s="1"/>
  <c r="CW233" i="1"/>
  <c r="CW234" i="1" s="1"/>
  <c r="CW235" i="1" s="1"/>
  <c r="CW236" i="1" s="1"/>
  <c r="CW237" i="1" s="1"/>
  <c r="CW238" i="1" s="1"/>
  <c r="CW239" i="1" s="1"/>
  <c r="CW240" i="1" s="1"/>
  <c r="CW241" i="1" s="1"/>
  <c r="CW242" i="1" s="1"/>
  <c r="CW243" i="1" s="1"/>
  <c r="CW244" i="1" s="1"/>
  <c r="CW245" i="1" s="1"/>
  <c r="CW246" i="1" s="1"/>
  <c r="CW247" i="1" s="1"/>
  <c r="CY233" i="1"/>
  <c r="CY234" i="1" s="1"/>
  <c r="CY235" i="1" s="1"/>
  <c r="CY236" i="1" s="1"/>
  <c r="CY237" i="1" s="1"/>
  <c r="CY238" i="1" s="1"/>
  <c r="CY239" i="1" s="1"/>
  <c r="CY240" i="1" s="1"/>
  <c r="CY241" i="1" s="1"/>
  <c r="CY242" i="1" s="1"/>
  <c r="CY243" i="1" s="1"/>
  <c r="CY244" i="1" s="1"/>
  <c r="CY245" i="1" s="1"/>
  <c r="CY246" i="1" s="1"/>
  <c r="CY247" i="1" s="1"/>
  <c r="CL233" i="1"/>
  <c r="CL234" i="1" s="1"/>
  <c r="CL235" i="1" s="1"/>
  <c r="CL236" i="1" s="1"/>
  <c r="CL237" i="1" s="1"/>
  <c r="CL238" i="1" s="1"/>
  <c r="CL239" i="1" s="1"/>
  <c r="CL240" i="1" s="1"/>
  <c r="CL241" i="1" s="1"/>
  <c r="CL242" i="1" s="1"/>
  <c r="CL243" i="1" s="1"/>
  <c r="CL244" i="1" s="1"/>
  <c r="CL245" i="1" s="1"/>
  <c r="CL246" i="1" s="1"/>
  <c r="CL247" i="1" s="1"/>
  <c r="CN233" i="1"/>
  <c r="CN234" i="1" s="1"/>
  <c r="CN235" i="1" s="1"/>
  <c r="CN236" i="1" s="1"/>
  <c r="CN237" i="1" s="1"/>
  <c r="CN238" i="1" s="1"/>
  <c r="CN239" i="1" s="1"/>
  <c r="CN240" i="1" s="1"/>
  <c r="CN241" i="1" s="1"/>
  <c r="CN242" i="1" s="1"/>
  <c r="CN243" i="1" s="1"/>
  <c r="CN244" i="1" s="1"/>
  <c r="CN245" i="1" s="1"/>
  <c r="CN246" i="1" s="1"/>
  <c r="CN247" i="1" s="1"/>
  <c r="CP233" i="1"/>
  <c r="CP234" i="1" s="1"/>
  <c r="CP235" i="1" s="1"/>
  <c r="CP236" i="1" s="1"/>
  <c r="CP237" i="1" s="1"/>
  <c r="CP238" i="1" s="1"/>
  <c r="CP239" i="1" s="1"/>
  <c r="CP240" i="1" s="1"/>
  <c r="CP241" i="1" s="1"/>
  <c r="CP242" i="1" s="1"/>
  <c r="CP243" i="1" s="1"/>
  <c r="CP244" i="1" s="1"/>
  <c r="CP245" i="1" s="1"/>
  <c r="CP246" i="1" s="1"/>
  <c r="CP247" i="1" s="1"/>
  <c r="CR233" i="1"/>
  <c r="CR234" i="1" s="1"/>
  <c r="CR235" i="1" s="1"/>
  <c r="CR236" i="1" s="1"/>
  <c r="CR237" i="1" s="1"/>
  <c r="CR238" i="1" s="1"/>
  <c r="CR239" i="1" s="1"/>
  <c r="CR240" i="1" s="1"/>
  <c r="CR241" i="1" s="1"/>
  <c r="CR242" i="1" s="1"/>
  <c r="CR243" i="1" s="1"/>
  <c r="CR244" i="1" s="1"/>
  <c r="CR245" i="1" s="1"/>
  <c r="CR246" i="1" s="1"/>
  <c r="CR247" i="1" s="1"/>
  <c r="CT233" i="1"/>
  <c r="CT234" i="1" s="1"/>
  <c r="CT235" i="1" s="1"/>
  <c r="CT236" i="1" s="1"/>
  <c r="CT237" i="1" s="1"/>
  <c r="CT238" i="1" s="1"/>
  <c r="CT239" i="1" s="1"/>
  <c r="CT240" i="1" s="1"/>
  <c r="CT241" i="1" s="1"/>
  <c r="CT242" i="1" s="1"/>
  <c r="CT243" i="1" s="1"/>
  <c r="CT244" i="1" s="1"/>
  <c r="CT245" i="1" s="1"/>
  <c r="CT246" i="1" s="1"/>
  <c r="CT247" i="1" s="1"/>
  <c r="CV233" i="1"/>
  <c r="CV234" i="1" s="1"/>
  <c r="CV235" i="1" s="1"/>
  <c r="CV236" i="1" s="1"/>
  <c r="CV237" i="1" s="1"/>
  <c r="CV238" i="1" s="1"/>
  <c r="CV239" i="1" s="1"/>
  <c r="CV240" i="1" s="1"/>
  <c r="CV241" i="1" s="1"/>
  <c r="CV242" i="1" s="1"/>
  <c r="CV243" i="1" s="1"/>
  <c r="CV244" i="1" s="1"/>
  <c r="CV245" i="1" s="1"/>
  <c r="CV246" i="1" s="1"/>
  <c r="CV247" i="1" s="1"/>
  <c r="CX233" i="1"/>
  <c r="CX234" i="1" s="1"/>
  <c r="CX235" i="1" s="1"/>
  <c r="CX236" i="1" s="1"/>
  <c r="CX237" i="1" s="1"/>
  <c r="CX238" i="1" s="1"/>
  <c r="CX239" i="1" s="1"/>
  <c r="CX240" i="1" s="1"/>
  <c r="CX241" i="1" s="1"/>
  <c r="CX242" i="1" s="1"/>
  <c r="CX243" i="1" s="1"/>
  <c r="CX244" i="1" s="1"/>
  <c r="CX245" i="1" s="1"/>
  <c r="CX246" i="1" s="1"/>
  <c r="CX247" i="1" s="1"/>
  <c r="CF229" i="1"/>
  <c r="CD229" i="1"/>
  <c r="CD231" i="1"/>
  <c r="CF216" i="1"/>
  <c r="CF220" i="1"/>
  <c r="CF218" i="1"/>
  <c r="CD218" i="1"/>
  <c r="CD216" i="1"/>
  <c r="CD220" i="1"/>
  <c r="CD227" i="1"/>
  <c r="CF227" i="1"/>
  <c r="CF231" i="1"/>
  <c r="CE214" i="1"/>
  <c r="CD214" i="1"/>
  <c r="CF214" i="1"/>
  <c r="CE217" i="1"/>
  <c r="CD217" i="1"/>
  <c r="CF217" i="1"/>
  <c r="CE219" i="1"/>
  <c r="CD219" i="1"/>
  <c r="CF219" i="1"/>
  <c r="CE221" i="1"/>
  <c r="CD221" i="1"/>
  <c r="CF221" i="1"/>
  <c r="CD222" i="1"/>
  <c r="CF222" i="1"/>
  <c r="CE222" i="1"/>
  <c r="CD224" i="1"/>
  <c r="CF224" i="1"/>
  <c r="CE224" i="1"/>
  <c r="CE223" i="1"/>
  <c r="CD223" i="1"/>
  <c r="CF223" i="1"/>
  <c r="CE226" i="1"/>
  <c r="CD226" i="1"/>
  <c r="CF226" i="1"/>
  <c r="CE228" i="1"/>
  <c r="CD228" i="1"/>
  <c r="CF228" i="1"/>
  <c r="CE230" i="1"/>
  <c r="CD230" i="1"/>
  <c r="CF230" i="1"/>
  <c r="CD215" i="1"/>
  <c r="CF215" i="1"/>
  <c r="CE215" i="1"/>
  <c r="CE225" i="1"/>
  <c r="CD225" i="1"/>
  <c r="CF225" i="1"/>
  <c r="T154" i="17"/>
  <c r="A204" i="17"/>
  <c r="B204" i="17"/>
  <c r="D204" i="17"/>
  <c r="E204" i="17"/>
  <c r="G204" i="17"/>
  <c r="H204" i="17"/>
  <c r="I204" i="17"/>
  <c r="J204" i="17"/>
  <c r="K204" i="17"/>
  <c r="L204" i="17"/>
  <c r="O204" i="17"/>
  <c r="P204" i="17"/>
  <c r="Q204" i="17"/>
  <c r="R204" i="17"/>
  <c r="S204" i="17"/>
  <c r="T204" i="17"/>
  <c r="U204" i="17"/>
  <c r="V204" i="17"/>
  <c r="W204" i="17"/>
  <c r="X204" i="17"/>
  <c r="Y204" i="17"/>
  <c r="Z204" i="17"/>
  <c r="AA204" i="17"/>
  <c r="AB204" i="17"/>
  <c r="AC204" i="17"/>
  <c r="AD204" i="17"/>
  <c r="AE204" i="17"/>
  <c r="AF204" i="17"/>
  <c r="AG204" i="17"/>
  <c r="AH204" i="17"/>
  <c r="AI204" i="17"/>
  <c r="AJ204" i="17"/>
  <c r="AK204" i="17"/>
  <c r="AL204" i="17"/>
  <c r="AM204" i="17"/>
  <c r="A205" i="17"/>
  <c r="B205" i="17"/>
  <c r="D205" i="17"/>
  <c r="E205" i="17"/>
  <c r="G205" i="17"/>
  <c r="H205" i="17"/>
  <c r="I205" i="17"/>
  <c r="J205" i="17"/>
  <c r="K205" i="17"/>
  <c r="L205" i="17"/>
  <c r="O205" i="17"/>
  <c r="P205" i="17"/>
  <c r="Q205" i="17"/>
  <c r="R205" i="17"/>
  <c r="S205" i="17"/>
  <c r="T205" i="17"/>
  <c r="U205" i="17"/>
  <c r="V205" i="17"/>
  <c r="W205" i="17"/>
  <c r="X205" i="17"/>
  <c r="Y205" i="17"/>
  <c r="Z205" i="17"/>
  <c r="AA205" i="17"/>
  <c r="AB205" i="17"/>
  <c r="AC205" i="17"/>
  <c r="AD205" i="17"/>
  <c r="AE205" i="17"/>
  <c r="AF205" i="17"/>
  <c r="AG205" i="17"/>
  <c r="AH205" i="17"/>
  <c r="AI205" i="17"/>
  <c r="AJ205" i="17"/>
  <c r="AK205" i="17"/>
  <c r="AL205" i="17"/>
  <c r="AM205" i="17"/>
  <c r="A206" i="17"/>
  <c r="B206" i="17"/>
  <c r="D206" i="17"/>
  <c r="E206" i="17"/>
  <c r="G206" i="17"/>
  <c r="H206" i="17"/>
  <c r="I206" i="17"/>
  <c r="J206" i="17"/>
  <c r="K206" i="17"/>
  <c r="L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AH206" i="17"/>
  <c r="AI206" i="17"/>
  <c r="AJ206" i="17"/>
  <c r="AK206" i="17"/>
  <c r="AL206" i="17"/>
  <c r="AM206" i="17"/>
  <c r="A207" i="17"/>
  <c r="B207" i="17"/>
  <c r="D207" i="17"/>
  <c r="E207" i="17"/>
  <c r="G207" i="17"/>
  <c r="H207" i="17"/>
  <c r="I207" i="17"/>
  <c r="J207" i="17"/>
  <c r="K207" i="17"/>
  <c r="L207" i="17"/>
  <c r="O207" i="17"/>
  <c r="P207" i="17"/>
  <c r="Q207" i="17"/>
  <c r="R207" i="17"/>
  <c r="S207" i="17"/>
  <c r="T207" i="17"/>
  <c r="U207" i="17"/>
  <c r="V207" i="17"/>
  <c r="W207" i="17"/>
  <c r="X207" i="17"/>
  <c r="Y207" i="17"/>
  <c r="Z207" i="17"/>
  <c r="AA207" i="17"/>
  <c r="AB207" i="17"/>
  <c r="AC207" i="17"/>
  <c r="AD207" i="17"/>
  <c r="AE207" i="17"/>
  <c r="AF207" i="17"/>
  <c r="AG207" i="17"/>
  <c r="AH207" i="17"/>
  <c r="AI207" i="17"/>
  <c r="AJ207" i="17"/>
  <c r="AK207" i="17"/>
  <c r="AL207" i="17"/>
  <c r="AM207" i="17"/>
  <c r="A208" i="17"/>
  <c r="B208" i="17"/>
  <c r="D208" i="17"/>
  <c r="E208" i="17"/>
  <c r="G208" i="17"/>
  <c r="H208" i="17"/>
  <c r="I208" i="17"/>
  <c r="J208" i="17"/>
  <c r="K208" i="17"/>
  <c r="L208" i="17"/>
  <c r="O208" i="17"/>
  <c r="P208" i="17"/>
  <c r="Q208" i="17"/>
  <c r="R208" i="17"/>
  <c r="S208" i="17"/>
  <c r="T208" i="17"/>
  <c r="U208" i="17"/>
  <c r="V208" i="17"/>
  <c r="W208" i="17"/>
  <c r="X208" i="17"/>
  <c r="Y208" i="17"/>
  <c r="Z208" i="17"/>
  <c r="AA208" i="17"/>
  <c r="AB208" i="17"/>
  <c r="AC208" i="17"/>
  <c r="AD208" i="17"/>
  <c r="AE208" i="17"/>
  <c r="AF208" i="17"/>
  <c r="AG208" i="17"/>
  <c r="AH208" i="17"/>
  <c r="AI208" i="17"/>
  <c r="AJ208" i="17"/>
  <c r="AK208" i="17"/>
  <c r="AL208" i="17"/>
  <c r="AM208" i="17"/>
  <c r="A209" i="17"/>
  <c r="B209" i="17"/>
  <c r="D209" i="17"/>
  <c r="E209" i="17"/>
  <c r="G209" i="17"/>
  <c r="H209" i="17"/>
  <c r="I209" i="17"/>
  <c r="J209" i="17"/>
  <c r="K209" i="17"/>
  <c r="L209" i="17"/>
  <c r="O209" i="17"/>
  <c r="P209" i="17"/>
  <c r="Q209" i="17"/>
  <c r="R209" i="17"/>
  <c r="S209" i="17"/>
  <c r="T209" i="17"/>
  <c r="U209" i="17"/>
  <c r="V209" i="17"/>
  <c r="W209" i="17"/>
  <c r="X209" i="17"/>
  <c r="Y209" i="17"/>
  <c r="Z209" i="17"/>
  <c r="AA209" i="17"/>
  <c r="AB209" i="17"/>
  <c r="AC209" i="17"/>
  <c r="AD209" i="17"/>
  <c r="AE209" i="17"/>
  <c r="AF209" i="17"/>
  <c r="AG209" i="17"/>
  <c r="AH209" i="17"/>
  <c r="AI209" i="17"/>
  <c r="AJ209" i="17"/>
  <c r="AK209" i="17"/>
  <c r="AL209" i="17"/>
  <c r="AM209" i="17"/>
  <c r="A210" i="17"/>
  <c r="B210" i="17"/>
  <c r="D210" i="17"/>
  <c r="E210" i="17"/>
  <c r="G210" i="17"/>
  <c r="H210" i="17"/>
  <c r="I210" i="17"/>
  <c r="J210" i="17"/>
  <c r="K210" i="17"/>
  <c r="L210" i="17"/>
  <c r="O210" i="17"/>
  <c r="P210" i="17"/>
  <c r="Q210" i="17"/>
  <c r="R210" i="17"/>
  <c r="S210" i="17"/>
  <c r="T210" i="17"/>
  <c r="U210" i="17"/>
  <c r="V210" i="17"/>
  <c r="W210" i="17"/>
  <c r="X210" i="17"/>
  <c r="Y210" i="17"/>
  <c r="Z210" i="17"/>
  <c r="AA210" i="17"/>
  <c r="AB210" i="17"/>
  <c r="AC210" i="17"/>
  <c r="AD210" i="17"/>
  <c r="AE210" i="17"/>
  <c r="AF210" i="17"/>
  <c r="AG210" i="17"/>
  <c r="AH210" i="17"/>
  <c r="AI210" i="17"/>
  <c r="AJ210" i="17"/>
  <c r="AK210" i="17"/>
  <c r="AL210" i="17"/>
  <c r="AM210" i="17"/>
  <c r="A211" i="17"/>
  <c r="B211" i="17"/>
  <c r="D211" i="17"/>
  <c r="E211" i="17"/>
  <c r="G211" i="17"/>
  <c r="H211" i="17"/>
  <c r="I211" i="17"/>
  <c r="J211" i="17"/>
  <c r="K211" i="17"/>
  <c r="L211" i="17"/>
  <c r="O211" i="17"/>
  <c r="P211" i="17"/>
  <c r="Q211" i="17"/>
  <c r="R211" i="17"/>
  <c r="S211" i="17"/>
  <c r="T211" i="17"/>
  <c r="U211" i="17"/>
  <c r="V211" i="17"/>
  <c r="W211" i="17"/>
  <c r="X211" i="17"/>
  <c r="Y211" i="17"/>
  <c r="Z211" i="17"/>
  <c r="AA211" i="17"/>
  <c r="AB211" i="17"/>
  <c r="AC211" i="17"/>
  <c r="AD211" i="17"/>
  <c r="AE211" i="17"/>
  <c r="AF211" i="17"/>
  <c r="AG211" i="17"/>
  <c r="AH211" i="17"/>
  <c r="AI211" i="17"/>
  <c r="AJ211" i="17"/>
  <c r="AK211" i="17"/>
  <c r="AL211" i="17"/>
  <c r="AM211" i="17"/>
  <c r="A212" i="17"/>
  <c r="B212" i="17"/>
  <c r="D212" i="17"/>
  <c r="E212" i="17"/>
  <c r="G212" i="17"/>
  <c r="H212" i="17"/>
  <c r="I212" i="17"/>
  <c r="J212" i="17"/>
  <c r="K212" i="17"/>
  <c r="L212" i="17"/>
  <c r="O212" i="17"/>
  <c r="P212" i="17"/>
  <c r="Q212" i="17"/>
  <c r="R212" i="17"/>
  <c r="S212" i="17"/>
  <c r="T212" i="17"/>
  <c r="U212" i="17"/>
  <c r="V212" i="17"/>
  <c r="W212" i="17"/>
  <c r="X212" i="17"/>
  <c r="Y212" i="17"/>
  <c r="Z212" i="17"/>
  <c r="AA212" i="17"/>
  <c r="AB212" i="17"/>
  <c r="AC212" i="17"/>
  <c r="AD212" i="17"/>
  <c r="AE212" i="17"/>
  <c r="AF212" i="17"/>
  <c r="AG212" i="17"/>
  <c r="AH212" i="17"/>
  <c r="AI212" i="17"/>
  <c r="AJ212" i="17"/>
  <c r="AK212" i="17"/>
  <c r="AL212" i="17"/>
  <c r="AM212" i="17"/>
  <c r="A213" i="17"/>
  <c r="B213" i="17"/>
  <c r="D213" i="17"/>
  <c r="E213" i="17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AH213" i="17"/>
  <c r="AI213" i="17"/>
  <c r="AJ213" i="17"/>
  <c r="AK213" i="17"/>
  <c r="AL213" i="17"/>
  <c r="AM213" i="17"/>
  <c r="A214" i="17"/>
  <c r="B214" i="17"/>
  <c r="D214" i="17"/>
  <c r="E214" i="17"/>
  <c r="G214" i="17"/>
  <c r="H214" i="17"/>
  <c r="I214" i="17"/>
  <c r="J214" i="17"/>
  <c r="K214" i="17"/>
  <c r="L214" i="17"/>
  <c r="M214" i="17"/>
  <c r="N214" i="17"/>
  <c r="O214" i="17"/>
  <c r="P214" i="17"/>
  <c r="Q214" i="17"/>
  <c r="R214" i="17"/>
  <c r="S214" i="17"/>
  <c r="T214" i="17"/>
  <c r="U214" i="17"/>
  <c r="V214" i="17"/>
  <c r="W214" i="17"/>
  <c r="X214" i="17"/>
  <c r="Y214" i="17"/>
  <c r="Z214" i="17"/>
  <c r="AA214" i="17"/>
  <c r="AB214" i="17"/>
  <c r="AC214" i="17"/>
  <c r="AD214" i="17"/>
  <c r="AE214" i="17"/>
  <c r="AF214" i="17"/>
  <c r="AG214" i="17"/>
  <c r="AH214" i="17"/>
  <c r="AI214" i="17"/>
  <c r="AJ214" i="17"/>
  <c r="AK214" i="17"/>
  <c r="AL214" i="17"/>
  <c r="AM214" i="17"/>
  <c r="A215" i="17"/>
  <c r="B215" i="17"/>
  <c r="D215" i="17"/>
  <c r="E215" i="17"/>
  <c r="G215" i="17"/>
  <c r="H215" i="17"/>
  <c r="I215" i="17"/>
  <c r="J215" i="17"/>
  <c r="K215" i="17"/>
  <c r="L215" i="17"/>
  <c r="M215" i="17"/>
  <c r="N215" i="17"/>
  <c r="O215" i="17"/>
  <c r="P215" i="17"/>
  <c r="Q215" i="17"/>
  <c r="R215" i="17"/>
  <c r="S215" i="17"/>
  <c r="T215" i="17"/>
  <c r="U215" i="17"/>
  <c r="V215" i="17"/>
  <c r="W215" i="17"/>
  <c r="X215" i="17"/>
  <c r="Y215" i="17"/>
  <c r="Z215" i="17"/>
  <c r="AA215" i="17"/>
  <c r="AB215" i="17"/>
  <c r="AC215" i="17"/>
  <c r="AD215" i="17"/>
  <c r="AE215" i="17"/>
  <c r="AF215" i="17"/>
  <c r="AG215" i="17"/>
  <c r="AH215" i="17"/>
  <c r="AI215" i="17"/>
  <c r="AJ215" i="17"/>
  <c r="AK215" i="17"/>
  <c r="AL215" i="17"/>
  <c r="AM215" i="17"/>
  <c r="AN215" i="17"/>
  <c r="A216" i="17"/>
  <c r="B216" i="17"/>
  <c r="D216" i="17"/>
  <c r="E216" i="17"/>
  <c r="G216" i="17"/>
  <c r="H216" i="17"/>
  <c r="I216" i="17"/>
  <c r="J216" i="17"/>
  <c r="K216" i="17"/>
  <c r="L216" i="17"/>
  <c r="M216" i="17"/>
  <c r="N216" i="17"/>
  <c r="O216" i="17"/>
  <c r="P216" i="17"/>
  <c r="Q216" i="17"/>
  <c r="R216" i="17"/>
  <c r="S216" i="17"/>
  <c r="T216" i="17"/>
  <c r="U216" i="17"/>
  <c r="V216" i="17"/>
  <c r="W216" i="17"/>
  <c r="X216" i="17"/>
  <c r="Y216" i="17"/>
  <c r="Z216" i="17"/>
  <c r="AA216" i="17"/>
  <c r="AB216" i="17"/>
  <c r="AC216" i="17"/>
  <c r="AD216" i="17"/>
  <c r="AE216" i="17"/>
  <c r="AF216" i="17"/>
  <c r="AG216" i="17"/>
  <c r="AH216" i="17"/>
  <c r="AI216" i="17"/>
  <c r="AJ216" i="17"/>
  <c r="AK216" i="17"/>
  <c r="AL216" i="17"/>
  <c r="AM216" i="17"/>
  <c r="AN216" i="17"/>
  <c r="A217" i="17"/>
  <c r="B217" i="17"/>
  <c r="D217" i="17"/>
  <c r="E217" i="17"/>
  <c r="G217" i="17"/>
  <c r="H217" i="17"/>
  <c r="I217" i="17"/>
  <c r="J217" i="17"/>
  <c r="K217" i="17"/>
  <c r="L217" i="17"/>
  <c r="M217" i="17"/>
  <c r="N217" i="17"/>
  <c r="O217" i="17"/>
  <c r="P217" i="17"/>
  <c r="Q217" i="17"/>
  <c r="R217" i="17"/>
  <c r="S217" i="17"/>
  <c r="T217" i="17"/>
  <c r="U217" i="17"/>
  <c r="V217" i="17"/>
  <c r="W217" i="17"/>
  <c r="X217" i="17"/>
  <c r="Y217" i="17"/>
  <c r="Z217" i="17"/>
  <c r="AA217" i="17"/>
  <c r="AB217" i="17"/>
  <c r="AC217" i="17"/>
  <c r="AD217" i="17"/>
  <c r="AE217" i="17"/>
  <c r="AF217" i="17"/>
  <c r="AG217" i="17"/>
  <c r="AH217" i="17"/>
  <c r="AI217" i="17"/>
  <c r="AJ217" i="17"/>
  <c r="AK217" i="17"/>
  <c r="AL217" i="17"/>
  <c r="AM217" i="17"/>
  <c r="AN217" i="17"/>
  <c r="A218" i="17"/>
  <c r="B218" i="17"/>
  <c r="D218" i="17"/>
  <c r="E218" i="17"/>
  <c r="G218" i="17"/>
  <c r="H218" i="17"/>
  <c r="I218" i="17"/>
  <c r="J218" i="17"/>
  <c r="K218" i="17"/>
  <c r="L218" i="17"/>
  <c r="M218" i="17"/>
  <c r="N218" i="17"/>
  <c r="O218" i="17"/>
  <c r="P218" i="17"/>
  <c r="Q218" i="17"/>
  <c r="R218" i="17"/>
  <c r="S218" i="17"/>
  <c r="T218" i="17"/>
  <c r="U218" i="17"/>
  <c r="V218" i="17"/>
  <c r="W218" i="17"/>
  <c r="X218" i="17"/>
  <c r="Y218" i="17"/>
  <c r="Z218" i="17"/>
  <c r="AA218" i="17"/>
  <c r="AB218" i="17"/>
  <c r="AC218" i="17"/>
  <c r="AD218" i="17"/>
  <c r="AE218" i="17"/>
  <c r="AF218" i="17"/>
  <c r="AG218" i="17"/>
  <c r="AH218" i="17"/>
  <c r="AI218" i="17"/>
  <c r="AJ218" i="17"/>
  <c r="AK218" i="17"/>
  <c r="AL218" i="17"/>
  <c r="AM218" i="17"/>
  <c r="AN218" i="17"/>
  <c r="A219" i="17"/>
  <c r="B219" i="17"/>
  <c r="D219" i="17"/>
  <c r="E219" i="17"/>
  <c r="G219" i="17"/>
  <c r="H219" i="17"/>
  <c r="I219" i="17"/>
  <c r="J219" i="17"/>
  <c r="K219" i="17"/>
  <c r="L219" i="17"/>
  <c r="M219" i="17"/>
  <c r="N219" i="17"/>
  <c r="O219" i="17"/>
  <c r="P219" i="17"/>
  <c r="Q219" i="17"/>
  <c r="R219" i="17"/>
  <c r="S219" i="17"/>
  <c r="T219" i="17"/>
  <c r="U219" i="17"/>
  <c r="V219" i="17"/>
  <c r="W219" i="17"/>
  <c r="X219" i="17"/>
  <c r="Y219" i="17"/>
  <c r="Z219" i="17"/>
  <c r="AA219" i="17"/>
  <c r="AB219" i="17"/>
  <c r="AC219" i="17"/>
  <c r="AD219" i="17"/>
  <c r="AE219" i="17"/>
  <c r="AF219" i="17"/>
  <c r="AG219" i="17"/>
  <c r="AH219" i="17"/>
  <c r="AI219" i="17"/>
  <c r="AJ219" i="17"/>
  <c r="AK219" i="17"/>
  <c r="AL219" i="17"/>
  <c r="AM219" i="17"/>
  <c r="AN219" i="17"/>
  <c r="A220" i="17"/>
  <c r="B220" i="17"/>
  <c r="D220" i="17"/>
  <c r="E220" i="17"/>
  <c r="G220" i="17"/>
  <c r="H220" i="17"/>
  <c r="I220" i="17"/>
  <c r="J220" i="17"/>
  <c r="K220" i="17"/>
  <c r="L220" i="17"/>
  <c r="M220" i="17"/>
  <c r="N220" i="17"/>
  <c r="O220" i="17"/>
  <c r="P220" i="17"/>
  <c r="Q220" i="17"/>
  <c r="R220" i="17"/>
  <c r="S220" i="17"/>
  <c r="T220" i="17"/>
  <c r="U220" i="17"/>
  <c r="V220" i="17"/>
  <c r="W220" i="17"/>
  <c r="X220" i="17"/>
  <c r="Y220" i="17"/>
  <c r="Z220" i="17"/>
  <c r="AA220" i="17"/>
  <c r="AB220" i="17"/>
  <c r="AC220" i="17"/>
  <c r="AD220" i="17"/>
  <c r="AE220" i="17"/>
  <c r="AF220" i="17"/>
  <c r="AG220" i="17"/>
  <c r="AH220" i="17"/>
  <c r="AI220" i="17"/>
  <c r="AJ220" i="17"/>
  <c r="AK220" i="17"/>
  <c r="AL220" i="17"/>
  <c r="AM220" i="17"/>
  <c r="AN220" i="17"/>
  <c r="A221" i="17"/>
  <c r="B221" i="17"/>
  <c r="D221" i="17"/>
  <c r="E221" i="17"/>
  <c r="G221" i="17"/>
  <c r="H221" i="17"/>
  <c r="I221" i="17"/>
  <c r="J221" i="17"/>
  <c r="K221" i="17"/>
  <c r="L221" i="17"/>
  <c r="M221" i="17"/>
  <c r="N221" i="17"/>
  <c r="O221" i="17"/>
  <c r="P221" i="17"/>
  <c r="Q221" i="17"/>
  <c r="R221" i="17"/>
  <c r="S221" i="17"/>
  <c r="T221" i="17"/>
  <c r="U221" i="17"/>
  <c r="V221" i="17"/>
  <c r="W221" i="17"/>
  <c r="X221" i="17"/>
  <c r="Y221" i="17"/>
  <c r="Z221" i="17"/>
  <c r="AA221" i="17"/>
  <c r="AB221" i="17"/>
  <c r="AC221" i="17"/>
  <c r="AD221" i="17"/>
  <c r="AE221" i="17"/>
  <c r="AF221" i="17"/>
  <c r="AG221" i="17"/>
  <c r="AH221" i="17"/>
  <c r="AI221" i="17"/>
  <c r="AJ221" i="17"/>
  <c r="AK221" i="17"/>
  <c r="AL221" i="17"/>
  <c r="AM221" i="17"/>
  <c r="AN221" i="17"/>
  <c r="A222" i="17"/>
  <c r="B222" i="17"/>
  <c r="D222" i="17"/>
  <c r="E222" i="17"/>
  <c r="G222" i="17"/>
  <c r="H222" i="17"/>
  <c r="I222" i="17"/>
  <c r="J222" i="17"/>
  <c r="K222" i="17"/>
  <c r="L222" i="17"/>
  <c r="M222" i="17"/>
  <c r="N222" i="17"/>
  <c r="O222" i="17"/>
  <c r="P222" i="17"/>
  <c r="Q222" i="17"/>
  <c r="R222" i="17"/>
  <c r="S222" i="17"/>
  <c r="T222" i="17"/>
  <c r="U222" i="17"/>
  <c r="V222" i="17"/>
  <c r="W222" i="17"/>
  <c r="X222" i="17"/>
  <c r="Y222" i="17"/>
  <c r="Z222" i="17"/>
  <c r="AA222" i="17"/>
  <c r="AB222" i="17"/>
  <c r="AC222" i="17"/>
  <c r="AD222" i="17"/>
  <c r="AE222" i="17"/>
  <c r="AF222" i="17"/>
  <c r="AG222" i="17"/>
  <c r="AH222" i="17"/>
  <c r="AI222" i="17"/>
  <c r="AJ222" i="17"/>
  <c r="AK222" i="17"/>
  <c r="AL222" i="17"/>
  <c r="AM222" i="17"/>
  <c r="AN222" i="17"/>
  <c r="A223" i="17"/>
  <c r="B223" i="17"/>
  <c r="D223" i="17"/>
  <c r="E223" i="17"/>
  <c r="G223" i="17"/>
  <c r="H223" i="17"/>
  <c r="I223" i="17"/>
  <c r="J223" i="17"/>
  <c r="K223" i="17"/>
  <c r="L223" i="17"/>
  <c r="M223" i="17"/>
  <c r="N223" i="17"/>
  <c r="O223" i="17"/>
  <c r="P223" i="17"/>
  <c r="Q223" i="17"/>
  <c r="R223" i="17"/>
  <c r="S223" i="17"/>
  <c r="T223" i="17"/>
  <c r="U223" i="17"/>
  <c r="V223" i="17"/>
  <c r="W223" i="17"/>
  <c r="X223" i="17"/>
  <c r="Y223" i="17"/>
  <c r="Z223" i="17"/>
  <c r="AA223" i="17"/>
  <c r="AB223" i="17"/>
  <c r="AC223" i="17"/>
  <c r="AD223" i="17"/>
  <c r="AE223" i="17"/>
  <c r="AF223" i="17"/>
  <c r="AG223" i="17"/>
  <c r="AH223" i="17"/>
  <c r="AI223" i="17"/>
  <c r="AJ223" i="17"/>
  <c r="AK223" i="17"/>
  <c r="AL223" i="17"/>
  <c r="AM223" i="17"/>
  <c r="AN223" i="17"/>
  <c r="CH247" i="1" l="1"/>
  <c r="CG247" i="1"/>
  <c r="AJ186" i="1"/>
  <c r="F185" i="17" s="1"/>
  <c r="AJ187" i="1"/>
  <c r="F186" i="17" s="1"/>
  <c r="AJ188" i="1"/>
  <c r="F187" i="17" s="1"/>
  <c r="AJ189" i="1"/>
  <c r="F188" i="17" s="1"/>
  <c r="AJ190" i="1"/>
  <c r="F189" i="17" s="1"/>
  <c r="AJ191" i="1"/>
  <c r="F190" i="17" s="1"/>
  <c r="AJ192" i="1"/>
  <c r="F191" i="17" s="1"/>
  <c r="AJ193" i="1"/>
  <c r="F192" i="17" s="1"/>
  <c r="AJ194" i="1"/>
  <c r="F193" i="17" s="1"/>
  <c r="AJ195" i="1"/>
  <c r="F194" i="17" s="1"/>
  <c r="AJ196" i="1"/>
  <c r="F195" i="17" s="1"/>
  <c r="AJ197" i="1"/>
  <c r="F196" i="17" s="1"/>
  <c r="AJ198" i="1"/>
  <c r="F197" i="17" s="1"/>
  <c r="AJ199" i="1"/>
  <c r="F198" i="17" s="1"/>
  <c r="AJ200" i="1"/>
  <c r="F199" i="17" s="1"/>
  <c r="AJ201" i="1"/>
  <c r="F200" i="17" s="1"/>
  <c r="AJ202" i="1"/>
  <c r="F201" i="17" s="1"/>
  <c r="AJ203" i="1"/>
  <c r="F202" i="17" s="1"/>
  <c r="AJ204" i="1"/>
  <c r="F203" i="17" s="1"/>
  <c r="AJ205" i="1"/>
  <c r="F204" i="17" s="1"/>
  <c r="AJ206" i="1"/>
  <c r="F205" i="17" s="1"/>
  <c r="AJ207" i="1"/>
  <c r="F206" i="17" s="1"/>
  <c r="AJ208" i="1"/>
  <c r="F207" i="17" s="1"/>
  <c r="AJ209" i="1"/>
  <c r="F208" i="17" s="1"/>
  <c r="AJ210" i="1"/>
  <c r="F209" i="17" s="1"/>
  <c r="AJ211" i="1"/>
  <c r="F210" i="17" s="1"/>
  <c r="AJ212" i="1"/>
  <c r="F211" i="17" s="1"/>
  <c r="AJ213" i="1"/>
  <c r="F212" i="17" s="1"/>
  <c r="CD247" i="1" l="1"/>
  <c r="CF247" i="1"/>
  <c r="CE247" i="1"/>
  <c r="F83" i="26"/>
  <c r="F84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2" i="26"/>
  <c r="BW189" i="1" l="1"/>
  <c r="BX189" i="1"/>
  <c r="BY189" i="1"/>
  <c r="CA189" i="1"/>
  <c r="CB189" i="1" s="1"/>
  <c r="BW190" i="1"/>
  <c r="BX190" i="1"/>
  <c r="BY190" i="1"/>
  <c r="CA190" i="1"/>
  <c r="CB190" i="1" s="1"/>
  <c r="BW191" i="1"/>
  <c r="BX191" i="1"/>
  <c r="BY191" i="1"/>
  <c r="CA191" i="1"/>
  <c r="CB191" i="1" s="1"/>
  <c r="BW192" i="1"/>
  <c r="BX192" i="1"/>
  <c r="BY192" i="1"/>
  <c r="CA192" i="1"/>
  <c r="CB192" i="1" s="1"/>
  <c r="CC192" i="1" s="1"/>
  <c r="BW193" i="1"/>
  <c r="BX193" i="1"/>
  <c r="BY193" i="1"/>
  <c r="CA193" i="1"/>
  <c r="CB193" i="1" s="1"/>
  <c r="BW194" i="1"/>
  <c r="BX194" i="1"/>
  <c r="BY194" i="1"/>
  <c r="CA194" i="1"/>
  <c r="CI194" i="1" s="1"/>
  <c r="BW195" i="1"/>
  <c r="BX195" i="1"/>
  <c r="BY195" i="1"/>
  <c r="CA195" i="1"/>
  <c r="CB195" i="1" s="1"/>
  <c r="BW196" i="1"/>
  <c r="BX196" i="1"/>
  <c r="BY196" i="1"/>
  <c r="CA196" i="1"/>
  <c r="CI196" i="1" s="1"/>
  <c r="BW197" i="1"/>
  <c r="BX197" i="1"/>
  <c r="BY197" i="1"/>
  <c r="CA197" i="1"/>
  <c r="CB197" i="1" s="1"/>
  <c r="CC197" i="1" s="1"/>
  <c r="BW198" i="1"/>
  <c r="BX198" i="1"/>
  <c r="BY198" i="1"/>
  <c r="CA198" i="1"/>
  <c r="CB198" i="1" s="1"/>
  <c r="CH198" i="1" s="1"/>
  <c r="BW199" i="1"/>
  <c r="BX199" i="1"/>
  <c r="BY199" i="1"/>
  <c r="CA199" i="1"/>
  <c r="CB199" i="1" s="1"/>
  <c r="CC199" i="1" s="1"/>
  <c r="BW200" i="1"/>
  <c r="BX200" i="1"/>
  <c r="BY200" i="1"/>
  <c r="CA200" i="1"/>
  <c r="CB200" i="1" s="1"/>
  <c r="CH200" i="1" s="1"/>
  <c r="BW201" i="1"/>
  <c r="BX201" i="1"/>
  <c r="BY201" i="1"/>
  <c r="CA201" i="1"/>
  <c r="CB201" i="1" s="1"/>
  <c r="CH201" i="1" s="1"/>
  <c r="BW202" i="1"/>
  <c r="BX202" i="1"/>
  <c r="BY202" i="1"/>
  <c r="CA202" i="1"/>
  <c r="CB202" i="1" s="1"/>
  <c r="CC202" i="1" s="1"/>
  <c r="BW203" i="1"/>
  <c r="BX203" i="1"/>
  <c r="BY203" i="1"/>
  <c r="CA203" i="1"/>
  <c r="CB203" i="1" s="1"/>
  <c r="BW204" i="1"/>
  <c r="BX204" i="1"/>
  <c r="BY204" i="1"/>
  <c r="CA204" i="1"/>
  <c r="CB204" i="1" s="1"/>
  <c r="CC204" i="1" s="1"/>
  <c r="BW205" i="1"/>
  <c r="AN204" i="17" s="1"/>
  <c r="BX205" i="1"/>
  <c r="BY205" i="1"/>
  <c r="CA205" i="1"/>
  <c r="CB205" i="1" s="1"/>
  <c r="CC205" i="1" s="1"/>
  <c r="BW206" i="1"/>
  <c r="AN205" i="17" s="1"/>
  <c r="BX206" i="1"/>
  <c r="BY206" i="1"/>
  <c r="CA206" i="1"/>
  <c r="CB206" i="1" s="1"/>
  <c r="CH206" i="1" s="1"/>
  <c r="BW207" i="1"/>
  <c r="AN206" i="17" s="1"/>
  <c r="BX207" i="1"/>
  <c r="BY207" i="1"/>
  <c r="CA207" i="1"/>
  <c r="CB207" i="1" s="1"/>
  <c r="CC207" i="1" s="1"/>
  <c r="BW208" i="1"/>
  <c r="AN207" i="17" s="1"/>
  <c r="BX208" i="1"/>
  <c r="BY208" i="1"/>
  <c r="CA208" i="1"/>
  <c r="CB208" i="1" s="1"/>
  <c r="CH208" i="1" s="1"/>
  <c r="BW209" i="1"/>
  <c r="AN208" i="17" s="1"/>
  <c r="BX209" i="1"/>
  <c r="BY209" i="1"/>
  <c r="CA209" i="1"/>
  <c r="CB209" i="1" s="1"/>
  <c r="CC209" i="1" s="1"/>
  <c r="BW210" i="1"/>
  <c r="AN209" i="17" s="1"/>
  <c r="BX210" i="1"/>
  <c r="BY210" i="1"/>
  <c r="CA210" i="1"/>
  <c r="CB210" i="1" s="1"/>
  <c r="CH210" i="1" s="1"/>
  <c r="BW211" i="1"/>
  <c r="AN210" i="17" s="1"/>
  <c r="BX211" i="1"/>
  <c r="BY211" i="1"/>
  <c r="CA211" i="1"/>
  <c r="CB211" i="1" s="1"/>
  <c r="CC211" i="1" s="1"/>
  <c r="BW212" i="1"/>
  <c r="AN211" i="17" s="1"/>
  <c r="BX212" i="1"/>
  <c r="BY212" i="1"/>
  <c r="CA212" i="1"/>
  <c r="CB212" i="1" s="1"/>
  <c r="CH212" i="1" s="1"/>
  <c r="BW213" i="1"/>
  <c r="AN212" i="17" s="1"/>
  <c r="BX213" i="1"/>
  <c r="BY213" i="1"/>
  <c r="CA213" i="1"/>
  <c r="CJ214" i="1" s="1"/>
  <c r="CJ215" i="1" s="1"/>
  <c r="CJ216" i="1" s="1"/>
  <c r="CJ217" i="1" s="1"/>
  <c r="CJ218" i="1" s="1"/>
  <c r="CJ219" i="1" s="1"/>
  <c r="CJ220" i="1" s="1"/>
  <c r="CJ221" i="1" s="1"/>
  <c r="CJ222" i="1" s="1"/>
  <c r="CJ223" i="1" s="1"/>
  <c r="CJ224" i="1" s="1"/>
  <c r="CJ225" i="1" s="1"/>
  <c r="CJ226" i="1" s="1"/>
  <c r="CJ227" i="1" s="1"/>
  <c r="CJ228" i="1" s="1"/>
  <c r="CJ229" i="1" s="1"/>
  <c r="CJ230" i="1" s="1"/>
  <c r="CJ231" i="1" s="1"/>
  <c r="CJ232" i="1" s="1"/>
  <c r="CI232" i="1" s="1"/>
  <c r="AN213" i="17"/>
  <c r="AN214" i="17"/>
  <c r="CI190" i="1" l="1"/>
  <c r="CI204" i="1"/>
  <c r="CI205" i="1"/>
  <c r="CI206" i="1"/>
  <c r="CG205" i="1"/>
  <c r="CE205" i="1" s="1"/>
  <c r="CG211" i="1"/>
  <c r="CF211" i="1" s="1"/>
  <c r="CI200" i="1"/>
  <c r="BZ206" i="1"/>
  <c r="CI208" i="1"/>
  <c r="BZ198" i="1"/>
  <c r="CI197" i="1"/>
  <c r="BZ202" i="1"/>
  <c r="BZ212" i="1"/>
  <c r="CI211" i="1"/>
  <c r="CI207" i="1"/>
  <c r="CI202" i="1"/>
  <c r="CI198" i="1"/>
  <c r="CI193" i="1"/>
  <c r="CI212" i="1"/>
  <c r="BZ210" i="1"/>
  <c r="CI195" i="1"/>
  <c r="BZ195" i="1"/>
  <c r="CI191" i="1"/>
  <c r="BZ191" i="1"/>
  <c r="BZ189" i="1"/>
  <c r="BZ208" i="1"/>
  <c r="BZ192" i="1"/>
  <c r="BZ193" i="1"/>
  <c r="BZ200" i="1"/>
  <c r="BZ201" i="1"/>
  <c r="BZ204" i="1"/>
  <c r="BZ213" i="1"/>
  <c r="CC189" i="1"/>
  <c r="CH189" i="1"/>
  <c r="CC191" i="1"/>
  <c r="CH191" i="1"/>
  <c r="CI210" i="1"/>
  <c r="CI209" i="1"/>
  <c r="CG207" i="1"/>
  <c r="CD207" i="1" s="1"/>
  <c r="CI203" i="1"/>
  <c r="BZ194" i="1"/>
  <c r="CI189" i="1"/>
  <c r="CG209" i="1"/>
  <c r="CD209" i="1" s="1"/>
  <c r="CI201" i="1"/>
  <c r="CI199" i="1"/>
  <c r="CH204" i="1"/>
  <c r="BZ203" i="1"/>
  <c r="CH202" i="1"/>
  <c r="CI192" i="1"/>
  <c r="BZ209" i="1"/>
  <c r="BZ211" i="1"/>
  <c r="BZ197" i="1"/>
  <c r="BZ207" i="1"/>
  <c r="BZ196" i="1"/>
  <c r="BZ205" i="1"/>
  <c r="BZ199" i="1"/>
  <c r="BZ190" i="1"/>
  <c r="CD211" i="1"/>
  <c r="CB213" i="1"/>
  <c r="CC212" i="1"/>
  <c r="CG212" i="1"/>
  <c r="CH211" i="1"/>
  <c r="CC210" i="1"/>
  <c r="CG210" i="1"/>
  <c r="CH209" i="1"/>
  <c r="CC208" i="1"/>
  <c r="CG208" i="1"/>
  <c r="CH207" i="1"/>
  <c r="CC206" i="1"/>
  <c r="CG206" i="1"/>
  <c r="CH205" i="1"/>
  <c r="CC203" i="1"/>
  <c r="CG203" i="1"/>
  <c r="CH203" i="1"/>
  <c r="CG204" i="1"/>
  <c r="CG202" i="1"/>
  <c r="CG201" i="1"/>
  <c r="CC201" i="1"/>
  <c r="CG199" i="1"/>
  <c r="CG197" i="1"/>
  <c r="CB196" i="1"/>
  <c r="CC195" i="1"/>
  <c r="CG195" i="1"/>
  <c r="CH195" i="1"/>
  <c r="CB194" i="1"/>
  <c r="CC193" i="1"/>
  <c r="CG193" i="1"/>
  <c r="CH193" i="1"/>
  <c r="CC200" i="1"/>
  <c r="CG200" i="1"/>
  <c r="CH199" i="1"/>
  <c r="CC198" i="1"/>
  <c r="CG198" i="1"/>
  <c r="CH197" i="1"/>
  <c r="CG192" i="1"/>
  <c r="CH190" i="1"/>
  <c r="CC190" i="1"/>
  <c r="CG190" i="1"/>
  <c r="CH192" i="1"/>
  <c r="CG191" i="1"/>
  <c r="CG189" i="1"/>
  <c r="S189" i="1"/>
  <c r="M188" i="17" s="1"/>
  <c r="T189" i="1"/>
  <c r="S190" i="1"/>
  <c r="M189" i="17" s="1"/>
  <c r="T190" i="1"/>
  <c r="S191" i="1"/>
  <c r="M190" i="17" s="1"/>
  <c r="T191" i="1"/>
  <c r="S192" i="1"/>
  <c r="M191" i="17" s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M204" i="17" s="1"/>
  <c r="T205" i="1"/>
  <c r="N204" i="17" s="1"/>
  <c r="S206" i="1"/>
  <c r="M205" i="17" s="1"/>
  <c r="T206" i="1"/>
  <c r="N205" i="17" s="1"/>
  <c r="S207" i="1"/>
  <c r="M206" i="17" s="1"/>
  <c r="T207" i="1"/>
  <c r="N206" i="17" s="1"/>
  <c r="S208" i="1"/>
  <c r="M207" i="17" s="1"/>
  <c r="T208" i="1"/>
  <c r="N207" i="17" s="1"/>
  <c r="S209" i="1"/>
  <c r="M208" i="17" s="1"/>
  <c r="T209" i="1"/>
  <c r="N208" i="17" s="1"/>
  <c r="S210" i="1"/>
  <c r="M209" i="17" s="1"/>
  <c r="T210" i="1"/>
  <c r="N209" i="17" s="1"/>
  <c r="S211" i="1"/>
  <c r="M210" i="17" s="1"/>
  <c r="T211" i="1"/>
  <c r="N210" i="17" s="1"/>
  <c r="S212" i="1"/>
  <c r="M211" i="17" s="1"/>
  <c r="T212" i="1"/>
  <c r="N211" i="17" s="1"/>
  <c r="S213" i="1"/>
  <c r="M212" i="17" s="1"/>
  <c r="T213" i="1"/>
  <c r="N212" i="17" s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F209" i="1"/>
  <c r="E210" i="1"/>
  <c r="F210" i="1"/>
  <c r="E211" i="1"/>
  <c r="F211" i="1"/>
  <c r="E212" i="1"/>
  <c r="F212" i="1"/>
  <c r="E213" i="1"/>
  <c r="F213" i="1"/>
  <c r="CL214" i="1" l="1"/>
  <c r="CL215" i="1" s="1"/>
  <c r="CL216" i="1" s="1"/>
  <c r="CL217" i="1" s="1"/>
  <c r="CL218" i="1" s="1"/>
  <c r="CL219" i="1" s="1"/>
  <c r="CL220" i="1" s="1"/>
  <c r="CL221" i="1" s="1"/>
  <c r="CL222" i="1" s="1"/>
  <c r="CL223" i="1" s="1"/>
  <c r="CL224" i="1" s="1"/>
  <c r="CL225" i="1" s="1"/>
  <c r="CL226" i="1" s="1"/>
  <c r="CL227" i="1" s="1"/>
  <c r="CL228" i="1" s="1"/>
  <c r="CL229" i="1" s="1"/>
  <c r="CL230" i="1" s="1"/>
  <c r="CL231" i="1" s="1"/>
  <c r="CL232" i="1" s="1"/>
  <c r="CN214" i="1"/>
  <c r="CN215" i="1" s="1"/>
  <c r="CN216" i="1" s="1"/>
  <c r="CN217" i="1" s="1"/>
  <c r="CN218" i="1" s="1"/>
  <c r="CN219" i="1" s="1"/>
  <c r="CN220" i="1" s="1"/>
  <c r="CN221" i="1" s="1"/>
  <c r="CN222" i="1" s="1"/>
  <c r="CN223" i="1" s="1"/>
  <c r="CN224" i="1" s="1"/>
  <c r="CN225" i="1" s="1"/>
  <c r="CN226" i="1" s="1"/>
  <c r="CN227" i="1" s="1"/>
  <c r="CN228" i="1" s="1"/>
  <c r="CN229" i="1" s="1"/>
  <c r="CN230" i="1" s="1"/>
  <c r="CN231" i="1" s="1"/>
  <c r="CN232" i="1" s="1"/>
  <c r="CP214" i="1"/>
  <c r="CP215" i="1" s="1"/>
  <c r="CP216" i="1" s="1"/>
  <c r="CP217" i="1" s="1"/>
  <c r="CP218" i="1" s="1"/>
  <c r="CP219" i="1" s="1"/>
  <c r="CP220" i="1" s="1"/>
  <c r="CP221" i="1" s="1"/>
  <c r="CP222" i="1" s="1"/>
  <c r="CP223" i="1" s="1"/>
  <c r="CP224" i="1" s="1"/>
  <c r="CP225" i="1" s="1"/>
  <c r="CP226" i="1" s="1"/>
  <c r="CP227" i="1" s="1"/>
  <c r="CP228" i="1" s="1"/>
  <c r="CP229" i="1" s="1"/>
  <c r="CP230" i="1" s="1"/>
  <c r="CP231" i="1" s="1"/>
  <c r="CP232" i="1" s="1"/>
  <c r="CR214" i="1"/>
  <c r="CR215" i="1" s="1"/>
  <c r="CR216" i="1" s="1"/>
  <c r="CR217" i="1" s="1"/>
  <c r="CR218" i="1" s="1"/>
  <c r="CR219" i="1" s="1"/>
  <c r="CR220" i="1" s="1"/>
  <c r="CR221" i="1" s="1"/>
  <c r="CR222" i="1" s="1"/>
  <c r="CR223" i="1" s="1"/>
  <c r="CR224" i="1" s="1"/>
  <c r="CR225" i="1" s="1"/>
  <c r="CR226" i="1" s="1"/>
  <c r="CR227" i="1" s="1"/>
  <c r="CR228" i="1" s="1"/>
  <c r="CR229" i="1" s="1"/>
  <c r="CR230" i="1" s="1"/>
  <c r="CR231" i="1" s="1"/>
  <c r="CR232" i="1" s="1"/>
  <c r="CT214" i="1"/>
  <c r="CT215" i="1" s="1"/>
  <c r="CT216" i="1" s="1"/>
  <c r="CT217" i="1" s="1"/>
  <c r="CT218" i="1" s="1"/>
  <c r="CT219" i="1" s="1"/>
  <c r="CT220" i="1" s="1"/>
  <c r="CT221" i="1" s="1"/>
  <c r="CT222" i="1" s="1"/>
  <c r="CT223" i="1" s="1"/>
  <c r="CT224" i="1" s="1"/>
  <c r="CT225" i="1" s="1"/>
  <c r="CT226" i="1" s="1"/>
  <c r="CT227" i="1" s="1"/>
  <c r="CT228" i="1" s="1"/>
  <c r="CT229" i="1" s="1"/>
  <c r="CT230" i="1" s="1"/>
  <c r="CT231" i="1" s="1"/>
  <c r="CT232" i="1" s="1"/>
  <c r="CV214" i="1"/>
  <c r="CV215" i="1" s="1"/>
  <c r="CV216" i="1" s="1"/>
  <c r="CV217" i="1" s="1"/>
  <c r="CV218" i="1" s="1"/>
  <c r="CV219" i="1" s="1"/>
  <c r="CV220" i="1" s="1"/>
  <c r="CV221" i="1" s="1"/>
  <c r="CV222" i="1" s="1"/>
  <c r="CV223" i="1" s="1"/>
  <c r="CV224" i="1" s="1"/>
  <c r="CV225" i="1" s="1"/>
  <c r="CV226" i="1" s="1"/>
  <c r="CV227" i="1" s="1"/>
  <c r="CV228" i="1" s="1"/>
  <c r="CV229" i="1" s="1"/>
  <c r="CV230" i="1" s="1"/>
  <c r="CV231" i="1" s="1"/>
  <c r="CV232" i="1" s="1"/>
  <c r="CX214" i="1"/>
  <c r="CX215" i="1" s="1"/>
  <c r="CX216" i="1" s="1"/>
  <c r="CX217" i="1" s="1"/>
  <c r="CX218" i="1" s="1"/>
  <c r="CX219" i="1" s="1"/>
  <c r="CX220" i="1" s="1"/>
  <c r="CX221" i="1" s="1"/>
  <c r="CX222" i="1" s="1"/>
  <c r="CX223" i="1" s="1"/>
  <c r="CX224" i="1" s="1"/>
  <c r="CX225" i="1" s="1"/>
  <c r="CX226" i="1" s="1"/>
  <c r="CX227" i="1" s="1"/>
  <c r="CX228" i="1" s="1"/>
  <c r="CX229" i="1" s="1"/>
  <c r="CX230" i="1" s="1"/>
  <c r="CX231" i="1" s="1"/>
  <c r="CX232" i="1" s="1"/>
  <c r="CK214" i="1"/>
  <c r="CK215" i="1" s="1"/>
  <c r="CK216" i="1" s="1"/>
  <c r="CK217" i="1" s="1"/>
  <c r="CK218" i="1" s="1"/>
  <c r="CK219" i="1" s="1"/>
  <c r="CK220" i="1" s="1"/>
  <c r="CK221" i="1" s="1"/>
  <c r="CK222" i="1" s="1"/>
  <c r="CK223" i="1" s="1"/>
  <c r="CK224" i="1" s="1"/>
  <c r="CK225" i="1" s="1"/>
  <c r="CK226" i="1" s="1"/>
  <c r="CK227" i="1" s="1"/>
  <c r="CK228" i="1" s="1"/>
  <c r="CK229" i="1" s="1"/>
  <c r="CK230" i="1" s="1"/>
  <c r="CK231" i="1" s="1"/>
  <c r="CK232" i="1" s="1"/>
  <c r="CM214" i="1"/>
  <c r="CM215" i="1" s="1"/>
  <c r="CM216" i="1" s="1"/>
  <c r="CM217" i="1" s="1"/>
  <c r="CM218" i="1" s="1"/>
  <c r="CM219" i="1" s="1"/>
  <c r="CM220" i="1" s="1"/>
  <c r="CM221" i="1" s="1"/>
  <c r="CM222" i="1" s="1"/>
  <c r="CM223" i="1" s="1"/>
  <c r="CM224" i="1" s="1"/>
  <c r="CM225" i="1" s="1"/>
  <c r="CM226" i="1" s="1"/>
  <c r="CM227" i="1" s="1"/>
  <c r="CM228" i="1" s="1"/>
  <c r="CM229" i="1" s="1"/>
  <c r="CM230" i="1" s="1"/>
  <c r="CM231" i="1" s="1"/>
  <c r="CM232" i="1" s="1"/>
  <c r="CO214" i="1"/>
  <c r="CO215" i="1" s="1"/>
  <c r="CO216" i="1" s="1"/>
  <c r="CO217" i="1" s="1"/>
  <c r="CO218" i="1" s="1"/>
  <c r="CO219" i="1" s="1"/>
  <c r="CO220" i="1" s="1"/>
  <c r="CO221" i="1" s="1"/>
  <c r="CO222" i="1" s="1"/>
  <c r="CO223" i="1" s="1"/>
  <c r="CO224" i="1" s="1"/>
  <c r="CO225" i="1" s="1"/>
  <c r="CO226" i="1" s="1"/>
  <c r="CO227" i="1" s="1"/>
  <c r="CO228" i="1" s="1"/>
  <c r="CO229" i="1" s="1"/>
  <c r="CO230" i="1" s="1"/>
  <c r="CO231" i="1" s="1"/>
  <c r="CO232" i="1" s="1"/>
  <c r="CQ214" i="1"/>
  <c r="CQ215" i="1" s="1"/>
  <c r="CQ216" i="1" s="1"/>
  <c r="CQ217" i="1" s="1"/>
  <c r="CQ218" i="1" s="1"/>
  <c r="CQ219" i="1" s="1"/>
  <c r="CQ220" i="1" s="1"/>
  <c r="CQ221" i="1" s="1"/>
  <c r="CQ222" i="1" s="1"/>
  <c r="CQ223" i="1" s="1"/>
  <c r="CQ224" i="1" s="1"/>
  <c r="CQ225" i="1" s="1"/>
  <c r="CQ226" i="1" s="1"/>
  <c r="CQ227" i="1" s="1"/>
  <c r="CQ228" i="1" s="1"/>
  <c r="CQ229" i="1" s="1"/>
  <c r="CQ230" i="1" s="1"/>
  <c r="CQ231" i="1" s="1"/>
  <c r="CQ232" i="1" s="1"/>
  <c r="CS214" i="1"/>
  <c r="CS215" i="1" s="1"/>
  <c r="CS216" i="1" s="1"/>
  <c r="CS217" i="1" s="1"/>
  <c r="CS218" i="1" s="1"/>
  <c r="CS219" i="1" s="1"/>
  <c r="CS220" i="1" s="1"/>
  <c r="CS221" i="1" s="1"/>
  <c r="CS222" i="1" s="1"/>
  <c r="CS223" i="1" s="1"/>
  <c r="CS224" i="1" s="1"/>
  <c r="CS225" i="1" s="1"/>
  <c r="CS226" i="1" s="1"/>
  <c r="CS227" i="1" s="1"/>
  <c r="CS228" i="1" s="1"/>
  <c r="CS229" i="1" s="1"/>
  <c r="CS230" i="1" s="1"/>
  <c r="CS231" i="1" s="1"/>
  <c r="CS232" i="1" s="1"/>
  <c r="CU214" i="1"/>
  <c r="CU215" i="1" s="1"/>
  <c r="CU216" i="1" s="1"/>
  <c r="CU217" i="1" s="1"/>
  <c r="CU218" i="1" s="1"/>
  <c r="CU219" i="1" s="1"/>
  <c r="CU220" i="1" s="1"/>
  <c r="CU221" i="1" s="1"/>
  <c r="CU222" i="1" s="1"/>
  <c r="CU223" i="1" s="1"/>
  <c r="CU224" i="1" s="1"/>
  <c r="CU225" i="1" s="1"/>
  <c r="CU226" i="1" s="1"/>
  <c r="CU227" i="1" s="1"/>
  <c r="CU228" i="1" s="1"/>
  <c r="CU229" i="1" s="1"/>
  <c r="CU230" i="1" s="1"/>
  <c r="CU231" i="1" s="1"/>
  <c r="CU232" i="1" s="1"/>
  <c r="CW214" i="1"/>
  <c r="CW215" i="1" s="1"/>
  <c r="CW216" i="1" s="1"/>
  <c r="CW217" i="1" s="1"/>
  <c r="CW218" i="1" s="1"/>
  <c r="CW219" i="1" s="1"/>
  <c r="CW220" i="1" s="1"/>
  <c r="CW221" i="1" s="1"/>
  <c r="CW222" i="1" s="1"/>
  <c r="CW223" i="1" s="1"/>
  <c r="CW224" i="1" s="1"/>
  <c r="CW225" i="1" s="1"/>
  <c r="CW226" i="1" s="1"/>
  <c r="CW227" i="1" s="1"/>
  <c r="CW228" i="1" s="1"/>
  <c r="CW229" i="1" s="1"/>
  <c r="CW230" i="1" s="1"/>
  <c r="CW231" i="1" s="1"/>
  <c r="CW232" i="1" s="1"/>
  <c r="CY214" i="1"/>
  <c r="CY215" i="1" s="1"/>
  <c r="CY216" i="1" s="1"/>
  <c r="CY217" i="1" s="1"/>
  <c r="CY218" i="1" s="1"/>
  <c r="CY219" i="1" s="1"/>
  <c r="CY220" i="1" s="1"/>
  <c r="CY221" i="1" s="1"/>
  <c r="CY222" i="1" s="1"/>
  <c r="CY223" i="1" s="1"/>
  <c r="CY224" i="1" s="1"/>
  <c r="CY225" i="1" s="1"/>
  <c r="CY226" i="1" s="1"/>
  <c r="CY227" i="1" s="1"/>
  <c r="CY228" i="1" s="1"/>
  <c r="CY229" i="1" s="1"/>
  <c r="CY230" i="1" s="1"/>
  <c r="CY231" i="1" s="1"/>
  <c r="CY232" i="1" s="1"/>
  <c r="CF205" i="1"/>
  <c r="CD205" i="1"/>
  <c r="CE211" i="1"/>
  <c r="CE207" i="1"/>
  <c r="CE209" i="1"/>
  <c r="CF207" i="1"/>
  <c r="CF209" i="1"/>
  <c r="CD192" i="1"/>
  <c r="CF192" i="1"/>
  <c r="CE192" i="1"/>
  <c r="CE200" i="1"/>
  <c r="CF200" i="1"/>
  <c r="CD200" i="1"/>
  <c r="CE193" i="1"/>
  <c r="CD193" i="1"/>
  <c r="CF193" i="1"/>
  <c r="CH196" i="1"/>
  <c r="CC196" i="1"/>
  <c r="CG196" i="1"/>
  <c r="CD199" i="1"/>
  <c r="CF199" i="1"/>
  <c r="CE199" i="1"/>
  <c r="CD201" i="1"/>
  <c r="CF201" i="1"/>
  <c r="CE201" i="1"/>
  <c r="CD202" i="1"/>
  <c r="CF202" i="1"/>
  <c r="CE202" i="1"/>
  <c r="CD204" i="1"/>
  <c r="CF204" i="1"/>
  <c r="CE204" i="1"/>
  <c r="CE203" i="1"/>
  <c r="CD203" i="1"/>
  <c r="CF203" i="1"/>
  <c r="CE206" i="1"/>
  <c r="CD206" i="1"/>
  <c r="CF206" i="1"/>
  <c r="CE210" i="1"/>
  <c r="CF210" i="1"/>
  <c r="CD210" i="1"/>
  <c r="CE212" i="1"/>
  <c r="CD212" i="1"/>
  <c r="CF212" i="1"/>
  <c r="CC213" i="1"/>
  <c r="CE189" i="1"/>
  <c r="CD189" i="1"/>
  <c r="CF189" i="1"/>
  <c r="CE191" i="1"/>
  <c r="CD191" i="1"/>
  <c r="CF191" i="1"/>
  <c r="CD190" i="1"/>
  <c r="CF190" i="1"/>
  <c r="CE190" i="1"/>
  <c r="CE198" i="1"/>
  <c r="CF198" i="1"/>
  <c r="CD198" i="1"/>
  <c r="CH194" i="1"/>
  <c r="CC194" i="1"/>
  <c r="CG194" i="1"/>
  <c r="CE195" i="1"/>
  <c r="CD195" i="1"/>
  <c r="CF195" i="1"/>
  <c r="CD197" i="1"/>
  <c r="CF197" i="1"/>
  <c r="CE197" i="1"/>
  <c r="CE208" i="1"/>
  <c r="CD208" i="1"/>
  <c r="CF208" i="1"/>
  <c r="CG232" i="1" l="1"/>
  <c r="CH232" i="1"/>
  <c r="CD194" i="1"/>
  <c r="CF194" i="1"/>
  <c r="CE194" i="1"/>
  <c r="CD196" i="1"/>
  <c r="CF196" i="1"/>
  <c r="CE196" i="1"/>
  <c r="N155" i="1"/>
  <c r="E155" i="1"/>
  <c r="CD232" i="1" l="1"/>
  <c r="CE232" i="1"/>
  <c r="CF232" i="1"/>
  <c r="BX155" i="1"/>
  <c r="BW155" i="1"/>
  <c r="AN154" i="17" s="1"/>
  <c r="K147" i="1" l="1"/>
  <c r="A176" i="17" l="1"/>
  <c r="B176" i="17"/>
  <c r="E176" i="17"/>
  <c r="G176" i="17"/>
  <c r="H176" i="17"/>
  <c r="I176" i="17"/>
  <c r="J176" i="17"/>
  <c r="K176" i="17"/>
  <c r="L176" i="17"/>
  <c r="O176" i="17"/>
  <c r="P176" i="17"/>
  <c r="Q176" i="17"/>
  <c r="R176" i="17"/>
  <c r="S176" i="17"/>
  <c r="T176" i="17"/>
  <c r="U176" i="17"/>
  <c r="V176" i="17"/>
  <c r="W176" i="17"/>
  <c r="X176" i="17"/>
  <c r="Y176" i="17"/>
  <c r="Z176" i="17"/>
  <c r="AA176" i="17"/>
  <c r="AB176" i="17"/>
  <c r="AC176" i="17"/>
  <c r="AD176" i="17"/>
  <c r="AE176" i="17"/>
  <c r="AF176" i="17"/>
  <c r="AG176" i="17"/>
  <c r="AH176" i="17"/>
  <c r="AI176" i="17"/>
  <c r="AJ176" i="17"/>
  <c r="AK176" i="17"/>
  <c r="AL176" i="17"/>
  <c r="AM176" i="17"/>
  <c r="A177" i="17"/>
  <c r="B177" i="17"/>
  <c r="D177" i="17"/>
  <c r="E177" i="17"/>
  <c r="G177" i="17"/>
  <c r="H177" i="17"/>
  <c r="I177" i="17"/>
  <c r="J177" i="17"/>
  <c r="K177" i="17"/>
  <c r="L177" i="17"/>
  <c r="O177" i="17"/>
  <c r="P177" i="17"/>
  <c r="Q177" i="17"/>
  <c r="R177" i="17"/>
  <c r="S177" i="17"/>
  <c r="T177" i="17"/>
  <c r="U177" i="17"/>
  <c r="V177" i="17"/>
  <c r="W177" i="17"/>
  <c r="X177" i="17"/>
  <c r="Y177" i="17"/>
  <c r="Z177" i="17"/>
  <c r="AA177" i="17"/>
  <c r="AB177" i="17"/>
  <c r="AC177" i="17"/>
  <c r="AD177" i="17"/>
  <c r="AE177" i="17"/>
  <c r="AF177" i="17"/>
  <c r="AG177" i="17"/>
  <c r="AH177" i="17"/>
  <c r="AI177" i="17"/>
  <c r="AJ177" i="17"/>
  <c r="AK177" i="17"/>
  <c r="AL177" i="17"/>
  <c r="AM177" i="17"/>
  <c r="A178" i="17"/>
  <c r="B178" i="17"/>
  <c r="D178" i="17"/>
  <c r="E178" i="17"/>
  <c r="G178" i="17"/>
  <c r="H178" i="17"/>
  <c r="I178" i="17"/>
  <c r="J178" i="17"/>
  <c r="K178" i="17"/>
  <c r="L178" i="17"/>
  <c r="O178" i="17"/>
  <c r="P178" i="17"/>
  <c r="Q178" i="17"/>
  <c r="R178" i="17"/>
  <c r="S178" i="17"/>
  <c r="T178" i="17"/>
  <c r="U178" i="17"/>
  <c r="V178" i="17"/>
  <c r="W178" i="17"/>
  <c r="X178" i="17"/>
  <c r="Y178" i="17"/>
  <c r="Z178" i="17"/>
  <c r="AA178" i="17"/>
  <c r="AB178" i="17"/>
  <c r="AC178" i="17"/>
  <c r="AD178" i="17"/>
  <c r="AE178" i="17"/>
  <c r="AF178" i="17"/>
  <c r="AG178" i="17"/>
  <c r="AH178" i="17"/>
  <c r="AI178" i="17"/>
  <c r="AJ178" i="17"/>
  <c r="AK178" i="17"/>
  <c r="AL178" i="17"/>
  <c r="AM178" i="17"/>
  <c r="A179" i="17"/>
  <c r="B179" i="17"/>
  <c r="D179" i="17"/>
  <c r="E179" i="17"/>
  <c r="G179" i="17"/>
  <c r="H179" i="17"/>
  <c r="I179" i="17"/>
  <c r="J179" i="17"/>
  <c r="K179" i="17"/>
  <c r="L179" i="17"/>
  <c r="O179" i="17"/>
  <c r="P179" i="17"/>
  <c r="Q179" i="17"/>
  <c r="R179" i="17"/>
  <c r="S179" i="17"/>
  <c r="T179" i="17"/>
  <c r="U179" i="17"/>
  <c r="V179" i="17"/>
  <c r="W179" i="17"/>
  <c r="X179" i="17"/>
  <c r="Y179" i="17"/>
  <c r="Z179" i="17"/>
  <c r="AA179" i="17"/>
  <c r="AB179" i="17"/>
  <c r="AC179" i="17"/>
  <c r="AD179" i="17"/>
  <c r="AE179" i="17"/>
  <c r="AF179" i="17"/>
  <c r="AG179" i="17"/>
  <c r="AH179" i="17"/>
  <c r="AI179" i="17"/>
  <c r="AJ179" i="17"/>
  <c r="AK179" i="17"/>
  <c r="AL179" i="17"/>
  <c r="AM179" i="17"/>
  <c r="A180" i="17"/>
  <c r="B180" i="17"/>
  <c r="D180" i="17"/>
  <c r="E180" i="17"/>
  <c r="G180" i="17"/>
  <c r="H180" i="17"/>
  <c r="I180" i="17"/>
  <c r="J180" i="17"/>
  <c r="K180" i="17"/>
  <c r="L180" i="17"/>
  <c r="O180" i="17"/>
  <c r="P180" i="17"/>
  <c r="Q180" i="17"/>
  <c r="R180" i="17"/>
  <c r="S180" i="17"/>
  <c r="T180" i="17"/>
  <c r="U180" i="17"/>
  <c r="V180" i="17"/>
  <c r="W180" i="17"/>
  <c r="X180" i="17"/>
  <c r="Y180" i="17"/>
  <c r="Z180" i="17"/>
  <c r="AA180" i="17"/>
  <c r="AB180" i="17"/>
  <c r="AC180" i="17"/>
  <c r="AD180" i="17"/>
  <c r="AE180" i="17"/>
  <c r="AF180" i="17"/>
  <c r="AG180" i="17"/>
  <c r="AH180" i="17"/>
  <c r="AI180" i="17"/>
  <c r="AJ180" i="17"/>
  <c r="AK180" i="17"/>
  <c r="AL180" i="17"/>
  <c r="AM180" i="17"/>
  <c r="A181" i="17"/>
  <c r="B181" i="17"/>
  <c r="D181" i="17"/>
  <c r="E181" i="17"/>
  <c r="G181" i="17"/>
  <c r="H181" i="17"/>
  <c r="I181" i="17"/>
  <c r="J181" i="17"/>
  <c r="K181" i="17"/>
  <c r="L181" i="17"/>
  <c r="O181" i="17"/>
  <c r="P181" i="17"/>
  <c r="Q181" i="17"/>
  <c r="R181" i="17"/>
  <c r="S181" i="17"/>
  <c r="T181" i="17"/>
  <c r="U181" i="17"/>
  <c r="V181" i="17"/>
  <c r="W181" i="17"/>
  <c r="X181" i="17"/>
  <c r="Y181" i="17"/>
  <c r="Z181" i="17"/>
  <c r="AA181" i="17"/>
  <c r="AB181" i="17"/>
  <c r="AC181" i="17"/>
  <c r="AD181" i="17"/>
  <c r="AE181" i="17"/>
  <c r="AF181" i="17"/>
  <c r="AG181" i="17"/>
  <c r="AH181" i="17"/>
  <c r="AI181" i="17"/>
  <c r="AJ181" i="17"/>
  <c r="AK181" i="17"/>
  <c r="AL181" i="17"/>
  <c r="AM181" i="17"/>
  <c r="A182" i="17"/>
  <c r="B182" i="17"/>
  <c r="D182" i="17"/>
  <c r="E182" i="17"/>
  <c r="G182" i="17"/>
  <c r="H182" i="17"/>
  <c r="I182" i="17"/>
  <c r="J182" i="17"/>
  <c r="K182" i="17"/>
  <c r="L182" i="17"/>
  <c r="O182" i="17"/>
  <c r="P182" i="17"/>
  <c r="Q182" i="17"/>
  <c r="R182" i="17"/>
  <c r="S182" i="17"/>
  <c r="T182" i="17"/>
  <c r="U182" i="17"/>
  <c r="V182" i="17"/>
  <c r="W182" i="17"/>
  <c r="X182" i="17"/>
  <c r="Y182" i="17"/>
  <c r="Z182" i="17"/>
  <c r="AA182" i="17"/>
  <c r="AB182" i="17"/>
  <c r="AC182" i="17"/>
  <c r="AD182" i="17"/>
  <c r="AE182" i="17"/>
  <c r="AF182" i="17"/>
  <c r="AG182" i="17"/>
  <c r="AH182" i="17"/>
  <c r="AI182" i="17"/>
  <c r="AJ182" i="17"/>
  <c r="AK182" i="17"/>
  <c r="AL182" i="17"/>
  <c r="AM182" i="17"/>
  <c r="A183" i="17"/>
  <c r="B183" i="17"/>
  <c r="D183" i="17"/>
  <c r="E183" i="17"/>
  <c r="G183" i="17"/>
  <c r="H183" i="17"/>
  <c r="I183" i="17"/>
  <c r="J183" i="17"/>
  <c r="K183" i="17"/>
  <c r="L183" i="17"/>
  <c r="O183" i="17"/>
  <c r="P183" i="17"/>
  <c r="Q183" i="17"/>
  <c r="R183" i="17"/>
  <c r="S183" i="17"/>
  <c r="T183" i="17"/>
  <c r="U183" i="17"/>
  <c r="V183" i="17"/>
  <c r="W183" i="17"/>
  <c r="X183" i="17"/>
  <c r="Y183" i="17"/>
  <c r="Z183" i="17"/>
  <c r="AA183" i="17"/>
  <c r="AB183" i="17"/>
  <c r="AC183" i="17"/>
  <c r="AD183" i="17"/>
  <c r="AE183" i="17"/>
  <c r="AF183" i="17"/>
  <c r="AG183" i="17"/>
  <c r="AH183" i="17"/>
  <c r="AI183" i="17"/>
  <c r="AJ183" i="17"/>
  <c r="AK183" i="17"/>
  <c r="AL183" i="17"/>
  <c r="AM183" i="17"/>
  <c r="A184" i="17"/>
  <c r="B184" i="17"/>
  <c r="D184" i="17"/>
  <c r="E184" i="17"/>
  <c r="G184" i="17"/>
  <c r="H184" i="17"/>
  <c r="I184" i="17"/>
  <c r="J184" i="17"/>
  <c r="K184" i="17"/>
  <c r="L184" i="17"/>
  <c r="O184" i="17"/>
  <c r="P184" i="17"/>
  <c r="Q184" i="17"/>
  <c r="R184" i="17"/>
  <c r="S184" i="17"/>
  <c r="T184" i="17"/>
  <c r="U184" i="17"/>
  <c r="V184" i="17"/>
  <c r="W184" i="17"/>
  <c r="X184" i="17"/>
  <c r="Y184" i="17"/>
  <c r="Z184" i="17"/>
  <c r="AA184" i="17"/>
  <c r="AB184" i="17"/>
  <c r="AC184" i="17"/>
  <c r="AD184" i="17"/>
  <c r="AE184" i="17"/>
  <c r="AF184" i="17"/>
  <c r="AG184" i="17"/>
  <c r="AH184" i="17"/>
  <c r="AI184" i="17"/>
  <c r="AJ184" i="17"/>
  <c r="AK184" i="17"/>
  <c r="AL184" i="17"/>
  <c r="AM184" i="17"/>
  <c r="A185" i="17"/>
  <c r="B185" i="17"/>
  <c r="D185" i="17"/>
  <c r="E185" i="17"/>
  <c r="G185" i="17"/>
  <c r="H185" i="17"/>
  <c r="I185" i="17"/>
  <c r="J185" i="17"/>
  <c r="K185" i="17"/>
  <c r="L185" i="17"/>
  <c r="O185" i="17"/>
  <c r="P185" i="17"/>
  <c r="Q185" i="17"/>
  <c r="R185" i="17"/>
  <c r="S185" i="17"/>
  <c r="T185" i="17"/>
  <c r="U185" i="17"/>
  <c r="V185" i="17"/>
  <c r="W185" i="17"/>
  <c r="X185" i="17"/>
  <c r="Y185" i="17"/>
  <c r="Z185" i="17"/>
  <c r="AA185" i="17"/>
  <c r="AB185" i="17"/>
  <c r="AC185" i="17"/>
  <c r="AD185" i="17"/>
  <c r="AE185" i="17"/>
  <c r="AF185" i="17"/>
  <c r="AG185" i="17"/>
  <c r="AH185" i="17"/>
  <c r="AI185" i="17"/>
  <c r="AJ185" i="17"/>
  <c r="AK185" i="17"/>
  <c r="AL185" i="17"/>
  <c r="AM185" i="17"/>
  <c r="A186" i="17"/>
  <c r="B186" i="17"/>
  <c r="D186" i="17"/>
  <c r="E186" i="17"/>
  <c r="G186" i="17"/>
  <c r="H186" i="17"/>
  <c r="I186" i="17"/>
  <c r="J186" i="17"/>
  <c r="K186" i="17"/>
  <c r="L186" i="17"/>
  <c r="O186" i="17"/>
  <c r="P186" i="17"/>
  <c r="Q186" i="17"/>
  <c r="R186" i="17"/>
  <c r="S186" i="17"/>
  <c r="T186" i="17"/>
  <c r="U186" i="17"/>
  <c r="V186" i="17"/>
  <c r="W186" i="17"/>
  <c r="X186" i="17"/>
  <c r="Y186" i="17"/>
  <c r="Z186" i="17"/>
  <c r="AA186" i="17"/>
  <c r="AB186" i="17"/>
  <c r="AC186" i="17"/>
  <c r="AD186" i="17"/>
  <c r="AE186" i="17"/>
  <c r="AF186" i="17"/>
  <c r="AG186" i="17"/>
  <c r="AH186" i="17"/>
  <c r="AI186" i="17"/>
  <c r="AJ186" i="17"/>
  <c r="AK186" i="17"/>
  <c r="AL186" i="17"/>
  <c r="AM186" i="17"/>
  <c r="A187" i="17"/>
  <c r="B187" i="17"/>
  <c r="D187" i="17"/>
  <c r="E187" i="17"/>
  <c r="G187" i="17"/>
  <c r="H187" i="17"/>
  <c r="I187" i="17"/>
  <c r="J187" i="17"/>
  <c r="K187" i="17"/>
  <c r="L187" i="17"/>
  <c r="O187" i="17"/>
  <c r="P187" i="17"/>
  <c r="Q187" i="17"/>
  <c r="R187" i="17"/>
  <c r="S187" i="17"/>
  <c r="T187" i="17"/>
  <c r="U187" i="17"/>
  <c r="V187" i="17"/>
  <c r="W187" i="17"/>
  <c r="X187" i="17"/>
  <c r="Y187" i="17"/>
  <c r="Z187" i="17"/>
  <c r="AA187" i="17"/>
  <c r="AB187" i="17"/>
  <c r="AC187" i="17"/>
  <c r="AD187" i="17"/>
  <c r="AE187" i="17"/>
  <c r="AF187" i="17"/>
  <c r="AG187" i="17"/>
  <c r="AH187" i="17"/>
  <c r="AI187" i="17"/>
  <c r="AJ187" i="17"/>
  <c r="AK187" i="17"/>
  <c r="AL187" i="17"/>
  <c r="AM187" i="17"/>
  <c r="A188" i="17"/>
  <c r="B188" i="17"/>
  <c r="D188" i="17"/>
  <c r="E188" i="17"/>
  <c r="G188" i="17"/>
  <c r="H188" i="17"/>
  <c r="I188" i="17"/>
  <c r="J188" i="17"/>
  <c r="K188" i="17"/>
  <c r="L188" i="17"/>
  <c r="N188" i="17"/>
  <c r="O188" i="17"/>
  <c r="P188" i="17"/>
  <c r="Q188" i="17"/>
  <c r="R188" i="17"/>
  <c r="S188" i="17"/>
  <c r="T188" i="17"/>
  <c r="U188" i="17"/>
  <c r="V188" i="17"/>
  <c r="W188" i="17"/>
  <c r="X188" i="17"/>
  <c r="Y188" i="17"/>
  <c r="Z188" i="17"/>
  <c r="AA188" i="17"/>
  <c r="AB188" i="17"/>
  <c r="AC188" i="17"/>
  <c r="AD188" i="17"/>
  <c r="AE188" i="17"/>
  <c r="AF188" i="17"/>
  <c r="AG188" i="17"/>
  <c r="AH188" i="17"/>
  <c r="AI188" i="17"/>
  <c r="AJ188" i="17"/>
  <c r="AK188" i="17"/>
  <c r="AL188" i="17"/>
  <c r="AM188" i="17"/>
  <c r="AN188" i="17"/>
  <c r="A189" i="17"/>
  <c r="B189" i="17"/>
  <c r="D189" i="17"/>
  <c r="E189" i="17"/>
  <c r="G189" i="17"/>
  <c r="H189" i="17"/>
  <c r="I189" i="17"/>
  <c r="J189" i="17"/>
  <c r="K189" i="17"/>
  <c r="L189" i="17"/>
  <c r="N189" i="17"/>
  <c r="O189" i="17"/>
  <c r="P189" i="17"/>
  <c r="Q189" i="17"/>
  <c r="R189" i="17"/>
  <c r="S189" i="17"/>
  <c r="T189" i="17"/>
  <c r="U189" i="17"/>
  <c r="V189" i="17"/>
  <c r="W189" i="17"/>
  <c r="X189" i="17"/>
  <c r="Y189" i="17"/>
  <c r="Z189" i="17"/>
  <c r="AA189" i="17"/>
  <c r="AB189" i="17"/>
  <c r="AC189" i="17"/>
  <c r="AD189" i="17"/>
  <c r="AE189" i="17"/>
  <c r="AF189" i="17"/>
  <c r="AG189" i="17"/>
  <c r="AH189" i="17"/>
  <c r="AI189" i="17"/>
  <c r="AJ189" i="17"/>
  <c r="AK189" i="17"/>
  <c r="AL189" i="17"/>
  <c r="AM189" i="17"/>
  <c r="AN189" i="17"/>
  <c r="A190" i="17"/>
  <c r="B190" i="17"/>
  <c r="D190" i="17"/>
  <c r="E190" i="17"/>
  <c r="G190" i="17"/>
  <c r="H190" i="17"/>
  <c r="I190" i="17"/>
  <c r="J190" i="17"/>
  <c r="K190" i="17"/>
  <c r="L190" i="17"/>
  <c r="N190" i="17"/>
  <c r="O190" i="17"/>
  <c r="P190" i="17"/>
  <c r="Q190" i="17"/>
  <c r="R190" i="17"/>
  <c r="S190" i="17"/>
  <c r="T190" i="17"/>
  <c r="U190" i="17"/>
  <c r="V190" i="17"/>
  <c r="W190" i="17"/>
  <c r="X190" i="17"/>
  <c r="Y190" i="17"/>
  <c r="Z190" i="17"/>
  <c r="AA190" i="17"/>
  <c r="AB190" i="17"/>
  <c r="AC190" i="17"/>
  <c r="AD190" i="17"/>
  <c r="AE190" i="17"/>
  <c r="AF190" i="17"/>
  <c r="AG190" i="17"/>
  <c r="AH190" i="17"/>
  <c r="AI190" i="17"/>
  <c r="AJ190" i="17"/>
  <c r="AK190" i="17"/>
  <c r="AL190" i="17"/>
  <c r="AM190" i="17"/>
  <c r="AN190" i="17"/>
  <c r="A191" i="17"/>
  <c r="B191" i="17"/>
  <c r="D191" i="17"/>
  <c r="E191" i="17"/>
  <c r="G191" i="17"/>
  <c r="H191" i="17"/>
  <c r="I191" i="17"/>
  <c r="J191" i="17"/>
  <c r="K191" i="17"/>
  <c r="L191" i="17"/>
  <c r="N191" i="17"/>
  <c r="O191" i="17"/>
  <c r="P191" i="17"/>
  <c r="Q191" i="17"/>
  <c r="R191" i="17"/>
  <c r="S191" i="17"/>
  <c r="T191" i="17"/>
  <c r="U191" i="17"/>
  <c r="V191" i="17"/>
  <c r="W191" i="17"/>
  <c r="X191" i="17"/>
  <c r="Y191" i="17"/>
  <c r="Z191" i="17"/>
  <c r="AA191" i="17"/>
  <c r="AB191" i="17"/>
  <c r="AC191" i="17"/>
  <c r="AD191" i="17"/>
  <c r="AE191" i="17"/>
  <c r="AF191" i="17"/>
  <c r="AG191" i="17"/>
  <c r="AH191" i="17"/>
  <c r="AI191" i="17"/>
  <c r="AJ191" i="17"/>
  <c r="AK191" i="17"/>
  <c r="AL191" i="17"/>
  <c r="AM191" i="17"/>
  <c r="AN191" i="17"/>
  <c r="A192" i="17"/>
  <c r="B192" i="17"/>
  <c r="D192" i="17"/>
  <c r="E192" i="17"/>
  <c r="G192" i="17"/>
  <c r="H192" i="17"/>
  <c r="I192" i="17"/>
  <c r="J192" i="17"/>
  <c r="K192" i="17"/>
  <c r="L192" i="17"/>
  <c r="M192" i="17"/>
  <c r="N192" i="17"/>
  <c r="O192" i="17"/>
  <c r="P192" i="17"/>
  <c r="Q192" i="17"/>
  <c r="R192" i="17"/>
  <c r="S192" i="17"/>
  <c r="T192" i="17"/>
  <c r="U192" i="17"/>
  <c r="V192" i="17"/>
  <c r="W192" i="17"/>
  <c r="X192" i="17"/>
  <c r="Y192" i="17"/>
  <c r="Z192" i="17"/>
  <c r="AA192" i="17"/>
  <c r="AB192" i="17"/>
  <c r="AC192" i="17"/>
  <c r="AD192" i="17"/>
  <c r="AE192" i="17"/>
  <c r="AF192" i="17"/>
  <c r="AG192" i="17"/>
  <c r="AH192" i="17"/>
  <c r="AI192" i="17"/>
  <c r="AJ192" i="17"/>
  <c r="AK192" i="17"/>
  <c r="AL192" i="17"/>
  <c r="AM192" i="17"/>
  <c r="AN192" i="17"/>
  <c r="A193" i="17"/>
  <c r="B193" i="17"/>
  <c r="D193" i="17"/>
  <c r="E193" i="17"/>
  <c r="G193" i="17"/>
  <c r="H193" i="17"/>
  <c r="I193" i="17"/>
  <c r="J193" i="17"/>
  <c r="K193" i="17"/>
  <c r="L193" i="17"/>
  <c r="M193" i="17"/>
  <c r="N193" i="17"/>
  <c r="O193" i="17"/>
  <c r="P193" i="17"/>
  <c r="Q193" i="17"/>
  <c r="R193" i="17"/>
  <c r="S193" i="17"/>
  <c r="T193" i="17"/>
  <c r="U193" i="17"/>
  <c r="V193" i="17"/>
  <c r="W193" i="17"/>
  <c r="X193" i="17"/>
  <c r="Y193" i="17"/>
  <c r="Z193" i="17"/>
  <c r="AA193" i="17"/>
  <c r="AB193" i="17"/>
  <c r="AC193" i="17"/>
  <c r="AD193" i="17"/>
  <c r="AE193" i="17"/>
  <c r="AF193" i="17"/>
  <c r="AG193" i="17"/>
  <c r="AH193" i="17"/>
  <c r="AI193" i="17"/>
  <c r="AJ193" i="17"/>
  <c r="AK193" i="17"/>
  <c r="AL193" i="17"/>
  <c r="AM193" i="17"/>
  <c r="AN193" i="17"/>
  <c r="A194" i="17"/>
  <c r="B194" i="17"/>
  <c r="D194" i="17"/>
  <c r="E194" i="17"/>
  <c r="G194" i="17"/>
  <c r="H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X194" i="17"/>
  <c r="Y194" i="17"/>
  <c r="Z194" i="17"/>
  <c r="AA194" i="17"/>
  <c r="AB194" i="17"/>
  <c r="AC194" i="17"/>
  <c r="AD194" i="17"/>
  <c r="AE194" i="17"/>
  <c r="AF194" i="17"/>
  <c r="AG194" i="17"/>
  <c r="AH194" i="17"/>
  <c r="AI194" i="17"/>
  <c r="AJ194" i="17"/>
  <c r="AK194" i="17"/>
  <c r="AL194" i="17"/>
  <c r="AM194" i="17"/>
  <c r="AN194" i="17"/>
  <c r="A195" i="17"/>
  <c r="B195" i="17"/>
  <c r="D195" i="17"/>
  <c r="E195" i="17"/>
  <c r="G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196" i="17"/>
  <c r="B196" i="17"/>
  <c r="D196" i="17"/>
  <c r="E196" i="17"/>
  <c r="G196" i="17"/>
  <c r="H196" i="17"/>
  <c r="I196" i="17"/>
  <c r="J196" i="17"/>
  <c r="K196" i="17"/>
  <c r="L196" i="17"/>
  <c r="M196" i="17"/>
  <c r="N196" i="17"/>
  <c r="O196" i="17"/>
  <c r="P196" i="17"/>
  <c r="Q196" i="17"/>
  <c r="R196" i="17"/>
  <c r="S196" i="17"/>
  <c r="T196" i="17"/>
  <c r="U196" i="17"/>
  <c r="V196" i="17"/>
  <c r="W196" i="17"/>
  <c r="X196" i="17"/>
  <c r="Y196" i="17"/>
  <c r="Z196" i="17"/>
  <c r="AA196" i="17"/>
  <c r="AB196" i="17"/>
  <c r="AC196" i="17"/>
  <c r="AD196" i="17"/>
  <c r="AE196" i="17"/>
  <c r="AF196" i="17"/>
  <c r="AG196" i="17"/>
  <c r="AH196" i="17"/>
  <c r="AI196" i="17"/>
  <c r="AJ196" i="17"/>
  <c r="AK196" i="17"/>
  <c r="AL196" i="17"/>
  <c r="AM196" i="17"/>
  <c r="AN196" i="17"/>
  <c r="A197" i="17"/>
  <c r="B197" i="17"/>
  <c r="D197" i="17"/>
  <c r="E197" i="17"/>
  <c r="G197" i="17"/>
  <c r="H197" i="17"/>
  <c r="I197" i="17"/>
  <c r="J197" i="17"/>
  <c r="K197" i="17"/>
  <c r="L197" i="17"/>
  <c r="M197" i="17"/>
  <c r="N197" i="17"/>
  <c r="O197" i="17"/>
  <c r="P197" i="17"/>
  <c r="Q197" i="17"/>
  <c r="R197" i="17"/>
  <c r="S197" i="17"/>
  <c r="T197" i="17"/>
  <c r="U197" i="17"/>
  <c r="V197" i="17"/>
  <c r="W197" i="17"/>
  <c r="X197" i="17"/>
  <c r="Y197" i="17"/>
  <c r="Z197" i="17"/>
  <c r="AA197" i="17"/>
  <c r="AB197" i="17"/>
  <c r="AC197" i="17"/>
  <c r="AD197" i="17"/>
  <c r="AE197" i="17"/>
  <c r="AF197" i="17"/>
  <c r="AG197" i="17"/>
  <c r="AH197" i="17"/>
  <c r="AI197" i="17"/>
  <c r="AJ197" i="17"/>
  <c r="AK197" i="17"/>
  <c r="AL197" i="17"/>
  <c r="AM197" i="17"/>
  <c r="AN197" i="17"/>
  <c r="A198" i="17"/>
  <c r="B198" i="17"/>
  <c r="D198" i="17"/>
  <c r="E198" i="17"/>
  <c r="G198" i="17"/>
  <c r="H198" i="17"/>
  <c r="I198" i="17"/>
  <c r="J198" i="17"/>
  <c r="K198" i="17"/>
  <c r="L198" i="17"/>
  <c r="M198" i="17"/>
  <c r="N198" i="17"/>
  <c r="O198" i="17"/>
  <c r="P198" i="17"/>
  <c r="Q198" i="17"/>
  <c r="R198" i="17"/>
  <c r="S198" i="17"/>
  <c r="T198" i="17"/>
  <c r="U198" i="17"/>
  <c r="V198" i="17"/>
  <c r="W198" i="17"/>
  <c r="X198" i="17"/>
  <c r="Y198" i="17"/>
  <c r="Z198" i="17"/>
  <c r="AA198" i="17"/>
  <c r="AB198" i="17"/>
  <c r="AC198" i="17"/>
  <c r="AD198" i="17"/>
  <c r="AE198" i="17"/>
  <c r="AF198" i="17"/>
  <c r="AG198" i="17"/>
  <c r="AH198" i="17"/>
  <c r="AI198" i="17"/>
  <c r="AJ198" i="17"/>
  <c r="AK198" i="17"/>
  <c r="AL198" i="17"/>
  <c r="AM198" i="17"/>
  <c r="AN198" i="17"/>
  <c r="A199" i="17"/>
  <c r="B199" i="17"/>
  <c r="D199" i="17"/>
  <c r="E199" i="17"/>
  <c r="G199" i="17"/>
  <c r="H199" i="17"/>
  <c r="I199" i="17"/>
  <c r="J199" i="17"/>
  <c r="K199" i="17"/>
  <c r="L199" i="17"/>
  <c r="M199" i="17"/>
  <c r="N199" i="17"/>
  <c r="O199" i="17"/>
  <c r="P199" i="17"/>
  <c r="Q199" i="17"/>
  <c r="R199" i="17"/>
  <c r="S199" i="17"/>
  <c r="T199" i="17"/>
  <c r="U199" i="17"/>
  <c r="V199" i="17"/>
  <c r="W199" i="17"/>
  <c r="X199" i="17"/>
  <c r="Y199" i="17"/>
  <c r="Z199" i="17"/>
  <c r="AA199" i="17"/>
  <c r="AB199" i="17"/>
  <c r="AC199" i="17"/>
  <c r="AD199" i="17"/>
  <c r="AE199" i="17"/>
  <c r="AF199" i="17"/>
  <c r="AG199" i="17"/>
  <c r="AH199" i="17"/>
  <c r="AI199" i="17"/>
  <c r="AJ199" i="17"/>
  <c r="AK199" i="17"/>
  <c r="AL199" i="17"/>
  <c r="AM199" i="17"/>
  <c r="AN199" i="17"/>
  <c r="A200" i="17"/>
  <c r="B200" i="17"/>
  <c r="D200" i="17"/>
  <c r="E200" i="17"/>
  <c r="G200" i="17"/>
  <c r="H200" i="17"/>
  <c r="I200" i="17"/>
  <c r="J200" i="17"/>
  <c r="K200" i="17"/>
  <c r="L200" i="17"/>
  <c r="M200" i="17"/>
  <c r="N200" i="17"/>
  <c r="O200" i="17"/>
  <c r="P200" i="17"/>
  <c r="Q200" i="17"/>
  <c r="R200" i="17"/>
  <c r="S200" i="17"/>
  <c r="T200" i="17"/>
  <c r="U200" i="17"/>
  <c r="V200" i="17"/>
  <c r="W200" i="17"/>
  <c r="X200" i="17"/>
  <c r="Y200" i="17"/>
  <c r="Z200" i="17"/>
  <c r="AA200" i="17"/>
  <c r="AB200" i="17"/>
  <c r="AC200" i="17"/>
  <c r="AD200" i="17"/>
  <c r="AE200" i="17"/>
  <c r="AF200" i="17"/>
  <c r="AG200" i="17"/>
  <c r="AH200" i="17"/>
  <c r="AI200" i="17"/>
  <c r="AJ200" i="17"/>
  <c r="AK200" i="17"/>
  <c r="AL200" i="17"/>
  <c r="AM200" i="17"/>
  <c r="AN200" i="17"/>
  <c r="A201" i="17"/>
  <c r="B201" i="17"/>
  <c r="D201" i="17"/>
  <c r="E201" i="17"/>
  <c r="G201" i="17"/>
  <c r="H201" i="17"/>
  <c r="I201" i="17"/>
  <c r="J201" i="17"/>
  <c r="K201" i="17"/>
  <c r="L201" i="17"/>
  <c r="M201" i="17"/>
  <c r="N201" i="17"/>
  <c r="O201" i="17"/>
  <c r="P201" i="17"/>
  <c r="Q201" i="17"/>
  <c r="R201" i="17"/>
  <c r="S201" i="17"/>
  <c r="T201" i="17"/>
  <c r="U201" i="17"/>
  <c r="V201" i="17"/>
  <c r="W201" i="17"/>
  <c r="X201" i="17"/>
  <c r="Y201" i="17"/>
  <c r="Z201" i="17"/>
  <c r="AA201" i="17"/>
  <c r="AB201" i="17"/>
  <c r="AC201" i="17"/>
  <c r="AD201" i="17"/>
  <c r="AE201" i="17"/>
  <c r="AF201" i="17"/>
  <c r="AG201" i="17"/>
  <c r="AH201" i="17"/>
  <c r="AI201" i="17"/>
  <c r="AJ201" i="17"/>
  <c r="AK201" i="17"/>
  <c r="AL201" i="17"/>
  <c r="AM201" i="17"/>
  <c r="AN201" i="17"/>
  <c r="A202" i="17"/>
  <c r="B202" i="17"/>
  <c r="D202" i="17"/>
  <c r="E202" i="17"/>
  <c r="G202" i="17"/>
  <c r="H202" i="17"/>
  <c r="I202" i="17"/>
  <c r="J202" i="17"/>
  <c r="K202" i="17"/>
  <c r="L202" i="17"/>
  <c r="M202" i="17"/>
  <c r="N202" i="17"/>
  <c r="O202" i="17"/>
  <c r="P202" i="17"/>
  <c r="Q202" i="17"/>
  <c r="R202" i="17"/>
  <c r="S202" i="17"/>
  <c r="T202" i="17"/>
  <c r="U202" i="17"/>
  <c r="V202" i="17"/>
  <c r="W202" i="17"/>
  <c r="X202" i="17"/>
  <c r="Y202" i="17"/>
  <c r="Z202" i="17"/>
  <c r="AA202" i="17"/>
  <c r="AB202" i="17"/>
  <c r="AC202" i="17"/>
  <c r="AD202" i="17"/>
  <c r="AE202" i="17"/>
  <c r="AF202" i="17"/>
  <c r="AG202" i="17"/>
  <c r="AH202" i="17"/>
  <c r="AI202" i="17"/>
  <c r="AJ202" i="17"/>
  <c r="AK202" i="17"/>
  <c r="AL202" i="17"/>
  <c r="AM202" i="17"/>
  <c r="AN202" i="17"/>
  <c r="A203" i="17"/>
  <c r="B203" i="17"/>
  <c r="D203" i="17"/>
  <c r="E203" i="17"/>
  <c r="G203" i="17"/>
  <c r="H203" i="17"/>
  <c r="I203" i="17"/>
  <c r="J203" i="17"/>
  <c r="K203" i="17"/>
  <c r="L203" i="17"/>
  <c r="M203" i="17"/>
  <c r="N203" i="17"/>
  <c r="O203" i="17"/>
  <c r="P203" i="17"/>
  <c r="Q203" i="17"/>
  <c r="R203" i="17"/>
  <c r="S203" i="17"/>
  <c r="T203" i="17"/>
  <c r="U203" i="17"/>
  <c r="V203" i="17"/>
  <c r="W203" i="17"/>
  <c r="X203" i="17"/>
  <c r="Y203" i="17"/>
  <c r="Z203" i="17"/>
  <c r="AA203" i="17"/>
  <c r="AB203" i="17"/>
  <c r="AC203" i="17"/>
  <c r="AD203" i="17"/>
  <c r="AE203" i="17"/>
  <c r="AF203" i="17"/>
  <c r="AG203" i="17"/>
  <c r="AH203" i="17"/>
  <c r="AI203" i="17"/>
  <c r="AJ203" i="17"/>
  <c r="AK203" i="17"/>
  <c r="AL203" i="17"/>
  <c r="AM203" i="17"/>
  <c r="AN203" i="17"/>
  <c r="AJ161" i="1" l="1"/>
  <c r="F160" i="17" s="1"/>
  <c r="AJ162" i="1"/>
  <c r="F161" i="17" s="1"/>
  <c r="AJ163" i="1"/>
  <c r="F162" i="17" s="1"/>
  <c r="AJ164" i="1"/>
  <c r="F163" i="17" s="1"/>
  <c r="AJ165" i="1"/>
  <c r="F164" i="17" s="1"/>
  <c r="AJ166" i="1"/>
  <c r="F165" i="17" s="1"/>
  <c r="AJ167" i="1"/>
  <c r="F166" i="17" s="1"/>
  <c r="AJ168" i="1"/>
  <c r="F167" i="17" s="1"/>
  <c r="AJ169" i="1"/>
  <c r="F168" i="17" s="1"/>
  <c r="AJ170" i="1"/>
  <c r="F169" i="17" s="1"/>
  <c r="AJ171" i="1"/>
  <c r="F170" i="17" s="1"/>
  <c r="AJ172" i="1"/>
  <c r="F171" i="17" s="1"/>
  <c r="AJ173" i="1"/>
  <c r="F172" i="17" s="1"/>
  <c r="AJ174" i="1"/>
  <c r="F173" i="17" s="1"/>
  <c r="AJ175" i="1"/>
  <c r="F174" i="17" s="1"/>
  <c r="AJ176" i="1"/>
  <c r="F175" i="17" s="1"/>
  <c r="AJ177" i="1"/>
  <c r="F176" i="17" s="1"/>
  <c r="AJ178" i="1"/>
  <c r="F177" i="17" s="1"/>
  <c r="AJ179" i="1"/>
  <c r="F178" i="17" s="1"/>
  <c r="AJ180" i="1"/>
  <c r="F179" i="17" s="1"/>
  <c r="AJ181" i="1"/>
  <c r="F180" i="17" s="1"/>
  <c r="AJ182" i="1"/>
  <c r="F181" i="17" s="1"/>
  <c r="AJ183" i="1"/>
  <c r="F182" i="17" s="1"/>
  <c r="AJ184" i="1"/>
  <c r="F183" i="17" s="1"/>
  <c r="AJ185" i="1"/>
  <c r="F184" i="17" s="1"/>
  <c r="S177" i="1"/>
  <c r="T177" i="1"/>
  <c r="N176" i="17" s="1"/>
  <c r="S178" i="1"/>
  <c r="M177" i="17" s="1"/>
  <c r="T178" i="1"/>
  <c r="N177" i="17" s="1"/>
  <c r="S179" i="1"/>
  <c r="M178" i="17" s="1"/>
  <c r="T179" i="1"/>
  <c r="N178" i="17" s="1"/>
  <c r="S180" i="1"/>
  <c r="M179" i="17" s="1"/>
  <c r="T180" i="1"/>
  <c r="N179" i="17" s="1"/>
  <c r="S181" i="1"/>
  <c r="M180" i="17" s="1"/>
  <c r="T181" i="1"/>
  <c r="N180" i="17" s="1"/>
  <c r="S182" i="1"/>
  <c r="M181" i="17" s="1"/>
  <c r="T182" i="1"/>
  <c r="N181" i="17" s="1"/>
  <c r="S183" i="1"/>
  <c r="M182" i="17" s="1"/>
  <c r="T183" i="1"/>
  <c r="N182" i="17" s="1"/>
  <c r="S184" i="1"/>
  <c r="M183" i="17" s="1"/>
  <c r="T184" i="1"/>
  <c r="N183" i="17" s="1"/>
  <c r="S185" i="1"/>
  <c r="M184" i="17" s="1"/>
  <c r="T185" i="1"/>
  <c r="N184" i="17" s="1"/>
  <c r="S186" i="1"/>
  <c r="M185" i="17" s="1"/>
  <c r="T186" i="1"/>
  <c r="N185" i="17" s="1"/>
  <c r="S187" i="1"/>
  <c r="T187" i="1"/>
  <c r="N186" i="17" s="1"/>
  <c r="S188" i="1"/>
  <c r="T188" i="1"/>
  <c r="N187" i="17" s="1"/>
  <c r="N177" i="1"/>
  <c r="N178" i="1"/>
  <c r="N179" i="1"/>
  <c r="N180" i="1"/>
  <c r="N181" i="1"/>
  <c r="N182" i="1"/>
  <c r="N183" i="1"/>
  <c r="N184" i="1"/>
  <c r="N185" i="1"/>
  <c r="N186" i="1"/>
  <c r="N187" i="1"/>
  <c r="N188" i="1"/>
  <c r="BW177" i="1"/>
  <c r="AN176" i="17" s="1"/>
  <c r="BX177" i="1"/>
  <c r="BY177" i="1"/>
  <c r="CA177" i="1"/>
  <c r="CB177" i="1" s="1"/>
  <c r="CN178" i="1" s="1"/>
  <c r="BW178" i="1"/>
  <c r="AN177" i="17" s="1"/>
  <c r="BX178" i="1"/>
  <c r="BY178" i="1"/>
  <c r="CA178" i="1"/>
  <c r="CB178" i="1" s="1"/>
  <c r="CC178" i="1" s="1"/>
  <c r="BW179" i="1"/>
  <c r="AN178" i="17" s="1"/>
  <c r="BX179" i="1"/>
  <c r="BY179" i="1"/>
  <c r="CA179" i="1"/>
  <c r="CB179" i="1" s="1"/>
  <c r="CC179" i="1" s="1"/>
  <c r="BW180" i="1"/>
  <c r="AN179" i="17" s="1"/>
  <c r="BX180" i="1"/>
  <c r="BY180" i="1"/>
  <c r="CA180" i="1"/>
  <c r="CB180" i="1" s="1"/>
  <c r="CH180" i="1" s="1"/>
  <c r="BW181" i="1"/>
  <c r="AN180" i="17" s="1"/>
  <c r="BX181" i="1"/>
  <c r="BY181" i="1"/>
  <c r="CA181" i="1"/>
  <c r="CB181" i="1" s="1"/>
  <c r="CC181" i="1" s="1"/>
  <c r="BW182" i="1"/>
  <c r="AN181" i="17" s="1"/>
  <c r="BX182" i="1"/>
  <c r="BY182" i="1"/>
  <c r="CA182" i="1"/>
  <c r="CB182" i="1" s="1"/>
  <c r="CH182" i="1" s="1"/>
  <c r="BW183" i="1"/>
  <c r="AN182" i="17" s="1"/>
  <c r="BX183" i="1"/>
  <c r="BY183" i="1"/>
  <c r="CA183" i="1"/>
  <c r="CB183" i="1" s="1"/>
  <c r="CC183" i="1" s="1"/>
  <c r="BW184" i="1"/>
  <c r="AN183" i="17" s="1"/>
  <c r="BX184" i="1"/>
  <c r="BY184" i="1"/>
  <c r="CA184" i="1"/>
  <c r="CB184" i="1" s="1"/>
  <c r="CH184" i="1" s="1"/>
  <c r="BW185" i="1"/>
  <c r="AN184" i="17" s="1"/>
  <c r="BX185" i="1"/>
  <c r="BY185" i="1"/>
  <c r="CA185" i="1"/>
  <c r="CB185" i="1" s="1"/>
  <c r="BW186" i="1"/>
  <c r="AN185" i="17" s="1"/>
  <c r="BX186" i="1"/>
  <c r="BY186" i="1"/>
  <c r="CA186" i="1"/>
  <c r="CB186" i="1" s="1"/>
  <c r="CC186" i="1" s="1"/>
  <c r="BW187" i="1"/>
  <c r="AN186" i="17" s="1"/>
  <c r="BX187" i="1"/>
  <c r="BY187" i="1"/>
  <c r="CA187" i="1"/>
  <c r="CB187" i="1" s="1"/>
  <c r="BW188" i="1"/>
  <c r="AN187" i="17" s="1"/>
  <c r="BX188" i="1"/>
  <c r="BY188" i="1"/>
  <c r="CA188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F178" i="1"/>
  <c r="F179" i="1"/>
  <c r="F180" i="1"/>
  <c r="F181" i="1"/>
  <c r="F182" i="1"/>
  <c r="F183" i="1"/>
  <c r="F184" i="1"/>
  <c r="F185" i="1"/>
  <c r="F186" i="1"/>
  <c r="F187" i="1"/>
  <c r="F188" i="1"/>
  <c r="E178" i="1"/>
  <c r="E179" i="1"/>
  <c r="E180" i="1"/>
  <c r="E181" i="1"/>
  <c r="E182" i="1"/>
  <c r="E183" i="1"/>
  <c r="E184" i="1"/>
  <c r="E185" i="1"/>
  <c r="E186" i="1"/>
  <c r="E187" i="1"/>
  <c r="E188" i="1"/>
  <c r="CV178" i="1" l="1"/>
  <c r="CV179" i="1" s="1"/>
  <c r="CV180" i="1" s="1"/>
  <c r="CV181" i="1" s="1"/>
  <c r="CV182" i="1" s="1"/>
  <c r="CV183" i="1" s="1"/>
  <c r="CV184" i="1" s="1"/>
  <c r="CV185" i="1" s="1"/>
  <c r="CV186" i="1" s="1"/>
  <c r="CV187" i="1" s="1"/>
  <c r="CV188" i="1" s="1"/>
  <c r="CP178" i="1"/>
  <c r="CX178" i="1"/>
  <c r="CX179" i="1" s="1"/>
  <c r="CX180" i="1" s="1"/>
  <c r="CX181" i="1" s="1"/>
  <c r="CX182" i="1" s="1"/>
  <c r="CX183" i="1" s="1"/>
  <c r="CX184" i="1" s="1"/>
  <c r="CX185" i="1" s="1"/>
  <c r="CX186" i="1" s="1"/>
  <c r="CX187" i="1" s="1"/>
  <c r="CX188" i="1" s="1"/>
  <c r="CT178" i="1"/>
  <c r="CT179" i="1" s="1"/>
  <c r="CT180" i="1" s="1"/>
  <c r="CT181" i="1" s="1"/>
  <c r="CT182" i="1" s="1"/>
  <c r="CT183" i="1" s="1"/>
  <c r="CT184" i="1" s="1"/>
  <c r="CT185" i="1" s="1"/>
  <c r="CT186" i="1" s="1"/>
  <c r="CT187" i="1" s="1"/>
  <c r="CT188" i="1" s="1"/>
  <c r="CL178" i="1"/>
  <c r="CL179" i="1" s="1"/>
  <c r="CL180" i="1" s="1"/>
  <c r="CL181" i="1" s="1"/>
  <c r="CL182" i="1" s="1"/>
  <c r="CL183" i="1" s="1"/>
  <c r="CL184" i="1" s="1"/>
  <c r="CL185" i="1" s="1"/>
  <c r="CL186" i="1" s="1"/>
  <c r="CL187" i="1" s="1"/>
  <c r="CL188" i="1" s="1"/>
  <c r="CI180" i="1"/>
  <c r="CR178" i="1"/>
  <c r="CR179" i="1" s="1"/>
  <c r="CR180" i="1" s="1"/>
  <c r="CR181" i="1" s="1"/>
  <c r="CR182" i="1" s="1"/>
  <c r="CR183" i="1" s="1"/>
  <c r="CR184" i="1" s="1"/>
  <c r="CR185" i="1" s="1"/>
  <c r="CR186" i="1" s="1"/>
  <c r="CR187" i="1" s="1"/>
  <c r="CR188" i="1" s="1"/>
  <c r="CJ178" i="1"/>
  <c r="CJ179" i="1" s="1"/>
  <c r="CJ180" i="1" s="1"/>
  <c r="CJ181" i="1" s="1"/>
  <c r="CJ182" i="1" s="1"/>
  <c r="CJ183" i="1" s="1"/>
  <c r="CJ184" i="1" s="1"/>
  <c r="CJ185" i="1" s="1"/>
  <c r="CJ186" i="1" s="1"/>
  <c r="CJ187" i="1" s="1"/>
  <c r="CJ188" i="1" s="1"/>
  <c r="CI188" i="1" s="1"/>
  <c r="BZ184" i="1"/>
  <c r="BZ186" i="1"/>
  <c r="CB188" i="1"/>
  <c r="CJ189" i="1"/>
  <c r="CJ190" i="1" s="1"/>
  <c r="CJ191" i="1" s="1"/>
  <c r="CJ192" i="1" s="1"/>
  <c r="CJ193" i="1" s="1"/>
  <c r="CJ194" i="1" s="1"/>
  <c r="CJ195" i="1" s="1"/>
  <c r="CJ196" i="1" s="1"/>
  <c r="CJ197" i="1" s="1"/>
  <c r="CJ198" i="1" s="1"/>
  <c r="CJ199" i="1" s="1"/>
  <c r="CJ200" i="1" s="1"/>
  <c r="CJ201" i="1" s="1"/>
  <c r="CJ202" i="1" s="1"/>
  <c r="CJ203" i="1" s="1"/>
  <c r="CJ204" i="1" s="1"/>
  <c r="CJ205" i="1" s="1"/>
  <c r="CJ206" i="1" s="1"/>
  <c r="CJ207" i="1" s="1"/>
  <c r="CJ208" i="1" s="1"/>
  <c r="CJ209" i="1" s="1"/>
  <c r="CJ210" i="1" s="1"/>
  <c r="CJ211" i="1" s="1"/>
  <c r="CJ212" i="1" s="1"/>
  <c r="CJ213" i="1" s="1"/>
  <c r="CI213" i="1" s="1"/>
  <c r="BZ182" i="1"/>
  <c r="CI182" i="1"/>
  <c r="BZ178" i="1"/>
  <c r="CI178" i="1"/>
  <c r="CI185" i="1"/>
  <c r="CI183" i="1"/>
  <c r="CI181" i="1"/>
  <c r="BZ180" i="1"/>
  <c r="CI186" i="1"/>
  <c r="CI184" i="1"/>
  <c r="BZ188" i="1"/>
  <c r="BZ185" i="1"/>
  <c r="BZ183" i="1"/>
  <c r="BZ181" i="1"/>
  <c r="CI187" i="1"/>
  <c r="CH186" i="1"/>
  <c r="CI179" i="1"/>
  <c r="CH178" i="1"/>
  <c r="BZ177" i="1"/>
  <c r="BZ187" i="1"/>
  <c r="BZ179" i="1"/>
  <c r="CC187" i="1"/>
  <c r="CG187" i="1"/>
  <c r="CH187" i="1"/>
  <c r="CC185" i="1"/>
  <c r="CG185" i="1"/>
  <c r="CH185" i="1"/>
  <c r="CG186" i="1"/>
  <c r="CG183" i="1"/>
  <c r="CG181" i="1"/>
  <c r="CG179" i="1"/>
  <c r="CC177" i="1"/>
  <c r="CK178" i="1"/>
  <c r="CK179" i="1" s="1"/>
  <c r="CK180" i="1" s="1"/>
  <c r="CK181" i="1" s="1"/>
  <c r="CK182" i="1" s="1"/>
  <c r="CK183" i="1" s="1"/>
  <c r="CK184" i="1" s="1"/>
  <c r="CK185" i="1" s="1"/>
  <c r="CK186" i="1" s="1"/>
  <c r="CK187" i="1" s="1"/>
  <c r="CK188" i="1" s="1"/>
  <c r="CM178" i="1"/>
  <c r="CM179" i="1" s="1"/>
  <c r="CM180" i="1" s="1"/>
  <c r="CM181" i="1" s="1"/>
  <c r="CM182" i="1" s="1"/>
  <c r="CM183" i="1" s="1"/>
  <c r="CM184" i="1" s="1"/>
  <c r="CM185" i="1" s="1"/>
  <c r="CM186" i="1" s="1"/>
  <c r="CM187" i="1" s="1"/>
  <c r="CM188" i="1" s="1"/>
  <c r="CO178" i="1"/>
  <c r="CO179" i="1" s="1"/>
  <c r="CO180" i="1" s="1"/>
  <c r="CO181" i="1" s="1"/>
  <c r="CO182" i="1" s="1"/>
  <c r="CO183" i="1" s="1"/>
  <c r="CO184" i="1" s="1"/>
  <c r="CO185" i="1" s="1"/>
  <c r="CO186" i="1" s="1"/>
  <c r="CO187" i="1" s="1"/>
  <c r="CO188" i="1" s="1"/>
  <c r="CQ178" i="1"/>
  <c r="CQ179" i="1" s="1"/>
  <c r="CQ180" i="1" s="1"/>
  <c r="CQ181" i="1" s="1"/>
  <c r="CQ182" i="1" s="1"/>
  <c r="CQ183" i="1" s="1"/>
  <c r="CQ184" i="1" s="1"/>
  <c r="CQ185" i="1" s="1"/>
  <c r="CQ186" i="1" s="1"/>
  <c r="CQ187" i="1" s="1"/>
  <c r="CQ188" i="1" s="1"/>
  <c r="CS178" i="1"/>
  <c r="CS179" i="1" s="1"/>
  <c r="CS180" i="1" s="1"/>
  <c r="CS181" i="1" s="1"/>
  <c r="CS182" i="1" s="1"/>
  <c r="CS183" i="1" s="1"/>
  <c r="CS184" i="1" s="1"/>
  <c r="CS185" i="1" s="1"/>
  <c r="CS186" i="1" s="1"/>
  <c r="CS187" i="1" s="1"/>
  <c r="CS188" i="1" s="1"/>
  <c r="CU178" i="1"/>
  <c r="CU179" i="1" s="1"/>
  <c r="CU180" i="1" s="1"/>
  <c r="CU181" i="1" s="1"/>
  <c r="CU182" i="1" s="1"/>
  <c r="CU183" i="1" s="1"/>
  <c r="CU184" i="1" s="1"/>
  <c r="CU185" i="1" s="1"/>
  <c r="CU186" i="1" s="1"/>
  <c r="CU187" i="1" s="1"/>
  <c r="CU188" i="1" s="1"/>
  <c r="CW178" i="1"/>
  <c r="CW179" i="1" s="1"/>
  <c r="CW180" i="1" s="1"/>
  <c r="CW181" i="1" s="1"/>
  <c r="CW182" i="1" s="1"/>
  <c r="CW183" i="1" s="1"/>
  <c r="CW184" i="1" s="1"/>
  <c r="CW185" i="1" s="1"/>
  <c r="CW186" i="1" s="1"/>
  <c r="CW187" i="1" s="1"/>
  <c r="CW188" i="1" s="1"/>
  <c r="CY178" i="1"/>
  <c r="CY179" i="1" s="1"/>
  <c r="CY180" i="1" s="1"/>
  <c r="CY181" i="1" s="1"/>
  <c r="CY182" i="1" s="1"/>
  <c r="CY183" i="1" s="1"/>
  <c r="CY184" i="1" s="1"/>
  <c r="CY185" i="1" s="1"/>
  <c r="CY186" i="1" s="1"/>
  <c r="CY187" i="1" s="1"/>
  <c r="CY188" i="1" s="1"/>
  <c r="CC184" i="1"/>
  <c r="CG184" i="1"/>
  <c r="CH183" i="1"/>
  <c r="CC182" i="1"/>
  <c r="CG182" i="1"/>
  <c r="CH181" i="1"/>
  <c r="CC180" i="1"/>
  <c r="CG180" i="1"/>
  <c r="CH179" i="1"/>
  <c r="CP179" i="1"/>
  <c r="CP180" i="1" s="1"/>
  <c r="CP181" i="1" s="1"/>
  <c r="CP182" i="1" s="1"/>
  <c r="CP183" i="1" s="1"/>
  <c r="CP184" i="1" s="1"/>
  <c r="CP185" i="1" s="1"/>
  <c r="CP186" i="1" s="1"/>
  <c r="CP187" i="1" s="1"/>
  <c r="CP188" i="1" s="1"/>
  <c r="CN179" i="1"/>
  <c r="CN180" i="1" s="1"/>
  <c r="CN181" i="1" s="1"/>
  <c r="CN182" i="1" s="1"/>
  <c r="CN183" i="1" s="1"/>
  <c r="CN184" i="1" s="1"/>
  <c r="CN185" i="1" s="1"/>
  <c r="CN186" i="1" s="1"/>
  <c r="CN187" i="1" s="1"/>
  <c r="CN188" i="1" s="1"/>
  <c r="CG178" i="1"/>
  <c r="AC141" i="17"/>
  <c r="AC142" i="17"/>
  <c r="S139" i="17"/>
  <c r="CC188" i="1" l="1"/>
  <c r="CN189" i="1"/>
  <c r="CN190" i="1" s="1"/>
  <c r="CN191" i="1" s="1"/>
  <c r="CN192" i="1" s="1"/>
  <c r="CN193" i="1" s="1"/>
  <c r="CN194" i="1" s="1"/>
  <c r="CN195" i="1" s="1"/>
  <c r="CN196" i="1" s="1"/>
  <c r="CN197" i="1" s="1"/>
  <c r="CN198" i="1" s="1"/>
  <c r="CN199" i="1" s="1"/>
  <c r="CN200" i="1" s="1"/>
  <c r="CN201" i="1" s="1"/>
  <c r="CN202" i="1" s="1"/>
  <c r="CN203" i="1" s="1"/>
  <c r="CN204" i="1" s="1"/>
  <c r="CN205" i="1" s="1"/>
  <c r="CN206" i="1" s="1"/>
  <c r="CN207" i="1" s="1"/>
  <c r="CN208" i="1" s="1"/>
  <c r="CN209" i="1" s="1"/>
  <c r="CN210" i="1" s="1"/>
  <c r="CN211" i="1" s="1"/>
  <c r="CN212" i="1" s="1"/>
  <c r="CN213" i="1" s="1"/>
  <c r="CR189" i="1"/>
  <c r="CR190" i="1" s="1"/>
  <c r="CR191" i="1" s="1"/>
  <c r="CR192" i="1" s="1"/>
  <c r="CR193" i="1" s="1"/>
  <c r="CR194" i="1" s="1"/>
  <c r="CR195" i="1" s="1"/>
  <c r="CR196" i="1" s="1"/>
  <c r="CR197" i="1" s="1"/>
  <c r="CR198" i="1" s="1"/>
  <c r="CR199" i="1" s="1"/>
  <c r="CR200" i="1" s="1"/>
  <c r="CR201" i="1" s="1"/>
  <c r="CR202" i="1" s="1"/>
  <c r="CR203" i="1" s="1"/>
  <c r="CR204" i="1" s="1"/>
  <c r="CR205" i="1" s="1"/>
  <c r="CR206" i="1" s="1"/>
  <c r="CR207" i="1" s="1"/>
  <c r="CR208" i="1" s="1"/>
  <c r="CR209" i="1" s="1"/>
  <c r="CR210" i="1" s="1"/>
  <c r="CR211" i="1" s="1"/>
  <c r="CR212" i="1" s="1"/>
  <c r="CR213" i="1" s="1"/>
  <c r="CV189" i="1"/>
  <c r="CV190" i="1" s="1"/>
  <c r="CV191" i="1" s="1"/>
  <c r="CV192" i="1" s="1"/>
  <c r="CV193" i="1" s="1"/>
  <c r="CV194" i="1" s="1"/>
  <c r="CV195" i="1" s="1"/>
  <c r="CV196" i="1" s="1"/>
  <c r="CV197" i="1" s="1"/>
  <c r="CV198" i="1" s="1"/>
  <c r="CV199" i="1" s="1"/>
  <c r="CV200" i="1" s="1"/>
  <c r="CV201" i="1" s="1"/>
  <c r="CV202" i="1" s="1"/>
  <c r="CV203" i="1" s="1"/>
  <c r="CV204" i="1" s="1"/>
  <c r="CV205" i="1" s="1"/>
  <c r="CV206" i="1" s="1"/>
  <c r="CV207" i="1" s="1"/>
  <c r="CV208" i="1" s="1"/>
  <c r="CV209" i="1" s="1"/>
  <c r="CV210" i="1" s="1"/>
  <c r="CV211" i="1" s="1"/>
  <c r="CV212" i="1" s="1"/>
  <c r="CV213" i="1" s="1"/>
  <c r="CK189" i="1"/>
  <c r="CK190" i="1" s="1"/>
  <c r="CK191" i="1" s="1"/>
  <c r="CK192" i="1" s="1"/>
  <c r="CK193" i="1" s="1"/>
  <c r="CK194" i="1" s="1"/>
  <c r="CK195" i="1" s="1"/>
  <c r="CK196" i="1" s="1"/>
  <c r="CK197" i="1" s="1"/>
  <c r="CK198" i="1" s="1"/>
  <c r="CK199" i="1" s="1"/>
  <c r="CK200" i="1" s="1"/>
  <c r="CK201" i="1" s="1"/>
  <c r="CK202" i="1" s="1"/>
  <c r="CK203" i="1" s="1"/>
  <c r="CK204" i="1" s="1"/>
  <c r="CK205" i="1" s="1"/>
  <c r="CK206" i="1" s="1"/>
  <c r="CK207" i="1" s="1"/>
  <c r="CK208" i="1" s="1"/>
  <c r="CK209" i="1" s="1"/>
  <c r="CK210" i="1" s="1"/>
  <c r="CK211" i="1" s="1"/>
  <c r="CK212" i="1" s="1"/>
  <c r="CK213" i="1" s="1"/>
  <c r="CO189" i="1"/>
  <c r="CO190" i="1" s="1"/>
  <c r="CO191" i="1" s="1"/>
  <c r="CO192" i="1" s="1"/>
  <c r="CO193" i="1" s="1"/>
  <c r="CO194" i="1" s="1"/>
  <c r="CO195" i="1" s="1"/>
  <c r="CO196" i="1" s="1"/>
  <c r="CO197" i="1" s="1"/>
  <c r="CO198" i="1" s="1"/>
  <c r="CO199" i="1" s="1"/>
  <c r="CO200" i="1" s="1"/>
  <c r="CO201" i="1" s="1"/>
  <c r="CO202" i="1" s="1"/>
  <c r="CO203" i="1" s="1"/>
  <c r="CO204" i="1" s="1"/>
  <c r="CO205" i="1" s="1"/>
  <c r="CO206" i="1" s="1"/>
  <c r="CO207" i="1" s="1"/>
  <c r="CO208" i="1" s="1"/>
  <c r="CO209" i="1" s="1"/>
  <c r="CO210" i="1" s="1"/>
  <c r="CO211" i="1" s="1"/>
  <c r="CO212" i="1" s="1"/>
  <c r="CO213" i="1" s="1"/>
  <c r="CS189" i="1"/>
  <c r="CS190" i="1" s="1"/>
  <c r="CS191" i="1" s="1"/>
  <c r="CS192" i="1" s="1"/>
  <c r="CS193" i="1" s="1"/>
  <c r="CS194" i="1" s="1"/>
  <c r="CS195" i="1" s="1"/>
  <c r="CS196" i="1" s="1"/>
  <c r="CS197" i="1" s="1"/>
  <c r="CS198" i="1" s="1"/>
  <c r="CS199" i="1" s="1"/>
  <c r="CS200" i="1" s="1"/>
  <c r="CS201" i="1" s="1"/>
  <c r="CS202" i="1" s="1"/>
  <c r="CS203" i="1" s="1"/>
  <c r="CS204" i="1" s="1"/>
  <c r="CS205" i="1" s="1"/>
  <c r="CS206" i="1" s="1"/>
  <c r="CS207" i="1" s="1"/>
  <c r="CS208" i="1" s="1"/>
  <c r="CS209" i="1" s="1"/>
  <c r="CS210" i="1" s="1"/>
  <c r="CS211" i="1" s="1"/>
  <c r="CS212" i="1" s="1"/>
  <c r="CS213" i="1" s="1"/>
  <c r="CW189" i="1"/>
  <c r="CW190" i="1" s="1"/>
  <c r="CW191" i="1" s="1"/>
  <c r="CW192" i="1" s="1"/>
  <c r="CW193" i="1" s="1"/>
  <c r="CW194" i="1" s="1"/>
  <c r="CW195" i="1" s="1"/>
  <c r="CW196" i="1" s="1"/>
  <c r="CW197" i="1" s="1"/>
  <c r="CW198" i="1" s="1"/>
  <c r="CW199" i="1" s="1"/>
  <c r="CW200" i="1" s="1"/>
  <c r="CW201" i="1" s="1"/>
  <c r="CW202" i="1" s="1"/>
  <c r="CW203" i="1" s="1"/>
  <c r="CW204" i="1" s="1"/>
  <c r="CW205" i="1" s="1"/>
  <c r="CW206" i="1" s="1"/>
  <c r="CW207" i="1" s="1"/>
  <c r="CW208" i="1" s="1"/>
  <c r="CW209" i="1" s="1"/>
  <c r="CW210" i="1" s="1"/>
  <c r="CW211" i="1" s="1"/>
  <c r="CW212" i="1" s="1"/>
  <c r="CW213" i="1" s="1"/>
  <c r="CL189" i="1"/>
  <c r="CL190" i="1" s="1"/>
  <c r="CL191" i="1" s="1"/>
  <c r="CL192" i="1" s="1"/>
  <c r="CL193" i="1" s="1"/>
  <c r="CL194" i="1" s="1"/>
  <c r="CL195" i="1" s="1"/>
  <c r="CL196" i="1" s="1"/>
  <c r="CL197" i="1" s="1"/>
  <c r="CL198" i="1" s="1"/>
  <c r="CL199" i="1" s="1"/>
  <c r="CL200" i="1" s="1"/>
  <c r="CL201" i="1" s="1"/>
  <c r="CL202" i="1" s="1"/>
  <c r="CL203" i="1" s="1"/>
  <c r="CL204" i="1" s="1"/>
  <c r="CL205" i="1" s="1"/>
  <c r="CL206" i="1" s="1"/>
  <c r="CL207" i="1" s="1"/>
  <c r="CL208" i="1" s="1"/>
  <c r="CL209" i="1" s="1"/>
  <c r="CL210" i="1" s="1"/>
  <c r="CL211" i="1" s="1"/>
  <c r="CL212" i="1" s="1"/>
  <c r="CL213" i="1" s="1"/>
  <c r="CP189" i="1"/>
  <c r="CP190" i="1" s="1"/>
  <c r="CP191" i="1" s="1"/>
  <c r="CP192" i="1" s="1"/>
  <c r="CP193" i="1" s="1"/>
  <c r="CP194" i="1" s="1"/>
  <c r="CP195" i="1" s="1"/>
  <c r="CP196" i="1" s="1"/>
  <c r="CP197" i="1" s="1"/>
  <c r="CP198" i="1" s="1"/>
  <c r="CP199" i="1" s="1"/>
  <c r="CP200" i="1" s="1"/>
  <c r="CP201" i="1" s="1"/>
  <c r="CP202" i="1" s="1"/>
  <c r="CP203" i="1" s="1"/>
  <c r="CP204" i="1" s="1"/>
  <c r="CP205" i="1" s="1"/>
  <c r="CP206" i="1" s="1"/>
  <c r="CP207" i="1" s="1"/>
  <c r="CP208" i="1" s="1"/>
  <c r="CP209" i="1" s="1"/>
  <c r="CP210" i="1" s="1"/>
  <c r="CP211" i="1" s="1"/>
  <c r="CP212" i="1" s="1"/>
  <c r="CP213" i="1" s="1"/>
  <c r="CT189" i="1"/>
  <c r="CT190" i="1" s="1"/>
  <c r="CT191" i="1" s="1"/>
  <c r="CT192" i="1" s="1"/>
  <c r="CT193" i="1" s="1"/>
  <c r="CT194" i="1" s="1"/>
  <c r="CT195" i="1" s="1"/>
  <c r="CT196" i="1" s="1"/>
  <c r="CT197" i="1" s="1"/>
  <c r="CT198" i="1" s="1"/>
  <c r="CT199" i="1" s="1"/>
  <c r="CT200" i="1" s="1"/>
  <c r="CT201" i="1" s="1"/>
  <c r="CT202" i="1" s="1"/>
  <c r="CT203" i="1" s="1"/>
  <c r="CT204" i="1" s="1"/>
  <c r="CT205" i="1" s="1"/>
  <c r="CT206" i="1" s="1"/>
  <c r="CT207" i="1" s="1"/>
  <c r="CT208" i="1" s="1"/>
  <c r="CT209" i="1" s="1"/>
  <c r="CT210" i="1" s="1"/>
  <c r="CT211" i="1" s="1"/>
  <c r="CT212" i="1" s="1"/>
  <c r="CT213" i="1" s="1"/>
  <c r="CX189" i="1"/>
  <c r="CX190" i="1" s="1"/>
  <c r="CX191" i="1" s="1"/>
  <c r="CX192" i="1" s="1"/>
  <c r="CX193" i="1" s="1"/>
  <c r="CX194" i="1" s="1"/>
  <c r="CX195" i="1" s="1"/>
  <c r="CX196" i="1" s="1"/>
  <c r="CX197" i="1" s="1"/>
  <c r="CX198" i="1" s="1"/>
  <c r="CX199" i="1" s="1"/>
  <c r="CX200" i="1" s="1"/>
  <c r="CX201" i="1" s="1"/>
  <c r="CX202" i="1" s="1"/>
  <c r="CX203" i="1" s="1"/>
  <c r="CX204" i="1" s="1"/>
  <c r="CX205" i="1" s="1"/>
  <c r="CX206" i="1" s="1"/>
  <c r="CX207" i="1" s="1"/>
  <c r="CX208" i="1" s="1"/>
  <c r="CX209" i="1" s="1"/>
  <c r="CX210" i="1" s="1"/>
  <c r="CX211" i="1" s="1"/>
  <c r="CX212" i="1" s="1"/>
  <c r="CX213" i="1" s="1"/>
  <c r="CM189" i="1"/>
  <c r="CM190" i="1" s="1"/>
  <c r="CM191" i="1" s="1"/>
  <c r="CM192" i="1" s="1"/>
  <c r="CM193" i="1" s="1"/>
  <c r="CM194" i="1" s="1"/>
  <c r="CM195" i="1" s="1"/>
  <c r="CM196" i="1" s="1"/>
  <c r="CM197" i="1" s="1"/>
  <c r="CM198" i="1" s="1"/>
  <c r="CM199" i="1" s="1"/>
  <c r="CM200" i="1" s="1"/>
  <c r="CM201" i="1" s="1"/>
  <c r="CM202" i="1" s="1"/>
  <c r="CM203" i="1" s="1"/>
  <c r="CM204" i="1" s="1"/>
  <c r="CM205" i="1" s="1"/>
  <c r="CM206" i="1" s="1"/>
  <c r="CM207" i="1" s="1"/>
  <c r="CM208" i="1" s="1"/>
  <c r="CM209" i="1" s="1"/>
  <c r="CM210" i="1" s="1"/>
  <c r="CM211" i="1" s="1"/>
  <c r="CM212" i="1" s="1"/>
  <c r="CM213" i="1" s="1"/>
  <c r="CQ189" i="1"/>
  <c r="CQ190" i="1" s="1"/>
  <c r="CQ191" i="1" s="1"/>
  <c r="CQ192" i="1" s="1"/>
  <c r="CQ193" i="1" s="1"/>
  <c r="CQ194" i="1" s="1"/>
  <c r="CQ195" i="1" s="1"/>
  <c r="CQ196" i="1" s="1"/>
  <c r="CQ197" i="1" s="1"/>
  <c r="CQ198" i="1" s="1"/>
  <c r="CQ199" i="1" s="1"/>
  <c r="CQ200" i="1" s="1"/>
  <c r="CQ201" i="1" s="1"/>
  <c r="CQ202" i="1" s="1"/>
  <c r="CQ203" i="1" s="1"/>
  <c r="CQ204" i="1" s="1"/>
  <c r="CQ205" i="1" s="1"/>
  <c r="CQ206" i="1" s="1"/>
  <c r="CQ207" i="1" s="1"/>
  <c r="CQ208" i="1" s="1"/>
  <c r="CQ209" i="1" s="1"/>
  <c r="CQ210" i="1" s="1"/>
  <c r="CQ211" i="1" s="1"/>
  <c r="CQ212" i="1" s="1"/>
  <c r="CQ213" i="1" s="1"/>
  <c r="CU189" i="1"/>
  <c r="CU190" i="1" s="1"/>
  <c r="CU191" i="1" s="1"/>
  <c r="CU192" i="1" s="1"/>
  <c r="CU193" i="1" s="1"/>
  <c r="CU194" i="1" s="1"/>
  <c r="CU195" i="1" s="1"/>
  <c r="CU196" i="1" s="1"/>
  <c r="CU197" i="1" s="1"/>
  <c r="CU198" i="1" s="1"/>
  <c r="CU199" i="1" s="1"/>
  <c r="CU200" i="1" s="1"/>
  <c r="CU201" i="1" s="1"/>
  <c r="CU202" i="1" s="1"/>
  <c r="CU203" i="1" s="1"/>
  <c r="CU204" i="1" s="1"/>
  <c r="CU205" i="1" s="1"/>
  <c r="CU206" i="1" s="1"/>
  <c r="CU207" i="1" s="1"/>
  <c r="CU208" i="1" s="1"/>
  <c r="CU209" i="1" s="1"/>
  <c r="CU210" i="1" s="1"/>
  <c r="CU211" i="1" s="1"/>
  <c r="CU212" i="1" s="1"/>
  <c r="CU213" i="1" s="1"/>
  <c r="CY189" i="1"/>
  <c r="CY190" i="1" s="1"/>
  <c r="CY191" i="1" s="1"/>
  <c r="CY192" i="1" s="1"/>
  <c r="CY193" i="1" s="1"/>
  <c r="CY194" i="1" s="1"/>
  <c r="CY195" i="1" s="1"/>
  <c r="CY196" i="1" s="1"/>
  <c r="CY197" i="1" s="1"/>
  <c r="CY198" i="1" s="1"/>
  <c r="CY199" i="1" s="1"/>
  <c r="CY200" i="1" s="1"/>
  <c r="CY201" i="1" s="1"/>
  <c r="CY202" i="1" s="1"/>
  <c r="CY203" i="1" s="1"/>
  <c r="CY204" i="1" s="1"/>
  <c r="CY205" i="1" s="1"/>
  <c r="CY206" i="1" s="1"/>
  <c r="CY207" i="1" s="1"/>
  <c r="CY208" i="1" s="1"/>
  <c r="CY209" i="1" s="1"/>
  <c r="CY210" i="1" s="1"/>
  <c r="CY211" i="1" s="1"/>
  <c r="CY212" i="1" s="1"/>
  <c r="CY213" i="1" s="1"/>
  <c r="CH188" i="1"/>
  <c r="CG188" i="1"/>
  <c r="CE178" i="1"/>
  <c r="CF178" i="1"/>
  <c r="CD178" i="1"/>
  <c r="CE180" i="1"/>
  <c r="CF180" i="1"/>
  <c r="CD180" i="1"/>
  <c r="CE182" i="1"/>
  <c r="CF182" i="1"/>
  <c r="CD182" i="1"/>
  <c r="CE184" i="1"/>
  <c r="CF184" i="1"/>
  <c r="CD184" i="1"/>
  <c r="CD181" i="1"/>
  <c r="CF181" i="1"/>
  <c r="CE181" i="1"/>
  <c r="CE185" i="1"/>
  <c r="CD185" i="1"/>
  <c r="CF185" i="1"/>
  <c r="CE187" i="1"/>
  <c r="CD187" i="1"/>
  <c r="CF187" i="1"/>
  <c r="CD179" i="1"/>
  <c r="CF179" i="1"/>
  <c r="CE179" i="1"/>
  <c r="CD183" i="1"/>
  <c r="CF183" i="1"/>
  <c r="CE183" i="1"/>
  <c r="CD186" i="1"/>
  <c r="CF186" i="1"/>
  <c r="CE186" i="1"/>
  <c r="CG213" i="1" l="1"/>
  <c r="CH213" i="1"/>
  <c r="CD188" i="1"/>
  <c r="CF188" i="1"/>
  <c r="CE188" i="1"/>
  <c r="A160" i="17"/>
  <c r="B160" i="17"/>
  <c r="D160" i="17"/>
  <c r="E160" i="17"/>
  <c r="G160" i="17"/>
  <c r="J160" i="17"/>
  <c r="K160" i="17"/>
  <c r="L160" i="17"/>
  <c r="O160" i="17"/>
  <c r="P160" i="17"/>
  <c r="Q160" i="17"/>
  <c r="R160" i="17"/>
  <c r="S160" i="17"/>
  <c r="T160" i="17"/>
  <c r="U160" i="17"/>
  <c r="V160" i="17"/>
  <c r="W160" i="17"/>
  <c r="X160" i="17"/>
  <c r="Y160" i="17"/>
  <c r="Z160" i="17"/>
  <c r="AA160" i="17"/>
  <c r="AB160" i="17"/>
  <c r="AC160" i="17"/>
  <c r="AD160" i="17"/>
  <c r="AE160" i="17"/>
  <c r="AF160" i="17"/>
  <c r="AG160" i="17"/>
  <c r="AH160" i="17"/>
  <c r="AI160" i="17"/>
  <c r="AJ160" i="17"/>
  <c r="AK160" i="17"/>
  <c r="AL160" i="17"/>
  <c r="AM160" i="17"/>
  <c r="A161" i="17"/>
  <c r="B161" i="17"/>
  <c r="D161" i="17"/>
  <c r="E161" i="17"/>
  <c r="G161" i="17"/>
  <c r="H161" i="17"/>
  <c r="I161" i="17"/>
  <c r="J161" i="17"/>
  <c r="K161" i="17"/>
  <c r="L161" i="17"/>
  <c r="O161" i="17"/>
  <c r="P161" i="17"/>
  <c r="Q161" i="17"/>
  <c r="R161" i="17"/>
  <c r="S161" i="17"/>
  <c r="T161" i="17"/>
  <c r="U161" i="17"/>
  <c r="V161" i="17"/>
  <c r="W161" i="17"/>
  <c r="X161" i="17"/>
  <c r="Y161" i="17"/>
  <c r="Z161" i="17"/>
  <c r="AA161" i="17"/>
  <c r="AB161" i="17"/>
  <c r="AC161" i="17"/>
  <c r="AD161" i="17"/>
  <c r="AE161" i="17"/>
  <c r="AF161" i="17"/>
  <c r="AG161" i="17"/>
  <c r="AH161" i="17"/>
  <c r="AI161" i="17"/>
  <c r="AJ161" i="17"/>
  <c r="AK161" i="17"/>
  <c r="AL161" i="17"/>
  <c r="AM161" i="17"/>
  <c r="A162" i="17"/>
  <c r="B162" i="17"/>
  <c r="D162" i="17"/>
  <c r="E162" i="17"/>
  <c r="G162" i="17"/>
  <c r="H162" i="17"/>
  <c r="I162" i="17"/>
  <c r="J162" i="17"/>
  <c r="K162" i="17"/>
  <c r="L162" i="17"/>
  <c r="O162" i="17"/>
  <c r="P162" i="17"/>
  <c r="Q162" i="17"/>
  <c r="R162" i="17"/>
  <c r="S162" i="17"/>
  <c r="T162" i="17"/>
  <c r="U162" i="17"/>
  <c r="V162" i="17"/>
  <c r="W162" i="17"/>
  <c r="X162" i="17"/>
  <c r="Y162" i="17"/>
  <c r="Z162" i="17"/>
  <c r="AA162" i="17"/>
  <c r="AB162" i="17"/>
  <c r="AC162" i="17"/>
  <c r="AD162" i="17"/>
  <c r="AE162" i="17"/>
  <c r="AF162" i="17"/>
  <c r="AG162" i="17"/>
  <c r="AH162" i="17"/>
  <c r="AI162" i="17"/>
  <c r="AJ162" i="17"/>
  <c r="AK162" i="17"/>
  <c r="AL162" i="17"/>
  <c r="AM162" i="17"/>
  <c r="A163" i="17"/>
  <c r="B163" i="17"/>
  <c r="D163" i="17"/>
  <c r="E163" i="17"/>
  <c r="G163" i="17"/>
  <c r="H163" i="17"/>
  <c r="I163" i="17"/>
  <c r="J163" i="17"/>
  <c r="K163" i="17"/>
  <c r="L163" i="17"/>
  <c r="O163" i="17"/>
  <c r="P163" i="17"/>
  <c r="Q163" i="17"/>
  <c r="R163" i="17"/>
  <c r="S163" i="17"/>
  <c r="T163" i="17"/>
  <c r="U163" i="17"/>
  <c r="V163" i="17"/>
  <c r="W163" i="17"/>
  <c r="X163" i="17"/>
  <c r="Y163" i="17"/>
  <c r="Z163" i="17"/>
  <c r="AA163" i="17"/>
  <c r="AB163" i="17"/>
  <c r="AC163" i="17"/>
  <c r="AD163" i="17"/>
  <c r="AE163" i="17"/>
  <c r="AF163" i="17"/>
  <c r="AG163" i="17"/>
  <c r="AH163" i="17"/>
  <c r="AI163" i="17"/>
  <c r="AJ163" i="17"/>
  <c r="AK163" i="17"/>
  <c r="AL163" i="17"/>
  <c r="AM163" i="17"/>
  <c r="A164" i="17"/>
  <c r="B164" i="17"/>
  <c r="D164" i="17"/>
  <c r="E164" i="17"/>
  <c r="G164" i="17"/>
  <c r="H164" i="17"/>
  <c r="I164" i="17"/>
  <c r="J164" i="17"/>
  <c r="K164" i="17"/>
  <c r="L164" i="17"/>
  <c r="O164" i="17"/>
  <c r="P164" i="17"/>
  <c r="Q164" i="17"/>
  <c r="R164" i="17"/>
  <c r="S164" i="17"/>
  <c r="T164" i="17"/>
  <c r="U164" i="17"/>
  <c r="V164" i="17"/>
  <c r="W164" i="17"/>
  <c r="X164" i="17"/>
  <c r="Y164" i="17"/>
  <c r="Z164" i="17"/>
  <c r="AA164" i="17"/>
  <c r="AB164" i="17"/>
  <c r="AC164" i="17"/>
  <c r="AD164" i="17"/>
  <c r="AE164" i="17"/>
  <c r="AF164" i="17"/>
  <c r="AG164" i="17"/>
  <c r="AH164" i="17"/>
  <c r="AI164" i="17"/>
  <c r="AJ164" i="17"/>
  <c r="AK164" i="17"/>
  <c r="AL164" i="17"/>
  <c r="AM164" i="17"/>
  <c r="A165" i="17"/>
  <c r="B165" i="17"/>
  <c r="D165" i="17"/>
  <c r="E165" i="17"/>
  <c r="G165" i="17"/>
  <c r="H165" i="17"/>
  <c r="I165" i="17"/>
  <c r="J165" i="17"/>
  <c r="K165" i="17"/>
  <c r="L165" i="17"/>
  <c r="O165" i="17"/>
  <c r="P165" i="17"/>
  <c r="Q165" i="17"/>
  <c r="R165" i="17"/>
  <c r="S165" i="17"/>
  <c r="T165" i="17"/>
  <c r="U165" i="17"/>
  <c r="V165" i="17"/>
  <c r="W165" i="17"/>
  <c r="X165" i="17"/>
  <c r="Y165" i="17"/>
  <c r="Z165" i="17"/>
  <c r="AA165" i="17"/>
  <c r="AB165" i="17"/>
  <c r="AC165" i="17"/>
  <c r="AD165" i="17"/>
  <c r="AE165" i="17"/>
  <c r="AF165" i="17"/>
  <c r="AG165" i="17"/>
  <c r="AH165" i="17"/>
  <c r="AI165" i="17"/>
  <c r="AJ165" i="17"/>
  <c r="AK165" i="17"/>
  <c r="AL165" i="17"/>
  <c r="AM165" i="17"/>
  <c r="A166" i="17"/>
  <c r="B166" i="17"/>
  <c r="D166" i="17"/>
  <c r="E166" i="17"/>
  <c r="G166" i="17"/>
  <c r="H166" i="17"/>
  <c r="I166" i="17"/>
  <c r="J166" i="17"/>
  <c r="K166" i="17"/>
  <c r="L166" i="17"/>
  <c r="O166" i="17"/>
  <c r="P166" i="17"/>
  <c r="Q166" i="17"/>
  <c r="R166" i="17"/>
  <c r="S166" i="17"/>
  <c r="T166" i="17"/>
  <c r="U166" i="17"/>
  <c r="V166" i="17"/>
  <c r="W166" i="17"/>
  <c r="X166" i="17"/>
  <c r="Y166" i="17"/>
  <c r="Z166" i="17"/>
  <c r="AA166" i="17"/>
  <c r="AB166" i="17"/>
  <c r="AC166" i="17"/>
  <c r="AD166" i="17"/>
  <c r="AE166" i="17"/>
  <c r="AF166" i="17"/>
  <c r="AG166" i="17"/>
  <c r="AH166" i="17"/>
  <c r="AI166" i="17"/>
  <c r="AJ166" i="17"/>
  <c r="AK166" i="17"/>
  <c r="AL166" i="17"/>
  <c r="AM166" i="17"/>
  <c r="A167" i="17"/>
  <c r="B167" i="17"/>
  <c r="D167" i="17"/>
  <c r="E167" i="17"/>
  <c r="G167" i="17"/>
  <c r="H167" i="17"/>
  <c r="I167" i="17"/>
  <c r="J167" i="17"/>
  <c r="K167" i="17"/>
  <c r="L167" i="17"/>
  <c r="O167" i="17"/>
  <c r="P167" i="17"/>
  <c r="Q167" i="17"/>
  <c r="R167" i="17"/>
  <c r="S167" i="17"/>
  <c r="T167" i="17"/>
  <c r="U167" i="17"/>
  <c r="V167" i="17"/>
  <c r="W167" i="17"/>
  <c r="X167" i="17"/>
  <c r="Y167" i="17"/>
  <c r="Z167" i="17"/>
  <c r="AA167" i="17"/>
  <c r="AB167" i="17"/>
  <c r="AC167" i="17"/>
  <c r="AD167" i="17"/>
  <c r="AE167" i="17"/>
  <c r="AF167" i="17"/>
  <c r="AG167" i="17"/>
  <c r="AH167" i="17"/>
  <c r="AI167" i="17"/>
  <c r="AJ167" i="17"/>
  <c r="AK167" i="17"/>
  <c r="AL167" i="17"/>
  <c r="AM167" i="17"/>
  <c r="A168" i="17"/>
  <c r="B168" i="17"/>
  <c r="D168" i="17"/>
  <c r="E168" i="17"/>
  <c r="G168" i="17"/>
  <c r="H168" i="17"/>
  <c r="I168" i="17"/>
  <c r="J168" i="17"/>
  <c r="K168" i="17"/>
  <c r="L168" i="17"/>
  <c r="O168" i="17"/>
  <c r="P168" i="17"/>
  <c r="Q168" i="17"/>
  <c r="R168" i="17"/>
  <c r="S168" i="17"/>
  <c r="T168" i="17"/>
  <c r="U168" i="17"/>
  <c r="V168" i="17"/>
  <c r="W168" i="17"/>
  <c r="X168" i="17"/>
  <c r="Y168" i="17"/>
  <c r="Z168" i="17"/>
  <c r="AA168" i="17"/>
  <c r="AB168" i="17"/>
  <c r="AC168" i="17"/>
  <c r="AD168" i="17"/>
  <c r="AE168" i="17"/>
  <c r="AF168" i="17"/>
  <c r="AG168" i="17"/>
  <c r="AH168" i="17"/>
  <c r="AI168" i="17"/>
  <c r="AJ168" i="17"/>
  <c r="AK168" i="17"/>
  <c r="AL168" i="17"/>
  <c r="AM168" i="17"/>
  <c r="A169" i="17"/>
  <c r="B169" i="17"/>
  <c r="D169" i="17"/>
  <c r="E169" i="17"/>
  <c r="G169" i="17"/>
  <c r="H169" i="17"/>
  <c r="I169" i="17"/>
  <c r="J169" i="17"/>
  <c r="K169" i="17"/>
  <c r="L169" i="17"/>
  <c r="O169" i="17"/>
  <c r="P169" i="17"/>
  <c r="Q169" i="17"/>
  <c r="R169" i="17"/>
  <c r="S169" i="17"/>
  <c r="T169" i="17"/>
  <c r="U169" i="17"/>
  <c r="V169" i="17"/>
  <c r="W169" i="17"/>
  <c r="X169" i="17"/>
  <c r="Y169" i="17"/>
  <c r="Z169" i="17"/>
  <c r="AA169" i="17"/>
  <c r="AB169" i="17"/>
  <c r="AC169" i="17"/>
  <c r="AD169" i="17"/>
  <c r="AE169" i="17"/>
  <c r="AF169" i="17"/>
  <c r="AG169" i="17"/>
  <c r="AH169" i="17"/>
  <c r="AI169" i="17"/>
  <c r="AJ169" i="17"/>
  <c r="AK169" i="17"/>
  <c r="AL169" i="17"/>
  <c r="AM169" i="17"/>
  <c r="A170" i="17"/>
  <c r="B170" i="17"/>
  <c r="D170" i="17"/>
  <c r="E170" i="17"/>
  <c r="G170" i="17"/>
  <c r="H170" i="17"/>
  <c r="I170" i="17"/>
  <c r="J170" i="17"/>
  <c r="K170" i="17"/>
  <c r="L170" i="17"/>
  <c r="O170" i="17"/>
  <c r="P170" i="17"/>
  <c r="Q170" i="17"/>
  <c r="R170" i="17"/>
  <c r="S170" i="17"/>
  <c r="T170" i="17"/>
  <c r="U170" i="17"/>
  <c r="V170" i="17"/>
  <c r="W170" i="17"/>
  <c r="X170" i="17"/>
  <c r="Y170" i="17"/>
  <c r="Z170" i="17"/>
  <c r="AA170" i="17"/>
  <c r="AB170" i="17"/>
  <c r="AC170" i="17"/>
  <c r="AD170" i="17"/>
  <c r="AE170" i="17"/>
  <c r="AF170" i="17"/>
  <c r="AG170" i="17"/>
  <c r="AH170" i="17"/>
  <c r="AI170" i="17"/>
  <c r="AJ170" i="17"/>
  <c r="AK170" i="17"/>
  <c r="AL170" i="17"/>
  <c r="AM170" i="17"/>
  <c r="A171" i="17"/>
  <c r="B171" i="17"/>
  <c r="D171" i="17"/>
  <c r="E171" i="17"/>
  <c r="G171" i="17"/>
  <c r="H171" i="17"/>
  <c r="I171" i="17"/>
  <c r="J171" i="17"/>
  <c r="K171" i="17"/>
  <c r="L171" i="17"/>
  <c r="O171" i="17"/>
  <c r="P171" i="17"/>
  <c r="Q171" i="17"/>
  <c r="R171" i="17"/>
  <c r="S171" i="17"/>
  <c r="T171" i="17"/>
  <c r="U171" i="17"/>
  <c r="V171" i="17"/>
  <c r="W171" i="17"/>
  <c r="X171" i="17"/>
  <c r="Y171" i="17"/>
  <c r="Z171" i="17"/>
  <c r="AA171" i="17"/>
  <c r="AB171" i="17"/>
  <c r="AC171" i="17"/>
  <c r="AD171" i="17"/>
  <c r="AE171" i="17"/>
  <c r="AF171" i="17"/>
  <c r="AG171" i="17"/>
  <c r="AH171" i="17"/>
  <c r="AI171" i="17"/>
  <c r="AJ171" i="17"/>
  <c r="AK171" i="17"/>
  <c r="AL171" i="17"/>
  <c r="AM171" i="17"/>
  <c r="A172" i="17"/>
  <c r="B172" i="17"/>
  <c r="D172" i="17"/>
  <c r="E172" i="17"/>
  <c r="G172" i="17"/>
  <c r="H172" i="17"/>
  <c r="I172" i="17"/>
  <c r="J172" i="17"/>
  <c r="K172" i="17"/>
  <c r="L172" i="17"/>
  <c r="O172" i="17"/>
  <c r="P172" i="17"/>
  <c r="Q172" i="17"/>
  <c r="R172" i="17"/>
  <c r="S172" i="17"/>
  <c r="T172" i="17"/>
  <c r="U172" i="17"/>
  <c r="V172" i="17"/>
  <c r="W172" i="17"/>
  <c r="X172" i="17"/>
  <c r="Y172" i="17"/>
  <c r="Z172" i="17"/>
  <c r="AA172" i="17"/>
  <c r="AB172" i="17"/>
  <c r="AC172" i="17"/>
  <c r="AD172" i="17"/>
  <c r="AE172" i="17"/>
  <c r="AF172" i="17"/>
  <c r="AG172" i="17"/>
  <c r="AH172" i="17"/>
  <c r="AI172" i="17"/>
  <c r="AJ172" i="17"/>
  <c r="AK172" i="17"/>
  <c r="AL172" i="17"/>
  <c r="AM172" i="17"/>
  <c r="A173" i="17"/>
  <c r="B173" i="17"/>
  <c r="D173" i="17"/>
  <c r="E173" i="17"/>
  <c r="G173" i="17"/>
  <c r="H173" i="17"/>
  <c r="I173" i="17"/>
  <c r="J173" i="17"/>
  <c r="K173" i="17"/>
  <c r="L173" i="17"/>
  <c r="O173" i="17"/>
  <c r="P173" i="17"/>
  <c r="Q173" i="17"/>
  <c r="R173" i="17"/>
  <c r="S173" i="17"/>
  <c r="T173" i="17"/>
  <c r="U173" i="17"/>
  <c r="V173" i="17"/>
  <c r="W173" i="17"/>
  <c r="X173" i="17"/>
  <c r="Y173" i="17"/>
  <c r="Z173" i="17"/>
  <c r="AA173" i="17"/>
  <c r="AB173" i="17"/>
  <c r="AC173" i="17"/>
  <c r="AD173" i="17"/>
  <c r="AE173" i="17"/>
  <c r="AF173" i="17"/>
  <c r="AG173" i="17"/>
  <c r="AH173" i="17"/>
  <c r="AI173" i="17"/>
  <c r="AJ173" i="17"/>
  <c r="AK173" i="17"/>
  <c r="AL173" i="17"/>
  <c r="AM173" i="17"/>
  <c r="A174" i="17"/>
  <c r="B174" i="17"/>
  <c r="D174" i="17"/>
  <c r="E174" i="17"/>
  <c r="G174" i="17"/>
  <c r="H174" i="17"/>
  <c r="I174" i="17"/>
  <c r="J174" i="17"/>
  <c r="K174" i="17"/>
  <c r="L174" i="17"/>
  <c r="O174" i="17"/>
  <c r="P174" i="17"/>
  <c r="Q174" i="17"/>
  <c r="R174" i="17"/>
  <c r="S174" i="17"/>
  <c r="T174" i="17"/>
  <c r="U174" i="17"/>
  <c r="V174" i="17"/>
  <c r="W174" i="17"/>
  <c r="X174" i="17"/>
  <c r="Y174" i="17"/>
  <c r="Z174" i="17"/>
  <c r="AA174" i="17"/>
  <c r="AB174" i="17"/>
  <c r="AC174" i="17"/>
  <c r="AD174" i="17"/>
  <c r="AE174" i="17"/>
  <c r="AF174" i="17"/>
  <c r="AG174" i="17"/>
  <c r="AH174" i="17"/>
  <c r="AI174" i="17"/>
  <c r="AJ174" i="17"/>
  <c r="AK174" i="17"/>
  <c r="AL174" i="17"/>
  <c r="AM174" i="17"/>
  <c r="A175" i="17"/>
  <c r="B175" i="17"/>
  <c r="D175" i="17"/>
  <c r="E175" i="17"/>
  <c r="G175" i="17"/>
  <c r="H175" i="17"/>
  <c r="I175" i="17"/>
  <c r="J175" i="17"/>
  <c r="K175" i="17"/>
  <c r="L175" i="17"/>
  <c r="O175" i="17"/>
  <c r="P175" i="17"/>
  <c r="Q175" i="17"/>
  <c r="R175" i="17"/>
  <c r="S175" i="17"/>
  <c r="T175" i="17"/>
  <c r="U175" i="17"/>
  <c r="V175" i="17"/>
  <c r="W175" i="17"/>
  <c r="X175" i="17"/>
  <c r="Y175" i="17"/>
  <c r="Z175" i="17"/>
  <c r="AA175" i="17"/>
  <c r="AB175" i="17"/>
  <c r="AC175" i="17"/>
  <c r="AD175" i="17"/>
  <c r="AE175" i="17"/>
  <c r="AF175" i="17"/>
  <c r="AG175" i="17"/>
  <c r="AH175" i="17"/>
  <c r="AI175" i="17"/>
  <c r="AJ175" i="17"/>
  <c r="AK175" i="17"/>
  <c r="AL175" i="17"/>
  <c r="AM175" i="17"/>
  <c r="CD213" i="1" l="1"/>
  <c r="CF213" i="1"/>
  <c r="CE213" i="1"/>
  <c r="E176" i="1"/>
  <c r="F176" i="1"/>
  <c r="K176" i="1"/>
  <c r="N176" i="1"/>
  <c r="S176" i="1"/>
  <c r="M175" i="17" s="1"/>
  <c r="T176" i="1"/>
  <c r="N175" i="17" s="1"/>
  <c r="BW176" i="1"/>
  <c r="AN175" i="17" s="1"/>
  <c r="BX176" i="1"/>
  <c r="BY176" i="1"/>
  <c r="CA176" i="1"/>
  <c r="S161" i="1"/>
  <c r="T161" i="1"/>
  <c r="N160" i="17" s="1"/>
  <c r="S162" i="1"/>
  <c r="M161" i="17" s="1"/>
  <c r="T162" i="1"/>
  <c r="N161" i="17" s="1"/>
  <c r="S163" i="1"/>
  <c r="M162" i="17" s="1"/>
  <c r="T163" i="1"/>
  <c r="N162" i="17" s="1"/>
  <c r="S164" i="1"/>
  <c r="M163" i="17" s="1"/>
  <c r="T164" i="1"/>
  <c r="N163" i="17" s="1"/>
  <c r="S165" i="1"/>
  <c r="M164" i="17" s="1"/>
  <c r="T165" i="1"/>
  <c r="N164" i="17" s="1"/>
  <c r="S166" i="1"/>
  <c r="M165" i="17" s="1"/>
  <c r="T166" i="1"/>
  <c r="N165" i="17" s="1"/>
  <c r="S167" i="1"/>
  <c r="M166" i="17" s="1"/>
  <c r="T167" i="1"/>
  <c r="N166" i="17" s="1"/>
  <c r="S168" i="1"/>
  <c r="M167" i="17" s="1"/>
  <c r="T168" i="1"/>
  <c r="N167" i="17" s="1"/>
  <c r="S169" i="1"/>
  <c r="M168" i="17" s="1"/>
  <c r="T169" i="1"/>
  <c r="N168" i="17" s="1"/>
  <c r="S170" i="1"/>
  <c r="M169" i="17" s="1"/>
  <c r="T170" i="1"/>
  <c r="N169" i="17" s="1"/>
  <c r="S171" i="1"/>
  <c r="M170" i="17" s="1"/>
  <c r="T171" i="1"/>
  <c r="N170" i="17" s="1"/>
  <c r="S172" i="1"/>
  <c r="M171" i="17" s="1"/>
  <c r="T172" i="1"/>
  <c r="N171" i="17" s="1"/>
  <c r="S173" i="1"/>
  <c r="M172" i="17" s="1"/>
  <c r="T173" i="1"/>
  <c r="N172" i="17" s="1"/>
  <c r="S174" i="1"/>
  <c r="M173" i="17" s="1"/>
  <c r="T174" i="1"/>
  <c r="N173" i="17" s="1"/>
  <c r="S175" i="1"/>
  <c r="M174" i="17" s="1"/>
  <c r="T175" i="1"/>
  <c r="N174" i="17" s="1"/>
  <c r="E162" i="1"/>
  <c r="BW161" i="1"/>
  <c r="AN160" i="17" s="1"/>
  <c r="BW162" i="1"/>
  <c r="AN161" i="17" s="1"/>
  <c r="BW163" i="1"/>
  <c r="AN162" i="17" s="1"/>
  <c r="BW164" i="1"/>
  <c r="AN163" i="17" s="1"/>
  <c r="BW165" i="1"/>
  <c r="AN164" i="17" s="1"/>
  <c r="BW166" i="1"/>
  <c r="AN165" i="17" s="1"/>
  <c r="BW167" i="1"/>
  <c r="AN166" i="17" s="1"/>
  <c r="BW168" i="1"/>
  <c r="AN167" i="17" s="1"/>
  <c r="BW169" i="1"/>
  <c r="AN168" i="17" s="1"/>
  <c r="BW170" i="1"/>
  <c r="AN169" i="17" s="1"/>
  <c r="BW171" i="1"/>
  <c r="AN170" i="17" s="1"/>
  <c r="BW172" i="1"/>
  <c r="AN171" i="17" s="1"/>
  <c r="BW173" i="1"/>
  <c r="AN172" i="17" s="1"/>
  <c r="BW174" i="1"/>
  <c r="AN173" i="17" s="1"/>
  <c r="BW175" i="1"/>
  <c r="AN174" i="17" s="1"/>
  <c r="BX161" i="1"/>
  <c r="BY161" i="1"/>
  <c r="CA161" i="1"/>
  <c r="CB161" i="1" s="1"/>
  <c r="BX162" i="1"/>
  <c r="BY162" i="1"/>
  <c r="CA162" i="1"/>
  <c r="CI162" i="1" s="1"/>
  <c r="BX163" i="1"/>
  <c r="BY163" i="1"/>
  <c r="CA163" i="1"/>
  <c r="CI163" i="1" s="1"/>
  <c r="BX164" i="1"/>
  <c r="BY164" i="1"/>
  <c r="CA164" i="1"/>
  <c r="CB164" i="1" s="1"/>
  <c r="BX165" i="1"/>
  <c r="BY165" i="1"/>
  <c r="CA165" i="1"/>
  <c r="CB165" i="1" s="1"/>
  <c r="CH165" i="1" s="1"/>
  <c r="BX166" i="1"/>
  <c r="BY166" i="1"/>
  <c r="CA166" i="1"/>
  <c r="CB166" i="1" s="1"/>
  <c r="BX167" i="1"/>
  <c r="BY167" i="1"/>
  <c r="CA167" i="1"/>
  <c r="CI167" i="1" s="1"/>
  <c r="BX168" i="1"/>
  <c r="BY168" i="1"/>
  <c r="CA168" i="1"/>
  <c r="CI168" i="1" s="1"/>
  <c r="BX169" i="1"/>
  <c r="BY169" i="1"/>
  <c r="CA169" i="1"/>
  <c r="CB169" i="1" s="1"/>
  <c r="CH169" i="1" s="1"/>
  <c r="BX170" i="1"/>
  <c r="BY170" i="1"/>
  <c r="CA170" i="1"/>
  <c r="CI170" i="1" s="1"/>
  <c r="BX171" i="1"/>
  <c r="BY171" i="1"/>
  <c r="CA171" i="1"/>
  <c r="CI171" i="1" s="1"/>
  <c r="BX172" i="1"/>
  <c r="BY172" i="1"/>
  <c r="CA172" i="1"/>
  <c r="CB172" i="1" s="1"/>
  <c r="CH172" i="1" s="1"/>
  <c r="BX173" i="1"/>
  <c r="BY173" i="1"/>
  <c r="CA173" i="1"/>
  <c r="CB173" i="1" s="1"/>
  <c r="CC173" i="1" s="1"/>
  <c r="BX174" i="1"/>
  <c r="BY174" i="1"/>
  <c r="CA174" i="1"/>
  <c r="CB174" i="1" s="1"/>
  <c r="CC174" i="1" s="1"/>
  <c r="BX175" i="1"/>
  <c r="BY175" i="1"/>
  <c r="CA175" i="1"/>
  <c r="CB175" i="1" s="1"/>
  <c r="CC175" i="1" s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40" i="1"/>
  <c r="CB162" i="1" l="1"/>
  <c r="CC162" i="1" s="1"/>
  <c r="CI174" i="1"/>
  <c r="CB163" i="1"/>
  <c r="CH163" i="1" s="1"/>
  <c r="BZ162" i="1"/>
  <c r="CB167" i="1"/>
  <c r="CH167" i="1" s="1"/>
  <c r="CI166" i="1"/>
  <c r="BZ166" i="1"/>
  <c r="CJ162" i="1"/>
  <c r="CJ163" i="1" s="1"/>
  <c r="CJ164" i="1" s="1"/>
  <c r="CJ165" i="1" s="1"/>
  <c r="CJ166" i="1" s="1"/>
  <c r="CJ167" i="1" s="1"/>
  <c r="CJ168" i="1" s="1"/>
  <c r="CJ169" i="1" s="1"/>
  <c r="CJ170" i="1" s="1"/>
  <c r="CJ171" i="1" s="1"/>
  <c r="CJ172" i="1" s="1"/>
  <c r="CJ173" i="1" s="1"/>
  <c r="CJ174" i="1" s="1"/>
  <c r="CJ175" i="1" s="1"/>
  <c r="BZ174" i="1"/>
  <c r="BZ167" i="1"/>
  <c r="BZ165" i="1"/>
  <c r="CI164" i="1"/>
  <c r="BZ164" i="1"/>
  <c r="BZ161" i="1"/>
  <c r="BZ168" i="1"/>
  <c r="BZ163" i="1"/>
  <c r="BZ169" i="1"/>
  <c r="BZ175" i="1"/>
  <c r="CC161" i="1"/>
  <c r="CN162" i="1"/>
  <c r="CR162" i="1"/>
  <c r="CR163" i="1" s="1"/>
  <c r="CV162" i="1"/>
  <c r="CL162" i="1"/>
  <c r="CP162" i="1"/>
  <c r="CT162" i="1"/>
  <c r="CT163" i="1" s="1"/>
  <c r="CX162" i="1"/>
  <c r="CG172" i="1"/>
  <c r="CE172" i="1" s="1"/>
  <c r="CH174" i="1"/>
  <c r="CH173" i="1"/>
  <c r="CI172" i="1"/>
  <c r="CC172" i="1"/>
  <c r="CI169" i="1"/>
  <c r="CB168" i="1"/>
  <c r="CC168" i="1" s="1"/>
  <c r="CI165" i="1"/>
  <c r="CB176" i="1"/>
  <c r="CC176" i="1" s="1"/>
  <c r="BZ173" i="1"/>
  <c r="BZ172" i="1"/>
  <c r="BZ170" i="1"/>
  <c r="BZ176" i="1"/>
  <c r="BZ171" i="1"/>
  <c r="CG174" i="1"/>
  <c r="CI173" i="1"/>
  <c r="CG173" i="1"/>
  <c r="CB170" i="1"/>
  <c r="CC166" i="1"/>
  <c r="CG166" i="1"/>
  <c r="CH166" i="1"/>
  <c r="CB171" i="1"/>
  <c r="CC164" i="1"/>
  <c r="CG164" i="1"/>
  <c r="CH164" i="1"/>
  <c r="CC169" i="1"/>
  <c r="CG169" i="1"/>
  <c r="CC165" i="1"/>
  <c r="CG165" i="1"/>
  <c r="CY162" i="1"/>
  <c r="CW162" i="1"/>
  <c r="CW163" i="1" s="1"/>
  <c r="CU162" i="1"/>
  <c r="CS162" i="1"/>
  <c r="CS163" i="1" s="1"/>
  <c r="CS164" i="1" s="1"/>
  <c r="CS165" i="1" s="1"/>
  <c r="CS166" i="1" s="1"/>
  <c r="CS167" i="1" s="1"/>
  <c r="CS168" i="1" s="1"/>
  <c r="CQ162" i="1"/>
  <c r="CO162" i="1"/>
  <c r="CO163" i="1" s="1"/>
  <c r="CM162" i="1"/>
  <c r="CK162" i="1"/>
  <c r="CK163" i="1" s="1"/>
  <c r="CK164" i="1" s="1"/>
  <c r="CK165" i="1" s="1"/>
  <c r="CK166" i="1" s="1"/>
  <c r="CK167" i="1" s="1"/>
  <c r="CK168" i="1" s="1"/>
  <c r="A3" i="17"/>
  <c r="B3" i="17"/>
  <c r="C3" i="17"/>
  <c r="D3" i="17"/>
  <c r="E3" i="17"/>
  <c r="F3" i="17"/>
  <c r="G3" i="17"/>
  <c r="H3" i="17"/>
  <c r="I3" i="17"/>
  <c r="J3" i="17"/>
  <c r="K3" i="17"/>
  <c r="L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AD3" i="17"/>
  <c r="AE3" i="17"/>
  <c r="AF3" i="17"/>
  <c r="AG3" i="17"/>
  <c r="AH3" i="17"/>
  <c r="AI3" i="17"/>
  <c r="AJ3" i="17"/>
  <c r="AK3" i="17"/>
  <c r="AL3" i="17"/>
  <c r="AM3" i="17"/>
  <c r="AN3" i="17"/>
  <c r="A4" i="17"/>
  <c r="B4" i="17"/>
  <c r="C4" i="17"/>
  <c r="D4" i="17"/>
  <c r="E4" i="17"/>
  <c r="F4" i="17"/>
  <c r="G4" i="17"/>
  <c r="H4" i="17"/>
  <c r="I4" i="17"/>
  <c r="J4" i="17"/>
  <c r="K4" i="17"/>
  <c r="L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5" i="17"/>
  <c r="B5" i="17"/>
  <c r="C5" i="17"/>
  <c r="D5" i="17"/>
  <c r="E5" i="17"/>
  <c r="F5" i="17"/>
  <c r="G5" i="17"/>
  <c r="H5" i="17"/>
  <c r="I5" i="17"/>
  <c r="J5" i="17"/>
  <c r="K5" i="17"/>
  <c r="L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6" i="17"/>
  <c r="B6" i="17"/>
  <c r="C6" i="17"/>
  <c r="D6" i="17"/>
  <c r="E6" i="17"/>
  <c r="F6" i="17"/>
  <c r="G6" i="17"/>
  <c r="H6" i="17"/>
  <c r="I6" i="17"/>
  <c r="J6" i="17"/>
  <c r="K6" i="17"/>
  <c r="L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7" i="17"/>
  <c r="B7" i="17"/>
  <c r="C7" i="17"/>
  <c r="D7" i="17"/>
  <c r="E7" i="17"/>
  <c r="F7" i="17"/>
  <c r="G7" i="17"/>
  <c r="H7" i="17"/>
  <c r="I7" i="17"/>
  <c r="J7" i="17"/>
  <c r="K7" i="17"/>
  <c r="L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8" i="17"/>
  <c r="B8" i="17"/>
  <c r="C8" i="17"/>
  <c r="D8" i="17"/>
  <c r="E8" i="17"/>
  <c r="F8" i="17"/>
  <c r="G8" i="17"/>
  <c r="H8" i="17"/>
  <c r="I8" i="17"/>
  <c r="J8" i="17"/>
  <c r="K8" i="17"/>
  <c r="L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AJ8" i="17"/>
  <c r="AK8" i="17"/>
  <c r="AL8" i="17"/>
  <c r="AM8" i="17"/>
  <c r="A9" i="17"/>
  <c r="B9" i="17"/>
  <c r="C9" i="17"/>
  <c r="D9" i="17"/>
  <c r="E9" i="17"/>
  <c r="F9" i="17"/>
  <c r="G9" i="17"/>
  <c r="H9" i="17"/>
  <c r="I9" i="17"/>
  <c r="J9" i="17"/>
  <c r="K9" i="17"/>
  <c r="L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10" i="17"/>
  <c r="B10" i="17"/>
  <c r="C10" i="17"/>
  <c r="D10" i="17"/>
  <c r="E10" i="17"/>
  <c r="F10" i="17"/>
  <c r="G10" i="17"/>
  <c r="H10" i="17"/>
  <c r="I10" i="17"/>
  <c r="J10" i="17"/>
  <c r="K10" i="17"/>
  <c r="L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11" i="17"/>
  <c r="B11" i="17"/>
  <c r="C11" i="17"/>
  <c r="D11" i="17"/>
  <c r="E11" i="17"/>
  <c r="F11" i="17"/>
  <c r="G11" i="17"/>
  <c r="H11" i="17"/>
  <c r="I11" i="17"/>
  <c r="J11" i="17"/>
  <c r="K11" i="17"/>
  <c r="L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12" i="17"/>
  <c r="B12" i="17"/>
  <c r="C12" i="17"/>
  <c r="D12" i="17"/>
  <c r="E12" i="17"/>
  <c r="F12" i="17"/>
  <c r="G12" i="17"/>
  <c r="H12" i="17"/>
  <c r="I12" i="17"/>
  <c r="J12" i="17"/>
  <c r="K12" i="17"/>
  <c r="L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13" i="17"/>
  <c r="B13" i="17"/>
  <c r="C13" i="17"/>
  <c r="D13" i="17"/>
  <c r="E13" i="17"/>
  <c r="F13" i="17"/>
  <c r="G13" i="17"/>
  <c r="H13" i="17"/>
  <c r="I13" i="17"/>
  <c r="J13" i="17"/>
  <c r="K13" i="17"/>
  <c r="L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AE13" i="17"/>
  <c r="AF13" i="17"/>
  <c r="AG13" i="17"/>
  <c r="AH13" i="17"/>
  <c r="AI13" i="17"/>
  <c r="AJ13" i="17"/>
  <c r="AK13" i="17"/>
  <c r="AL13" i="17"/>
  <c r="AM13" i="17"/>
  <c r="A14" i="17"/>
  <c r="B14" i="17"/>
  <c r="C14" i="17"/>
  <c r="D14" i="17"/>
  <c r="E14" i="17"/>
  <c r="F14" i="17"/>
  <c r="G14" i="17"/>
  <c r="H14" i="17"/>
  <c r="I14" i="17"/>
  <c r="J14" i="17"/>
  <c r="K14" i="17"/>
  <c r="L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15" i="17"/>
  <c r="B15" i="17"/>
  <c r="C15" i="17"/>
  <c r="D15" i="17"/>
  <c r="E15" i="17"/>
  <c r="F15" i="17"/>
  <c r="G15" i="17"/>
  <c r="H15" i="17"/>
  <c r="I15" i="17"/>
  <c r="J15" i="17"/>
  <c r="K15" i="17"/>
  <c r="L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16" i="17"/>
  <c r="B16" i="17"/>
  <c r="C16" i="17"/>
  <c r="D16" i="17"/>
  <c r="E16" i="17"/>
  <c r="F16" i="17"/>
  <c r="G16" i="17"/>
  <c r="H16" i="17"/>
  <c r="I16" i="17"/>
  <c r="J16" i="17"/>
  <c r="K16" i="17"/>
  <c r="L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AI16" i="17"/>
  <c r="AJ16" i="17"/>
  <c r="AK16" i="17"/>
  <c r="AL16" i="17"/>
  <c r="AM16" i="17"/>
  <c r="A17" i="17"/>
  <c r="B17" i="17"/>
  <c r="C17" i="17"/>
  <c r="D17" i="17"/>
  <c r="E17" i="17"/>
  <c r="F17" i="17"/>
  <c r="G17" i="17"/>
  <c r="H17" i="17"/>
  <c r="I17" i="17"/>
  <c r="J17" i="17"/>
  <c r="K17" i="17"/>
  <c r="L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AI17" i="17"/>
  <c r="AJ17" i="17"/>
  <c r="AK17" i="17"/>
  <c r="AL17" i="17"/>
  <c r="AM17" i="17"/>
  <c r="A18" i="17"/>
  <c r="B18" i="17"/>
  <c r="C18" i="17"/>
  <c r="D18" i="17"/>
  <c r="E18" i="17"/>
  <c r="F18" i="17"/>
  <c r="G18" i="17"/>
  <c r="H18" i="17"/>
  <c r="I18" i="17"/>
  <c r="J18" i="17"/>
  <c r="K18" i="17"/>
  <c r="L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19" i="17"/>
  <c r="B19" i="17"/>
  <c r="C19" i="17"/>
  <c r="D19" i="17"/>
  <c r="E19" i="17"/>
  <c r="F19" i="17"/>
  <c r="G19" i="17"/>
  <c r="H19" i="17"/>
  <c r="I19" i="17"/>
  <c r="J19" i="17"/>
  <c r="K19" i="17"/>
  <c r="L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AE19" i="17"/>
  <c r="AF19" i="17"/>
  <c r="AG19" i="17"/>
  <c r="AH19" i="17"/>
  <c r="AI19" i="17"/>
  <c r="AJ19" i="17"/>
  <c r="AK19" i="17"/>
  <c r="AL19" i="17"/>
  <c r="AM19" i="17"/>
  <c r="A20" i="17"/>
  <c r="B20" i="17"/>
  <c r="C20" i="17"/>
  <c r="D20" i="17"/>
  <c r="E20" i="17"/>
  <c r="F20" i="17"/>
  <c r="G20" i="17"/>
  <c r="H20" i="17"/>
  <c r="I20" i="17"/>
  <c r="J20" i="17"/>
  <c r="K20" i="17"/>
  <c r="L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21" i="17"/>
  <c r="B21" i="17"/>
  <c r="C21" i="17"/>
  <c r="D21" i="17"/>
  <c r="E21" i="17"/>
  <c r="F21" i="17"/>
  <c r="G21" i="17"/>
  <c r="H21" i="17"/>
  <c r="I21" i="17"/>
  <c r="J21" i="17"/>
  <c r="K21" i="17"/>
  <c r="L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22" i="17"/>
  <c r="B22" i="17"/>
  <c r="C22" i="17"/>
  <c r="D22" i="17"/>
  <c r="E22" i="17"/>
  <c r="F22" i="17"/>
  <c r="G22" i="17"/>
  <c r="H22" i="17"/>
  <c r="I22" i="17"/>
  <c r="J22" i="17"/>
  <c r="K22" i="17"/>
  <c r="L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23" i="17"/>
  <c r="B23" i="17"/>
  <c r="C23" i="17"/>
  <c r="D23" i="17"/>
  <c r="E23" i="17"/>
  <c r="F23" i="17"/>
  <c r="G23" i="17"/>
  <c r="H23" i="17"/>
  <c r="I23" i="17"/>
  <c r="J23" i="17"/>
  <c r="K23" i="17"/>
  <c r="L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24" i="17"/>
  <c r="B24" i="17"/>
  <c r="C24" i="17"/>
  <c r="D24" i="17"/>
  <c r="E24" i="17"/>
  <c r="F24" i="17"/>
  <c r="G24" i="17"/>
  <c r="H24" i="17"/>
  <c r="I24" i="17"/>
  <c r="J24" i="17"/>
  <c r="K24" i="17"/>
  <c r="L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AD24" i="17"/>
  <c r="AE24" i="17"/>
  <c r="AF24" i="17"/>
  <c r="AG24" i="17"/>
  <c r="AH24" i="17"/>
  <c r="AI24" i="17"/>
  <c r="AJ24" i="17"/>
  <c r="AK24" i="17"/>
  <c r="AL24" i="17"/>
  <c r="AM24" i="17"/>
  <c r="A25" i="17"/>
  <c r="B25" i="17"/>
  <c r="C25" i="17"/>
  <c r="D25" i="17"/>
  <c r="E25" i="17"/>
  <c r="F25" i="17"/>
  <c r="G25" i="17"/>
  <c r="H25" i="17"/>
  <c r="I25" i="17"/>
  <c r="J25" i="17"/>
  <c r="K25" i="17"/>
  <c r="L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AE25" i="17"/>
  <c r="AF25" i="17"/>
  <c r="AG25" i="17"/>
  <c r="AH25" i="17"/>
  <c r="AI25" i="17"/>
  <c r="AJ25" i="17"/>
  <c r="AK25" i="17"/>
  <c r="AL25" i="17"/>
  <c r="AM25" i="17"/>
  <c r="A26" i="17"/>
  <c r="B26" i="17"/>
  <c r="C26" i="17"/>
  <c r="D26" i="17"/>
  <c r="E26" i="17"/>
  <c r="F26" i="17"/>
  <c r="G26" i="17"/>
  <c r="H26" i="17"/>
  <c r="I26" i="17"/>
  <c r="J26" i="17"/>
  <c r="K26" i="17"/>
  <c r="L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AE26" i="17"/>
  <c r="AF26" i="17"/>
  <c r="AG26" i="17"/>
  <c r="AH26" i="17"/>
  <c r="AI26" i="17"/>
  <c r="AJ26" i="17"/>
  <c r="AK26" i="17"/>
  <c r="AL26" i="17"/>
  <c r="AM26" i="17"/>
  <c r="A27" i="17"/>
  <c r="B27" i="17"/>
  <c r="D27" i="17"/>
  <c r="E27" i="17"/>
  <c r="F27" i="17"/>
  <c r="G27" i="17"/>
  <c r="H27" i="17"/>
  <c r="I27" i="17"/>
  <c r="J27" i="17"/>
  <c r="K27" i="17"/>
  <c r="L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AE27" i="17"/>
  <c r="AF27" i="17"/>
  <c r="AG27" i="17"/>
  <c r="AH27" i="17"/>
  <c r="AI27" i="17"/>
  <c r="AJ27" i="17"/>
  <c r="AK27" i="17"/>
  <c r="AL27" i="17"/>
  <c r="AM27" i="17"/>
  <c r="A28" i="17"/>
  <c r="B28" i="17"/>
  <c r="D28" i="17"/>
  <c r="E28" i="17"/>
  <c r="F28" i="17"/>
  <c r="G28" i="17"/>
  <c r="H28" i="17"/>
  <c r="I28" i="17"/>
  <c r="J28" i="17"/>
  <c r="K28" i="17"/>
  <c r="L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AE28" i="17"/>
  <c r="AF28" i="17"/>
  <c r="AG28" i="17"/>
  <c r="AH28" i="17"/>
  <c r="AI28" i="17"/>
  <c r="AJ28" i="17"/>
  <c r="AK28" i="17"/>
  <c r="AL28" i="17"/>
  <c r="AM28" i="17"/>
  <c r="A29" i="17"/>
  <c r="B29" i="17"/>
  <c r="D29" i="17"/>
  <c r="E29" i="17"/>
  <c r="F29" i="17"/>
  <c r="G29" i="17"/>
  <c r="H29" i="17"/>
  <c r="I29" i="17"/>
  <c r="J29" i="17"/>
  <c r="K29" i="17"/>
  <c r="L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AH29" i="17"/>
  <c r="AI29" i="17"/>
  <c r="AJ29" i="17"/>
  <c r="AK29" i="17"/>
  <c r="AL29" i="17"/>
  <c r="AM29" i="17"/>
  <c r="A30" i="17"/>
  <c r="B30" i="17"/>
  <c r="D30" i="17"/>
  <c r="E30" i="17"/>
  <c r="F30" i="17"/>
  <c r="G30" i="17"/>
  <c r="H30" i="17"/>
  <c r="I30" i="17"/>
  <c r="J30" i="17"/>
  <c r="K30" i="17"/>
  <c r="L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AF30" i="17"/>
  <c r="AG30" i="17"/>
  <c r="AH30" i="17"/>
  <c r="AI30" i="17"/>
  <c r="AJ30" i="17"/>
  <c r="AK30" i="17"/>
  <c r="AL30" i="17"/>
  <c r="AM30" i="17"/>
  <c r="A31" i="17"/>
  <c r="B31" i="17"/>
  <c r="D31" i="17"/>
  <c r="E31" i="17"/>
  <c r="F31" i="17"/>
  <c r="G31" i="17"/>
  <c r="H31" i="17"/>
  <c r="I31" i="17"/>
  <c r="J31" i="17"/>
  <c r="K31" i="17"/>
  <c r="L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32" i="17"/>
  <c r="B32" i="17"/>
  <c r="D32" i="17"/>
  <c r="E32" i="17"/>
  <c r="F32" i="17"/>
  <c r="G32" i="17"/>
  <c r="H32" i="17"/>
  <c r="I32" i="17"/>
  <c r="J32" i="17"/>
  <c r="K32" i="17"/>
  <c r="L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AE32" i="17"/>
  <c r="AF32" i="17"/>
  <c r="AG32" i="17"/>
  <c r="AH32" i="17"/>
  <c r="AI32" i="17"/>
  <c r="AJ32" i="17"/>
  <c r="AK32" i="17"/>
  <c r="AL32" i="17"/>
  <c r="AM32" i="17"/>
  <c r="A33" i="17"/>
  <c r="B33" i="17"/>
  <c r="D33" i="17"/>
  <c r="E33" i="17"/>
  <c r="F33" i="17"/>
  <c r="G33" i="17"/>
  <c r="H33" i="17"/>
  <c r="I33" i="17"/>
  <c r="J33" i="17"/>
  <c r="K33" i="17"/>
  <c r="L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34" i="17"/>
  <c r="B34" i="17"/>
  <c r="D34" i="17"/>
  <c r="E34" i="17"/>
  <c r="F34" i="17"/>
  <c r="G34" i="17"/>
  <c r="H34" i="17"/>
  <c r="I34" i="17"/>
  <c r="J34" i="17"/>
  <c r="K34" i="17"/>
  <c r="L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AE34" i="17"/>
  <c r="AF34" i="17"/>
  <c r="AG34" i="17"/>
  <c r="AH34" i="17"/>
  <c r="AI34" i="17"/>
  <c r="AJ34" i="17"/>
  <c r="AK34" i="17"/>
  <c r="AL34" i="17"/>
  <c r="AM34" i="17"/>
  <c r="A35" i="17"/>
  <c r="B35" i="17"/>
  <c r="D35" i="17"/>
  <c r="E35" i="17"/>
  <c r="F35" i="17"/>
  <c r="G35" i="17"/>
  <c r="H35" i="17"/>
  <c r="I35" i="17"/>
  <c r="J35" i="17"/>
  <c r="K35" i="17"/>
  <c r="L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AE35" i="17"/>
  <c r="AF35" i="17"/>
  <c r="AG35" i="17"/>
  <c r="AH35" i="17"/>
  <c r="AI35" i="17"/>
  <c r="AJ35" i="17"/>
  <c r="AK35" i="17"/>
  <c r="AL35" i="17"/>
  <c r="AM35" i="17"/>
  <c r="A36" i="17"/>
  <c r="B36" i="17"/>
  <c r="D36" i="17"/>
  <c r="E36" i="17"/>
  <c r="F36" i="17"/>
  <c r="G36" i="17"/>
  <c r="H36" i="17"/>
  <c r="I36" i="17"/>
  <c r="J36" i="17"/>
  <c r="K36" i="17"/>
  <c r="L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AE36" i="17"/>
  <c r="AF36" i="17"/>
  <c r="AG36" i="17"/>
  <c r="AH36" i="17"/>
  <c r="AI36" i="17"/>
  <c r="AJ36" i="17"/>
  <c r="AK36" i="17"/>
  <c r="AL36" i="17"/>
  <c r="AM36" i="17"/>
  <c r="A37" i="17"/>
  <c r="B37" i="17"/>
  <c r="D37" i="17"/>
  <c r="E37" i="17"/>
  <c r="F37" i="17"/>
  <c r="G37" i="17"/>
  <c r="H37" i="17"/>
  <c r="I37" i="17"/>
  <c r="J37" i="17"/>
  <c r="K37" i="17"/>
  <c r="L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AD37" i="17"/>
  <c r="AE37" i="17"/>
  <c r="AF37" i="17"/>
  <c r="AG37" i="17"/>
  <c r="AH37" i="17"/>
  <c r="AI37" i="17"/>
  <c r="AJ37" i="17"/>
  <c r="AK37" i="17"/>
  <c r="AL37" i="17"/>
  <c r="AM37" i="17"/>
  <c r="A38" i="17"/>
  <c r="B38" i="17"/>
  <c r="D38" i="17"/>
  <c r="E38" i="17"/>
  <c r="F38" i="17"/>
  <c r="G38" i="17"/>
  <c r="H38" i="17"/>
  <c r="I38" i="17"/>
  <c r="J38" i="17"/>
  <c r="K38" i="17"/>
  <c r="L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39" i="17"/>
  <c r="B39" i="17"/>
  <c r="D39" i="17"/>
  <c r="E39" i="17"/>
  <c r="F39" i="17"/>
  <c r="G39" i="17"/>
  <c r="H39" i="17"/>
  <c r="I39" i="17"/>
  <c r="J39" i="17"/>
  <c r="K39" i="17"/>
  <c r="L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E39" i="17"/>
  <c r="AF39" i="17"/>
  <c r="AG39" i="17"/>
  <c r="AH39" i="17"/>
  <c r="AI39" i="17"/>
  <c r="AJ39" i="17"/>
  <c r="AK39" i="17"/>
  <c r="AL39" i="17"/>
  <c r="AM39" i="17"/>
  <c r="A40" i="17"/>
  <c r="B40" i="17"/>
  <c r="D40" i="17"/>
  <c r="E40" i="17"/>
  <c r="F40" i="17"/>
  <c r="G40" i="17"/>
  <c r="H40" i="17"/>
  <c r="I40" i="17"/>
  <c r="J40" i="17"/>
  <c r="K40" i="17"/>
  <c r="L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AD40" i="17"/>
  <c r="AE40" i="17"/>
  <c r="AF40" i="17"/>
  <c r="AG40" i="17"/>
  <c r="AH40" i="17"/>
  <c r="AI40" i="17"/>
  <c r="AJ40" i="17"/>
  <c r="AK40" i="17"/>
  <c r="AL40" i="17"/>
  <c r="AM40" i="17"/>
  <c r="A41" i="17"/>
  <c r="B41" i="17"/>
  <c r="D41" i="17"/>
  <c r="E41" i="17"/>
  <c r="F41" i="17"/>
  <c r="G41" i="17"/>
  <c r="H41" i="17"/>
  <c r="I41" i="17"/>
  <c r="J41" i="17"/>
  <c r="K41" i="17"/>
  <c r="L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42" i="17"/>
  <c r="B42" i="17"/>
  <c r="D42" i="17"/>
  <c r="E42" i="17"/>
  <c r="F42" i="17"/>
  <c r="G42" i="17"/>
  <c r="H42" i="17"/>
  <c r="I42" i="17"/>
  <c r="J42" i="17"/>
  <c r="K42" i="17"/>
  <c r="L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AD42" i="17"/>
  <c r="AE42" i="17"/>
  <c r="AF42" i="17"/>
  <c r="AG42" i="17"/>
  <c r="AH42" i="17"/>
  <c r="AI42" i="17"/>
  <c r="AJ42" i="17"/>
  <c r="AK42" i="17"/>
  <c r="AL42" i="17"/>
  <c r="AM42" i="17"/>
  <c r="A43" i="17"/>
  <c r="B43" i="17"/>
  <c r="D43" i="17"/>
  <c r="E43" i="17"/>
  <c r="F43" i="17"/>
  <c r="G43" i="17"/>
  <c r="H43" i="17"/>
  <c r="I43" i="17"/>
  <c r="J43" i="17"/>
  <c r="K43" i="17"/>
  <c r="L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AD43" i="17"/>
  <c r="AE43" i="17"/>
  <c r="AF43" i="17"/>
  <c r="AG43" i="17"/>
  <c r="AH43" i="17"/>
  <c r="AI43" i="17"/>
  <c r="AJ43" i="17"/>
  <c r="AK43" i="17"/>
  <c r="AL43" i="17"/>
  <c r="AM43" i="17"/>
  <c r="A44" i="17"/>
  <c r="B44" i="17"/>
  <c r="D44" i="17"/>
  <c r="E44" i="17"/>
  <c r="F44" i="17"/>
  <c r="G44" i="17"/>
  <c r="H44" i="17"/>
  <c r="I44" i="17"/>
  <c r="J44" i="17"/>
  <c r="K44" i="17"/>
  <c r="L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45" i="17"/>
  <c r="B45" i="17"/>
  <c r="D45" i="17"/>
  <c r="E45" i="17"/>
  <c r="F45" i="17"/>
  <c r="G45" i="17"/>
  <c r="H45" i="17"/>
  <c r="I45" i="17"/>
  <c r="J45" i="17"/>
  <c r="K45" i="17"/>
  <c r="L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AD45" i="17"/>
  <c r="AE45" i="17"/>
  <c r="AF45" i="17"/>
  <c r="AG45" i="17"/>
  <c r="AH45" i="17"/>
  <c r="AI45" i="17"/>
  <c r="AJ45" i="17"/>
  <c r="AK45" i="17"/>
  <c r="AL45" i="17"/>
  <c r="AM45" i="17"/>
  <c r="A46" i="17"/>
  <c r="B46" i="17"/>
  <c r="D46" i="17"/>
  <c r="E46" i="17"/>
  <c r="F46" i="17"/>
  <c r="G46" i="17"/>
  <c r="H46" i="17"/>
  <c r="I46" i="17"/>
  <c r="J46" i="17"/>
  <c r="K46" i="17"/>
  <c r="L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AD46" i="17"/>
  <c r="AE46" i="17"/>
  <c r="AF46" i="17"/>
  <c r="AG46" i="17"/>
  <c r="AH46" i="17"/>
  <c r="AI46" i="17"/>
  <c r="AJ46" i="17"/>
  <c r="AK46" i="17"/>
  <c r="AL46" i="17"/>
  <c r="AM46" i="17"/>
  <c r="A47" i="17"/>
  <c r="B47" i="17"/>
  <c r="D47" i="17"/>
  <c r="E47" i="17"/>
  <c r="F47" i="17"/>
  <c r="G47" i="17"/>
  <c r="H47" i="17"/>
  <c r="I47" i="17"/>
  <c r="J47" i="17"/>
  <c r="K47" i="17"/>
  <c r="L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AD47" i="17"/>
  <c r="AE47" i="17"/>
  <c r="AF47" i="17"/>
  <c r="AG47" i="17"/>
  <c r="AH47" i="17"/>
  <c r="AI47" i="17"/>
  <c r="AJ47" i="17"/>
  <c r="AK47" i="17"/>
  <c r="AL47" i="17"/>
  <c r="AM47" i="17"/>
  <c r="A48" i="17"/>
  <c r="B48" i="17"/>
  <c r="D48" i="17"/>
  <c r="E48" i="17"/>
  <c r="F48" i="17"/>
  <c r="G48" i="17"/>
  <c r="H48" i="17"/>
  <c r="I48" i="17"/>
  <c r="J48" i="17"/>
  <c r="K48" i="17"/>
  <c r="L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AD48" i="17"/>
  <c r="AE48" i="17"/>
  <c r="AF48" i="17"/>
  <c r="AG48" i="17"/>
  <c r="AH48" i="17"/>
  <c r="AI48" i="17"/>
  <c r="AJ48" i="17"/>
  <c r="AK48" i="17"/>
  <c r="AL48" i="17"/>
  <c r="AM48" i="17"/>
  <c r="A49" i="17"/>
  <c r="B49" i="17"/>
  <c r="D49" i="17"/>
  <c r="E49" i="17"/>
  <c r="F49" i="17"/>
  <c r="G49" i="17"/>
  <c r="H49" i="17"/>
  <c r="I49" i="17"/>
  <c r="J49" i="17"/>
  <c r="K49" i="17"/>
  <c r="L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AD49" i="17"/>
  <c r="AE49" i="17"/>
  <c r="AF49" i="17"/>
  <c r="AG49" i="17"/>
  <c r="AH49" i="17"/>
  <c r="AI49" i="17"/>
  <c r="AJ49" i="17"/>
  <c r="AK49" i="17"/>
  <c r="AL49" i="17"/>
  <c r="AM49" i="17"/>
  <c r="A50" i="17"/>
  <c r="B50" i="17"/>
  <c r="D50" i="17"/>
  <c r="E50" i="17"/>
  <c r="F50" i="17"/>
  <c r="G50" i="17"/>
  <c r="H50" i="17"/>
  <c r="I50" i="17"/>
  <c r="J50" i="17"/>
  <c r="K50" i="17"/>
  <c r="L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AD50" i="17"/>
  <c r="AE50" i="17"/>
  <c r="AF50" i="17"/>
  <c r="AG50" i="17"/>
  <c r="AH50" i="17"/>
  <c r="AI50" i="17"/>
  <c r="AJ50" i="17"/>
  <c r="AK50" i="17"/>
  <c r="AL50" i="17"/>
  <c r="AM50" i="17"/>
  <c r="A51" i="17"/>
  <c r="B51" i="17"/>
  <c r="D51" i="17"/>
  <c r="E51" i="17"/>
  <c r="F51" i="17"/>
  <c r="G51" i="17"/>
  <c r="H51" i="17"/>
  <c r="I51" i="17"/>
  <c r="J51" i="17"/>
  <c r="K51" i="17"/>
  <c r="L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AD51" i="17"/>
  <c r="AE51" i="17"/>
  <c r="AF51" i="17"/>
  <c r="AG51" i="17"/>
  <c r="AH51" i="17"/>
  <c r="AI51" i="17"/>
  <c r="AJ51" i="17"/>
  <c r="AK51" i="17"/>
  <c r="AL51" i="17"/>
  <c r="AM51" i="17"/>
  <c r="AN51" i="17"/>
  <c r="A52" i="17"/>
  <c r="B52" i="17"/>
  <c r="D52" i="17"/>
  <c r="E52" i="17"/>
  <c r="F52" i="17"/>
  <c r="G52" i="17"/>
  <c r="H52" i="17"/>
  <c r="I52" i="17"/>
  <c r="J52" i="17"/>
  <c r="K52" i="17"/>
  <c r="L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AD52" i="17"/>
  <c r="AE52" i="17"/>
  <c r="AF52" i="17"/>
  <c r="AG52" i="17"/>
  <c r="AH52" i="17"/>
  <c r="AI52" i="17"/>
  <c r="AJ52" i="17"/>
  <c r="AK52" i="17"/>
  <c r="AL52" i="17"/>
  <c r="AM52" i="17"/>
  <c r="A53" i="17"/>
  <c r="B53" i="17"/>
  <c r="D53" i="17"/>
  <c r="E53" i="17"/>
  <c r="F53" i="17"/>
  <c r="G53" i="17"/>
  <c r="H53" i="17"/>
  <c r="I53" i="17"/>
  <c r="J53" i="17"/>
  <c r="K53" i="17"/>
  <c r="L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AD53" i="17"/>
  <c r="AE53" i="17"/>
  <c r="AF53" i="17"/>
  <c r="AG53" i="17"/>
  <c r="AH53" i="17"/>
  <c r="AI53" i="17"/>
  <c r="AJ53" i="17"/>
  <c r="AK53" i="17"/>
  <c r="AL53" i="17"/>
  <c r="AM53" i="17"/>
  <c r="A54" i="17"/>
  <c r="B54" i="17"/>
  <c r="D54" i="17"/>
  <c r="E54" i="17"/>
  <c r="F54" i="17"/>
  <c r="G54" i="17"/>
  <c r="H54" i="17"/>
  <c r="I54" i="17"/>
  <c r="J54" i="17"/>
  <c r="K54" i="17"/>
  <c r="L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AD54" i="17"/>
  <c r="AE54" i="17"/>
  <c r="AF54" i="17"/>
  <c r="AG54" i="17"/>
  <c r="AH54" i="17"/>
  <c r="AI54" i="17"/>
  <c r="AJ54" i="17"/>
  <c r="AK54" i="17"/>
  <c r="AL54" i="17"/>
  <c r="AM54" i="17"/>
  <c r="A55" i="17"/>
  <c r="B55" i="17"/>
  <c r="D55" i="17"/>
  <c r="E55" i="17"/>
  <c r="F55" i="17"/>
  <c r="G55" i="17"/>
  <c r="H55" i="17"/>
  <c r="I55" i="17"/>
  <c r="J55" i="17"/>
  <c r="K55" i="17"/>
  <c r="L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56" i="17"/>
  <c r="B56" i="17"/>
  <c r="D56" i="17"/>
  <c r="E56" i="17"/>
  <c r="F56" i="17"/>
  <c r="G56" i="17"/>
  <c r="H56" i="17"/>
  <c r="I56" i="17"/>
  <c r="J56" i="17"/>
  <c r="K56" i="17"/>
  <c r="L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AD56" i="17"/>
  <c r="AE56" i="17"/>
  <c r="AF56" i="17"/>
  <c r="AG56" i="17"/>
  <c r="AH56" i="17"/>
  <c r="AI56" i="17"/>
  <c r="AJ56" i="17"/>
  <c r="AK56" i="17"/>
  <c r="AL56" i="17"/>
  <c r="AM56" i="17"/>
  <c r="A57" i="17"/>
  <c r="B57" i="17"/>
  <c r="D57" i="17"/>
  <c r="E57" i="17"/>
  <c r="F57" i="17"/>
  <c r="G57" i="17"/>
  <c r="H57" i="17"/>
  <c r="I57" i="17"/>
  <c r="J57" i="17"/>
  <c r="K57" i="17"/>
  <c r="L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AD57" i="17"/>
  <c r="AE57" i="17"/>
  <c r="AF57" i="17"/>
  <c r="AG57" i="17"/>
  <c r="AH57" i="17"/>
  <c r="AI57" i="17"/>
  <c r="AJ57" i="17"/>
  <c r="AK57" i="17"/>
  <c r="AL57" i="17"/>
  <c r="AM57" i="17"/>
  <c r="A58" i="17"/>
  <c r="B58" i="17"/>
  <c r="D58" i="17"/>
  <c r="E58" i="17"/>
  <c r="F58" i="17"/>
  <c r="G58" i="17"/>
  <c r="H58" i="17"/>
  <c r="I58" i="17"/>
  <c r="J58" i="17"/>
  <c r="K58" i="17"/>
  <c r="L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AD58" i="17"/>
  <c r="AE58" i="17"/>
  <c r="AF58" i="17"/>
  <c r="AG58" i="17"/>
  <c r="AH58" i="17"/>
  <c r="AI58" i="17"/>
  <c r="AJ58" i="17"/>
  <c r="AK58" i="17"/>
  <c r="AL58" i="17"/>
  <c r="AM58" i="17"/>
  <c r="A59" i="17"/>
  <c r="B59" i="17"/>
  <c r="D59" i="17"/>
  <c r="E59" i="17"/>
  <c r="F59" i="17"/>
  <c r="G59" i="17"/>
  <c r="H59" i="17"/>
  <c r="I59" i="17"/>
  <c r="J59" i="17"/>
  <c r="K59" i="17"/>
  <c r="L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AD59" i="17"/>
  <c r="AE59" i="17"/>
  <c r="AF59" i="17"/>
  <c r="AG59" i="17"/>
  <c r="AH59" i="17"/>
  <c r="AI59" i="17"/>
  <c r="AJ59" i="17"/>
  <c r="AK59" i="17"/>
  <c r="AL59" i="17"/>
  <c r="AM59" i="17"/>
  <c r="A60" i="17"/>
  <c r="B60" i="17"/>
  <c r="D60" i="17"/>
  <c r="E60" i="17"/>
  <c r="F60" i="17"/>
  <c r="G60" i="17"/>
  <c r="H60" i="17"/>
  <c r="I60" i="17"/>
  <c r="J60" i="17"/>
  <c r="K60" i="17"/>
  <c r="L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AD60" i="17"/>
  <c r="AE60" i="17"/>
  <c r="AF60" i="17"/>
  <c r="AG60" i="17"/>
  <c r="AH60" i="17"/>
  <c r="AI60" i="17"/>
  <c r="AJ60" i="17"/>
  <c r="AK60" i="17"/>
  <c r="AL60" i="17"/>
  <c r="AM60" i="17"/>
  <c r="A61" i="17"/>
  <c r="B61" i="17"/>
  <c r="D61" i="17"/>
  <c r="E61" i="17"/>
  <c r="F61" i="17"/>
  <c r="G61" i="17"/>
  <c r="H61" i="17"/>
  <c r="I61" i="17"/>
  <c r="J61" i="17"/>
  <c r="K61" i="17"/>
  <c r="L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AD61" i="17"/>
  <c r="AE61" i="17"/>
  <c r="AF61" i="17"/>
  <c r="AG61" i="17"/>
  <c r="AH61" i="17"/>
  <c r="AI61" i="17"/>
  <c r="AJ61" i="17"/>
  <c r="AK61" i="17"/>
  <c r="AL61" i="17"/>
  <c r="AM61" i="17"/>
  <c r="A62" i="17"/>
  <c r="B62" i="17"/>
  <c r="D62" i="17"/>
  <c r="E62" i="17"/>
  <c r="F62" i="17"/>
  <c r="G62" i="17"/>
  <c r="H62" i="17"/>
  <c r="I62" i="17"/>
  <c r="J62" i="17"/>
  <c r="K62" i="17"/>
  <c r="L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AD62" i="17"/>
  <c r="AE62" i="17"/>
  <c r="AF62" i="17"/>
  <c r="AG62" i="17"/>
  <c r="AH62" i="17"/>
  <c r="AI62" i="17"/>
  <c r="AJ62" i="17"/>
  <c r="AK62" i="17"/>
  <c r="AL62" i="17"/>
  <c r="AM62" i="17"/>
  <c r="A63" i="17"/>
  <c r="B63" i="17"/>
  <c r="D63" i="17"/>
  <c r="E63" i="17"/>
  <c r="F63" i="17"/>
  <c r="G63" i="17"/>
  <c r="H63" i="17"/>
  <c r="I63" i="17"/>
  <c r="J63" i="17"/>
  <c r="K63" i="17"/>
  <c r="L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AD63" i="17"/>
  <c r="AE63" i="17"/>
  <c r="AF63" i="17"/>
  <c r="AG63" i="17"/>
  <c r="AH63" i="17"/>
  <c r="AI63" i="17"/>
  <c r="AJ63" i="17"/>
  <c r="AK63" i="17"/>
  <c r="AL63" i="17"/>
  <c r="AM63" i="17"/>
  <c r="A64" i="17"/>
  <c r="B64" i="17"/>
  <c r="D64" i="17"/>
  <c r="E64" i="17"/>
  <c r="F64" i="17"/>
  <c r="G64" i="17"/>
  <c r="H64" i="17"/>
  <c r="I64" i="17"/>
  <c r="J64" i="17"/>
  <c r="K64" i="17"/>
  <c r="L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AD64" i="17"/>
  <c r="AE64" i="17"/>
  <c r="AF64" i="17"/>
  <c r="AG64" i="17"/>
  <c r="AH64" i="17"/>
  <c r="AI64" i="17"/>
  <c r="AJ64" i="17"/>
  <c r="AK64" i="17"/>
  <c r="AL64" i="17"/>
  <c r="AM64" i="17"/>
  <c r="A65" i="17"/>
  <c r="B65" i="17"/>
  <c r="D65" i="17"/>
  <c r="E65" i="17"/>
  <c r="F65" i="17"/>
  <c r="G65" i="17"/>
  <c r="H65" i="17"/>
  <c r="I65" i="17"/>
  <c r="J65" i="17"/>
  <c r="K65" i="17"/>
  <c r="L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AD65" i="17"/>
  <c r="AE65" i="17"/>
  <c r="AF65" i="17"/>
  <c r="AG65" i="17"/>
  <c r="AH65" i="17"/>
  <c r="AI65" i="17"/>
  <c r="AJ65" i="17"/>
  <c r="AK65" i="17"/>
  <c r="AL65" i="17"/>
  <c r="AM65" i="17"/>
  <c r="A66" i="17"/>
  <c r="B66" i="17"/>
  <c r="D66" i="17"/>
  <c r="E66" i="17"/>
  <c r="F66" i="17"/>
  <c r="G66" i="17"/>
  <c r="H66" i="17"/>
  <c r="I66" i="17"/>
  <c r="J66" i="17"/>
  <c r="K66" i="17"/>
  <c r="L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AH66" i="17"/>
  <c r="AI66" i="17"/>
  <c r="AJ66" i="17"/>
  <c r="AK66" i="17"/>
  <c r="AL66" i="17"/>
  <c r="AM66" i="17"/>
  <c r="A67" i="17"/>
  <c r="B67" i="17"/>
  <c r="D67" i="17"/>
  <c r="E67" i="17"/>
  <c r="F67" i="17"/>
  <c r="G67" i="17"/>
  <c r="H67" i="17"/>
  <c r="I67" i="17"/>
  <c r="J67" i="17"/>
  <c r="K67" i="17"/>
  <c r="L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AD67" i="17"/>
  <c r="AE67" i="17"/>
  <c r="AF67" i="17"/>
  <c r="AG67" i="17"/>
  <c r="AH67" i="17"/>
  <c r="AI67" i="17"/>
  <c r="AJ67" i="17"/>
  <c r="AK67" i="17"/>
  <c r="AL67" i="17"/>
  <c r="AM67" i="17"/>
  <c r="A68" i="17"/>
  <c r="B68" i="17"/>
  <c r="D68" i="17"/>
  <c r="E68" i="17"/>
  <c r="F68" i="17"/>
  <c r="G68" i="17"/>
  <c r="H68" i="17"/>
  <c r="I68" i="17"/>
  <c r="J68" i="17"/>
  <c r="K68" i="17"/>
  <c r="L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AD68" i="17"/>
  <c r="AE68" i="17"/>
  <c r="AF68" i="17"/>
  <c r="AG68" i="17"/>
  <c r="AH68" i="17"/>
  <c r="AI68" i="17"/>
  <c r="AJ68" i="17"/>
  <c r="AK68" i="17"/>
  <c r="AL68" i="17"/>
  <c r="AM68" i="17"/>
  <c r="A69" i="17"/>
  <c r="B69" i="17"/>
  <c r="D69" i="17"/>
  <c r="E69" i="17"/>
  <c r="F69" i="17"/>
  <c r="G69" i="17"/>
  <c r="H69" i="17"/>
  <c r="I69" i="17"/>
  <c r="J69" i="17"/>
  <c r="K69" i="17"/>
  <c r="L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AD69" i="17"/>
  <c r="AE69" i="17"/>
  <c r="AF69" i="17"/>
  <c r="AG69" i="17"/>
  <c r="AH69" i="17"/>
  <c r="AI69" i="17"/>
  <c r="AJ69" i="17"/>
  <c r="AK69" i="17"/>
  <c r="AL69" i="17"/>
  <c r="AM69" i="17"/>
  <c r="A70" i="17"/>
  <c r="B70" i="17"/>
  <c r="D70" i="17"/>
  <c r="E70" i="17"/>
  <c r="F70" i="17"/>
  <c r="G70" i="17"/>
  <c r="H70" i="17"/>
  <c r="I70" i="17"/>
  <c r="J70" i="17"/>
  <c r="K70" i="17"/>
  <c r="L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AD70" i="17"/>
  <c r="AE70" i="17"/>
  <c r="AF70" i="17"/>
  <c r="AG70" i="17"/>
  <c r="AH70" i="17"/>
  <c r="AI70" i="17"/>
  <c r="AJ70" i="17"/>
  <c r="AK70" i="17"/>
  <c r="AL70" i="17"/>
  <c r="AM70" i="17"/>
  <c r="A71" i="17"/>
  <c r="B71" i="17"/>
  <c r="D71" i="17"/>
  <c r="E71" i="17"/>
  <c r="F71" i="17"/>
  <c r="G71" i="17"/>
  <c r="H71" i="17"/>
  <c r="I71" i="17"/>
  <c r="J71" i="17"/>
  <c r="K71" i="17"/>
  <c r="L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AD71" i="17"/>
  <c r="AE71" i="17"/>
  <c r="AF71" i="17"/>
  <c r="AG71" i="17"/>
  <c r="AH71" i="17"/>
  <c r="AI71" i="17"/>
  <c r="AJ71" i="17"/>
  <c r="AK71" i="17"/>
  <c r="AL71" i="17"/>
  <c r="AM71" i="17"/>
  <c r="A72" i="17"/>
  <c r="B72" i="17"/>
  <c r="D72" i="17"/>
  <c r="E72" i="17"/>
  <c r="F72" i="17"/>
  <c r="G72" i="17"/>
  <c r="H72" i="17"/>
  <c r="I72" i="17"/>
  <c r="J72" i="17"/>
  <c r="K72" i="17"/>
  <c r="L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AD72" i="17"/>
  <c r="AE72" i="17"/>
  <c r="AF72" i="17"/>
  <c r="AG72" i="17"/>
  <c r="AH72" i="17"/>
  <c r="AI72" i="17"/>
  <c r="AJ72" i="17"/>
  <c r="AK72" i="17"/>
  <c r="AL72" i="17"/>
  <c r="AM72" i="17"/>
  <c r="A73" i="17"/>
  <c r="B73" i="17"/>
  <c r="D73" i="17"/>
  <c r="E73" i="17"/>
  <c r="F73" i="17"/>
  <c r="G73" i="17"/>
  <c r="H73" i="17"/>
  <c r="I73" i="17"/>
  <c r="J73" i="17"/>
  <c r="K73" i="17"/>
  <c r="L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AD73" i="17"/>
  <c r="AE73" i="17"/>
  <c r="AF73" i="17"/>
  <c r="AG73" i="17"/>
  <c r="AH73" i="17"/>
  <c r="AI73" i="17"/>
  <c r="AJ73" i="17"/>
  <c r="AK73" i="17"/>
  <c r="AL73" i="17"/>
  <c r="AM73" i="17"/>
  <c r="A74" i="17"/>
  <c r="B74" i="17"/>
  <c r="D74" i="17"/>
  <c r="E74" i="17"/>
  <c r="F74" i="17"/>
  <c r="G74" i="17"/>
  <c r="H74" i="17"/>
  <c r="I74" i="17"/>
  <c r="J74" i="17"/>
  <c r="K74" i="17"/>
  <c r="L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AD74" i="17"/>
  <c r="AE74" i="17"/>
  <c r="AF74" i="17"/>
  <c r="AG74" i="17"/>
  <c r="AH74" i="17"/>
  <c r="AI74" i="17"/>
  <c r="AJ74" i="17"/>
  <c r="AK74" i="17"/>
  <c r="AL74" i="17"/>
  <c r="AM74" i="17"/>
  <c r="A75" i="17"/>
  <c r="B75" i="17"/>
  <c r="D75" i="17"/>
  <c r="E75" i="17"/>
  <c r="F75" i="17"/>
  <c r="G75" i="17"/>
  <c r="H75" i="17"/>
  <c r="I75" i="17"/>
  <c r="J75" i="17"/>
  <c r="K75" i="17"/>
  <c r="L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AD75" i="17"/>
  <c r="AE75" i="17"/>
  <c r="AF75" i="17"/>
  <c r="AG75" i="17"/>
  <c r="AH75" i="17"/>
  <c r="AI75" i="17"/>
  <c r="AJ75" i="17"/>
  <c r="AK75" i="17"/>
  <c r="AL75" i="17"/>
  <c r="AM75" i="17"/>
  <c r="A76" i="17"/>
  <c r="B76" i="17"/>
  <c r="D76" i="17"/>
  <c r="E76" i="17"/>
  <c r="F76" i="17"/>
  <c r="G76" i="17"/>
  <c r="H76" i="17"/>
  <c r="I76" i="17"/>
  <c r="J76" i="17"/>
  <c r="K76" i="17"/>
  <c r="L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AD76" i="17"/>
  <c r="AE76" i="17"/>
  <c r="AF76" i="17"/>
  <c r="AG76" i="17"/>
  <c r="AH76" i="17"/>
  <c r="AI76" i="17"/>
  <c r="AJ76" i="17"/>
  <c r="AK76" i="17"/>
  <c r="AL76" i="17"/>
  <c r="AM76" i="17"/>
  <c r="A77" i="17"/>
  <c r="B77" i="17"/>
  <c r="D77" i="17"/>
  <c r="E77" i="17"/>
  <c r="F77" i="17"/>
  <c r="G77" i="17"/>
  <c r="H77" i="17"/>
  <c r="I77" i="17"/>
  <c r="J77" i="17"/>
  <c r="K77" i="17"/>
  <c r="L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AD77" i="17"/>
  <c r="AE77" i="17"/>
  <c r="AF77" i="17"/>
  <c r="AG77" i="17"/>
  <c r="AH77" i="17"/>
  <c r="AI77" i="17"/>
  <c r="AJ77" i="17"/>
  <c r="AK77" i="17"/>
  <c r="AL77" i="17"/>
  <c r="AM77" i="17"/>
  <c r="A78" i="17"/>
  <c r="B78" i="17"/>
  <c r="D78" i="17"/>
  <c r="E78" i="17"/>
  <c r="F78" i="17"/>
  <c r="G78" i="17"/>
  <c r="H78" i="17"/>
  <c r="I78" i="17"/>
  <c r="J78" i="17"/>
  <c r="K78" i="17"/>
  <c r="L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AD78" i="17"/>
  <c r="AE78" i="17"/>
  <c r="AF78" i="17"/>
  <c r="AG78" i="17"/>
  <c r="AH78" i="17"/>
  <c r="AI78" i="17"/>
  <c r="AJ78" i="17"/>
  <c r="AK78" i="17"/>
  <c r="AL78" i="17"/>
  <c r="AM78" i="17"/>
  <c r="A79" i="17"/>
  <c r="B79" i="17"/>
  <c r="D79" i="17"/>
  <c r="E79" i="17"/>
  <c r="F79" i="17"/>
  <c r="G79" i="17"/>
  <c r="H79" i="17"/>
  <c r="I79" i="17"/>
  <c r="J79" i="17"/>
  <c r="K79" i="17"/>
  <c r="L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AD79" i="17"/>
  <c r="AE79" i="17"/>
  <c r="AF79" i="17"/>
  <c r="AG79" i="17"/>
  <c r="AH79" i="17"/>
  <c r="AI79" i="17"/>
  <c r="AJ79" i="17"/>
  <c r="AK79" i="17"/>
  <c r="AL79" i="17"/>
  <c r="AM79" i="17"/>
  <c r="A80" i="17"/>
  <c r="B80" i="17"/>
  <c r="D80" i="17"/>
  <c r="E80" i="17"/>
  <c r="F80" i="17"/>
  <c r="G80" i="17"/>
  <c r="H80" i="17"/>
  <c r="I80" i="17"/>
  <c r="J80" i="17"/>
  <c r="K80" i="17"/>
  <c r="L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AD80" i="17"/>
  <c r="AE80" i="17"/>
  <c r="AF80" i="17"/>
  <c r="AG80" i="17"/>
  <c r="AH80" i="17"/>
  <c r="AI80" i="17"/>
  <c r="AJ80" i="17"/>
  <c r="AK80" i="17"/>
  <c r="AL80" i="17"/>
  <c r="AM80" i="17"/>
  <c r="A81" i="17"/>
  <c r="B81" i="17"/>
  <c r="D81" i="17"/>
  <c r="E81" i="17"/>
  <c r="F81" i="17"/>
  <c r="G81" i="17"/>
  <c r="H81" i="17"/>
  <c r="I81" i="17"/>
  <c r="J81" i="17"/>
  <c r="K81" i="17"/>
  <c r="L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AD81" i="17"/>
  <c r="AE81" i="17"/>
  <c r="AF81" i="17"/>
  <c r="AG81" i="17"/>
  <c r="AH81" i="17"/>
  <c r="AI81" i="17"/>
  <c r="AJ81" i="17"/>
  <c r="AK81" i="17"/>
  <c r="AL81" i="17"/>
  <c r="AM81" i="17"/>
  <c r="A82" i="17"/>
  <c r="B82" i="17"/>
  <c r="D82" i="17"/>
  <c r="E82" i="17"/>
  <c r="F82" i="17"/>
  <c r="G82" i="17"/>
  <c r="H82" i="17"/>
  <c r="I82" i="17"/>
  <c r="J82" i="17"/>
  <c r="K82" i="17"/>
  <c r="L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AD82" i="17"/>
  <c r="AE82" i="17"/>
  <c r="AF82" i="17"/>
  <c r="AG82" i="17"/>
  <c r="AH82" i="17"/>
  <c r="AI82" i="17"/>
  <c r="AJ82" i="17"/>
  <c r="AK82" i="17"/>
  <c r="AL82" i="17"/>
  <c r="AM82" i="17"/>
  <c r="A83" i="17"/>
  <c r="B83" i="17"/>
  <c r="D83" i="17"/>
  <c r="E83" i="17"/>
  <c r="F83" i="17"/>
  <c r="G83" i="17"/>
  <c r="H83" i="17"/>
  <c r="I83" i="17"/>
  <c r="J83" i="17"/>
  <c r="K83" i="17"/>
  <c r="L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AD83" i="17"/>
  <c r="AE83" i="17"/>
  <c r="AF83" i="17"/>
  <c r="AG83" i="17"/>
  <c r="AH83" i="17"/>
  <c r="AI83" i="17"/>
  <c r="AJ83" i="17"/>
  <c r="AK83" i="17"/>
  <c r="AL83" i="17"/>
  <c r="AM83" i="17"/>
  <c r="A84" i="17"/>
  <c r="B84" i="17"/>
  <c r="D84" i="17"/>
  <c r="E84" i="17"/>
  <c r="F84" i="17"/>
  <c r="G84" i="17"/>
  <c r="H84" i="17"/>
  <c r="I84" i="17"/>
  <c r="J84" i="17"/>
  <c r="K84" i="17"/>
  <c r="L84" i="17"/>
  <c r="O84" i="17"/>
  <c r="P84" i="17"/>
  <c r="Q84" i="17"/>
  <c r="R84" i="17"/>
  <c r="S84" i="17"/>
  <c r="T84" i="17"/>
  <c r="U84" i="17"/>
  <c r="V84" i="17"/>
  <c r="W84" i="17"/>
  <c r="X84" i="17"/>
  <c r="Y84" i="17"/>
  <c r="Z84" i="17"/>
  <c r="AA84" i="17"/>
  <c r="AB84" i="17"/>
  <c r="AC84" i="17"/>
  <c r="AD84" i="17"/>
  <c r="AE84" i="17"/>
  <c r="AF84" i="17"/>
  <c r="AG84" i="17"/>
  <c r="AH84" i="17"/>
  <c r="AI84" i="17"/>
  <c r="AJ84" i="17"/>
  <c r="AK84" i="17"/>
  <c r="AL84" i="17"/>
  <c r="AM84" i="17"/>
  <c r="A85" i="17"/>
  <c r="B85" i="17"/>
  <c r="D85" i="17"/>
  <c r="E85" i="17"/>
  <c r="F85" i="17"/>
  <c r="G85" i="17"/>
  <c r="H85" i="17"/>
  <c r="I85" i="17"/>
  <c r="J85" i="17"/>
  <c r="K85" i="17"/>
  <c r="L85" i="17"/>
  <c r="O85" i="17"/>
  <c r="P85" i="17"/>
  <c r="Q85" i="17"/>
  <c r="R85" i="17"/>
  <c r="S85" i="17"/>
  <c r="T85" i="17"/>
  <c r="U85" i="17"/>
  <c r="V85" i="17"/>
  <c r="W85" i="17"/>
  <c r="X85" i="17"/>
  <c r="Y85" i="17"/>
  <c r="Z85" i="17"/>
  <c r="AA85" i="17"/>
  <c r="AB85" i="17"/>
  <c r="AC85" i="17"/>
  <c r="AD85" i="17"/>
  <c r="AE85" i="17"/>
  <c r="AF85" i="17"/>
  <c r="AG85" i="17"/>
  <c r="AH85" i="17"/>
  <c r="AI85" i="17"/>
  <c r="AJ85" i="17"/>
  <c r="AK85" i="17"/>
  <c r="AL85" i="17"/>
  <c r="AM85" i="17"/>
  <c r="A86" i="17"/>
  <c r="B86" i="17"/>
  <c r="D86" i="17"/>
  <c r="E86" i="17"/>
  <c r="F86" i="17"/>
  <c r="G86" i="17"/>
  <c r="H86" i="17"/>
  <c r="I86" i="17"/>
  <c r="J86" i="17"/>
  <c r="K86" i="17"/>
  <c r="L86" i="17"/>
  <c r="O86" i="17"/>
  <c r="P86" i="17"/>
  <c r="Q86" i="17"/>
  <c r="R86" i="17"/>
  <c r="S86" i="17"/>
  <c r="T86" i="17"/>
  <c r="U86" i="17"/>
  <c r="V86" i="17"/>
  <c r="W86" i="17"/>
  <c r="X86" i="17"/>
  <c r="Y86" i="17"/>
  <c r="Z86" i="17"/>
  <c r="AA86" i="17"/>
  <c r="AB86" i="17"/>
  <c r="AC86" i="17"/>
  <c r="AD86" i="17"/>
  <c r="AE86" i="17"/>
  <c r="AF86" i="17"/>
  <c r="AG86" i="17"/>
  <c r="AH86" i="17"/>
  <c r="AI86" i="17"/>
  <c r="AJ86" i="17"/>
  <c r="AK86" i="17"/>
  <c r="AL86" i="17"/>
  <c r="AM86" i="17"/>
  <c r="A87" i="17"/>
  <c r="B87" i="17"/>
  <c r="D87" i="17"/>
  <c r="E87" i="17"/>
  <c r="F87" i="17"/>
  <c r="G87" i="17"/>
  <c r="H87" i="17"/>
  <c r="I87" i="17"/>
  <c r="J87" i="17"/>
  <c r="K87" i="17"/>
  <c r="L87" i="17"/>
  <c r="O87" i="17"/>
  <c r="P87" i="17"/>
  <c r="Q87" i="17"/>
  <c r="R87" i="17"/>
  <c r="S87" i="17"/>
  <c r="T87" i="17"/>
  <c r="U87" i="17"/>
  <c r="V87" i="17"/>
  <c r="W87" i="17"/>
  <c r="X87" i="17"/>
  <c r="Y87" i="17"/>
  <c r="Z87" i="17"/>
  <c r="AA87" i="17"/>
  <c r="AB87" i="17"/>
  <c r="AC87" i="17"/>
  <c r="AD87" i="17"/>
  <c r="AE87" i="17"/>
  <c r="AF87" i="17"/>
  <c r="AG87" i="17"/>
  <c r="AH87" i="17"/>
  <c r="AI87" i="17"/>
  <c r="AJ87" i="17"/>
  <c r="AK87" i="17"/>
  <c r="AL87" i="17"/>
  <c r="AM87" i="17"/>
  <c r="A88" i="17"/>
  <c r="B88" i="17"/>
  <c r="D88" i="17"/>
  <c r="E88" i="17"/>
  <c r="F88" i="17"/>
  <c r="G88" i="17"/>
  <c r="H88" i="17"/>
  <c r="I88" i="17"/>
  <c r="J88" i="17"/>
  <c r="K88" i="17"/>
  <c r="L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89" i="17"/>
  <c r="B89" i="17"/>
  <c r="D89" i="17"/>
  <c r="E89" i="17"/>
  <c r="F89" i="17"/>
  <c r="G89" i="17"/>
  <c r="H89" i="17"/>
  <c r="I89" i="17"/>
  <c r="J89" i="17"/>
  <c r="K89" i="17"/>
  <c r="L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90" i="17"/>
  <c r="B90" i="17"/>
  <c r="D90" i="17"/>
  <c r="E90" i="17"/>
  <c r="F90" i="17"/>
  <c r="G90" i="17"/>
  <c r="H90" i="17"/>
  <c r="I90" i="17"/>
  <c r="J90" i="17"/>
  <c r="K90" i="17"/>
  <c r="L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91" i="17"/>
  <c r="B91" i="17"/>
  <c r="D91" i="17"/>
  <c r="E91" i="17"/>
  <c r="F91" i="17"/>
  <c r="G91" i="17"/>
  <c r="H91" i="17"/>
  <c r="I91" i="17"/>
  <c r="J91" i="17"/>
  <c r="K91" i="17"/>
  <c r="L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92" i="17"/>
  <c r="B92" i="17"/>
  <c r="D92" i="17"/>
  <c r="E92" i="17"/>
  <c r="F92" i="17"/>
  <c r="G92" i="17"/>
  <c r="H92" i="17"/>
  <c r="I92" i="17"/>
  <c r="J92" i="17"/>
  <c r="K92" i="17"/>
  <c r="L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93" i="17"/>
  <c r="B93" i="17"/>
  <c r="D93" i="17"/>
  <c r="E93" i="17"/>
  <c r="F93" i="17"/>
  <c r="G93" i="17"/>
  <c r="H93" i="17"/>
  <c r="I93" i="17"/>
  <c r="J93" i="17"/>
  <c r="K93" i="17"/>
  <c r="L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94" i="17"/>
  <c r="B94" i="17"/>
  <c r="D94" i="17"/>
  <c r="E94" i="17"/>
  <c r="F94" i="17"/>
  <c r="G94" i="17"/>
  <c r="H94" i="17"/>
  <c r="I94" i="17"/>
  <c r="J94" i="17"/>
  <c r="K94" i="17"/>
  <c r="L94" i="17"/>
  <c r="O94" i="17"/>
  <c r="P94" i="17"/>
  <c r="Q94" i="17"/>
  <c r="R94" i="17"/>
  <c r="S94" i="17"/>
  <c r="T94" i="17"/>
  <c r="U94" i="17"/>
  <c r="V94" i="17"/>
  <c r="W94" i="17"/>
  <c r="X94" i="17"/>
  <c r="Y94" i="17"/>
  <c r="Z94" i="17"/>
  <c r="AA94" i="17"/>
  <c r="AB94" i="17"/>
  <c r="AC94" i="17"/>
  <c r="AD94" i="17"/>
  <c r="AE94" i="17"/>
  <c r="AF94" i="17"/>
  <c r="AG94" i="17"/>
  <c r="AH94" i="17"/>
  <c r="AI94" i="17"/>
  <c r="AJ94" i="17"/>
  <c r="AK94" i="17"/>
  <c r="AL94" i="17"/>
  <c r="AM94" i="17"/>
  <c r="A95" i="17"/>
  <c r="B95" i="17"/>
  <c r="D95" i="17"/>
  <c r="E95" i="17"/>
  <c r="F95" i="17"/>
  <c r="G95" i="17"/>
  <c r="H95" i="17"/>
  <c r="I95" i="17"/>
  <c r="J95" i="17"/>
  <c r="K95" i="17"/>
  <c r="L95" i="17"/>
  <c r="O95" i="17"/>
  <c r="P95" i="17"/>
  <c r="Q95" i="17"/>
  <c r="R95" i="17"/>
  <c r="S95" i="17"/>
  <c r="T95" i="17"/>
  <c r="U95" i="17"/>
  <c r="V95" i="17"/>
  <c r="W95" i="17"/>
  <c r="X95" i="17"/>
  <c r="Y95" i="17"/>
  <c r="Z95" i="17"/>
  <c r="AA95" i="17"/>
  <c r="AB95" i="17"/>
  <c r="AC95" i="17"/>
  <c r="AD95" i="17"/>
  <c r="AE95" i="17"/>
  <c r="AF95" i="17"/>
  <c r="AG95" i="17"/>
  <c r="AH95" i="17"/>
  <c r="AI95" i="17"/>
  <c r="AJ95" i="17"/>
  <c r="AK95" i="17"/>
  <c r="AL95" i="17"/>
  <c r="AM95" i="17"/>
  <c r="A96" i="17"/>
  <c r="B96" i="17"/>
  <c r="D96" i="17"/>
  <c r="E96" i="17"/>
  <c r="F96" i="17"/>
  <c r="G96" i="17"/>
  <c r="H96" i="17"/>
  <c r="I96" i="17"/>
  <c r="J96" i="17"/>
  <c r="K96" i="17"/>
  <c r="L96" i="17"/>
  <c r="O96" i="17"/>
  <c r="P96" i="17"/>
  <c r="Q96" i="17"/>
  <c r="R96" i="17"/>
  <c r="S96" i="17"/>
  <c r="T96" i="17"/>
  <c r="U96" i="17"/>
  <c r="V96" i="17"/>
  <c r="W96" i="17"/>
  <c r="X96" i="17"/>
  <c r="Y96" i="17"/>
  <c r="Z96" i="17"/>
  <c r="AA96" i="17"/>
  <c r="AB96" i="17"/>
  <c r="AC96" i="17"/>
  <c r="AD96" i="17"/>
  <c r="AE96" i="17"/>
  <c r="AF96" i="17"/>
  <c r="AG96" i="17"/>
  <c r="AH96" i="17"/>
  <c r="AI96" i="17"/>
  <c r="AJ96" i="17"/>
  <c r="AK96" i="17"/>
  <c r="AL96" i="17"/>
  <c r="AM96" i="17"/>
  <c r="A97" i="17"/>
  <c r="B97" i="17"/>
  <c r="D97" i="17"/>
  <c r="E97" i="17"/>
  <c r="F97" i="17"/>
  <c r="G97" i="17"/>
  <c r="H97" i="17"/>
  <c r="I97" i="17"/>
  <c r="J97" i="17"/>
  <c r="K97" i="17"/>
  <c r="L97" i="17"/>
  <c r="O97" i="17"/>
  <c r="P97" i="17"/>
  <c r="Q97" i="17"/>
  <c r="R97" i="17"/>
  <c r="S97" i="17"/>
  <c r="T97" i="17"/>
  <c r="U97" i="17"/>
  <c r="V97" i="17"/>
  <c r="W97" i="17"/>
  <c r="X97" i="17"/>
  <c r="Y97" i="17"/>
  <c r="Z97" i="17"/>
  <c r="AA97" i="17"/>
  <c r="AB97" i="17"/>
  <c r="AC97" i="17"/>
  <c r="AD97" i="17"/>
  <c r="AE97" i="17"/>
  <c r="AF97" i="17"/>
  <c r="AG97" i="17"/>
  <c r="AH97" i="17"/>
  <c r="AI97" i="17"/>
  <c r="AJ97" i="17"/>
  <c r="AK97" i="17"/>
  <c r="AL97" i="17"/>
  <c r="AM97" i="17"/>
  <c r="A98" i="17"/>
  <c r="B98" i="17"/>
  <c r="D98" i="17"/>
  <c r="E98" i="17"/>
  <c r="F98" i="17"/>
  <c r="G98" i="17"/>
  <c r="H98" i="17"/>
  <c r="I98" i="17"/>
  <c r="J98" i="17"/>
  <c r="K98" i="17"/>
  <c r="L98" i="17"/>
  <c r="O98" i="17"/>
  <c r="P98" i="17"/>
  <c r="Q98" i="17"/>
  <c r="R98" i="17"/>
  <c r="S98" i="17"/>
  <c r="T98" i="17"/>
  <c r="U98" i="17"/>
  <c r="V98" i="17"/>
  <c r="W98" i="17"/>
  <c r="X98" i="17"/>
  <c r="Y98" i="17"/>
  <c r="Z98" i="17"/>
  <c r="AA98" i="17"/>
  <c r="AB98" i="17"/>
  <c r="AC98" i="17"/>
  <c r="AD98" i="17"/>
  <c r="AE98" i="17"/>
  <c r="AF98" i="17"/>
  <c r="AG98" i="17"/>
  <c r="AH98" i="17"/>
  <c r="AI98" i="17"/>
  <c r="AJ98" i="17"/>
  <c r="AK98" i="17"/>
  <c r="AL98" i="17"/>
  <c r="AM98" i="17"/>
  <c r="A99" i="17"/>
  <c r="B99" i="17"/>
  <c r="D99" i="17"/>
  <c r="E99" i="17"/>
  <c r="F99" i="17"/>
  <c r="G99" i="17"/>
  <c r="H99" i="17"/>
  <c r="I99" i="17"/>
  <c r="J99" i="17"/>
  <c r="K99" i="17"/>
  <c r="L99" i="17"/>
  <c r="O99" i="17"/>
  <c r="P99" i="17"/>
  <c r="Q99" i="17"/>
  <c r="R99" i="17"/>
  <c r="S99" i="17"/>
  <c r="T99" i="17"/>
  <c r="U99" i="17"/>
  <c r="V99" i="17"/>
  <c r="W99" i="17"/>
  <c r="X99" i="17"/>
  <c r="Y99" i="17"/>
  <c r="Z99" i="17"/>
  <c r="AA99" i="17"/>
  <c r="AB99" i="17"/>
  <c r="AC99" i="17"/>
  <c r="AD99" i="17"/>
  <c r="AE99" i="17"/>
  <c r="AF99" i="17"/>
  <c r="AG99" i="17"/>
  <c r="AH99" i="17"/>
  <c r="AI99" i="17"/>
  <c r="AJ99" i="17"/>
  <c r="AK99" i="17"/>
  <c r="AL99" i="17"/>
  <c r="AM99" i="17"/>
  <c r="A100" i="17"/>
  <c r="B100" i="17"/>
  <c r="D100" i="17"/>
  <c r="E100" i="17"/>
  <c r="F100" i="17"/>
  <c r="G100" i="17"/>
  <c r="H100" i="17"/>
  <c r="I100" i="17"/>
  <c r="J100" i="17"/>
  <c r="K100" i="17"/>
  <c r="L100" i="17"/>
  <c r="O100" i="17"/>
  <c r="P100" i="17"/>
  <c r="Q100" i="17"/>
  <c r="R100" i="17"/>
  <c r="S100" i="17"/>
  <c r="T100" i="17"/>
  <c r="U100" i="17"/>
  <c r="V100" i="17"/>
  <c r="W100" i="17"/>
  <c r="X100" i="17"/>
  <c r="Y100" i="17"/>
  <c r="Z100" i="17"/>
  <c r="AA100" i="17"/>
  <c r="AB100" i="17"/>
  <c r="AC100" i="17"/>
  <c r="AD100" i="17"/>
  <c r="AE100" i="17"/>
  <c r="AF100" i="17"/>
  <c r="AG100" i="17"/>
  <c r="AH100" i="17"/>
  <c r="AI100" i="17"/>
  <c r="AJ100" i="17"/>
  <c r="AK100" i="17"/>
  <c r="AL100" i="17"/>
  <c r="AM100" i="17"/>
  <c r="A101" i="17"/>
  <c r="B101" i="17"/>
  <c r="D101" i="17"/>
  <c r="E101" i="17"/>
  <c r="F101" i="17"/>
  <c r="G101" i="17"/>
  <c r="H101" i="17"/>
  <c r="I101" i="17"/>
  <c r="J101" i="17"/>
  <c r="K101" i="17"/>
  <c r="L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102" i="17"/>
  <c r="B102" i="17"/>
  <c r="D102" i="17"/>
  <c r="E102" i="17"/>
  <c r="F102" i="17"/>
  <c r="G102" i="17"/>
  <c r="H102" i="17"/>
  <c r="I102" i="17"/>
  <c r="J102" i="17"/>
  <c r="K102" i="17"/>
  <c r="L102" i="17"/>
  <c r="O102" i="17"/>
  <c r="P102" i="17"/>
  <c r="Q102" i="17"/>
  <c r="R102" i="17"/>
  <c r="S102" i="17"/>
  <c r="T102" i="17"/>
  <c r="U102" i="17"/>
  <c r="V102" i="17"/>
  <c r="W102" i="17"/>
  <c r="X102" i="17"/>
  <c r="Y102" i="17"/>
  <c r="Z102" i="17"/>
  <c r="AA102" i="17"/>
  <c r="AB102" i="17"/>
  <c r="AC102" i="17"/>
  <c r="AD102" i="17"/>
  <c r="AE102" i="17"/>
  <c r="AF102" i="17"/>
  <c r="AG102" i="17"/>
  <c r="AH102" i="17"/>
  <c r="AI102" i="17"/>
  <c r="AJ102" i="17"/>
  <c r="AK102" i="17"/>
  <c r="AL102" i="17"/>
  <c r="AM102" i="17"/>
  <c r="A103" i="17"/>
  <c r="B103" i="17"/>
  <c r="D103" i="17"/>
  <c r="E103" i="17"/>
  <c r="F103" i="17"/>
  <c r="G103" i="17"/>
  <c r="H103" i="17"/>
  <c r="I103" i="17"/>
  <c r="J103" i="17"/>
  <c r="K103" i="17"/>
  <c r="L103" i="17"/>
  <c r="O103" i="17"/>
  <c r="P103" i="17"/>
  <c r="Q103" i="17"/>
  <c r="R103" i="17"/>
  <c r="S103" i="17"/>
  <c r="T103" i="17"/>
  <c r="U103" i="17"/>
  <c r="V103" i="17"/>
  <c r="W103" i="17"/>
  <c r="X103" i="17"/>
  <c r="Y103" i="17"/>
  <c r="Z103" i="17"/>
  <c r="AA103" i="17"/>
  <c r="AB103" i="17"/>
  <c r="AC103" i="17"/>
  <c r="AD103" i="17"/>
  <c r="AE103" i="17"/>
  <c r="AF103" i="17"/>
  <c r="AG103" i="17"/>
  <c r="AH103" i="17"/>
  <c r="AI103" i="17"/>
  <c r="AJ103" i="17"/>
  <c r="AK103" i="17"/>
  <c r="AL103" i="17"/>
  <c r="AM103" i="17"/>
  <c r="A104" i="17"/>
  <c r="B104" i="17"/>
  <c r="D104" i="17"/>
  <c r="E104" i="17"/>
  <c r="F104" i="17"/>
  <c r="G104" i="17"/>
  <c r="H104" i="17"/>
  <c r="I104" i="17"/>
  <c r="J104" i="17"/>
  <c r="K104" i="17"/>
  <c r="L104" i="17"/>
  <c r="O104" i="17"/>
  <c r="P104" i="17"/>
  <c r="Q104" i="17"/>
  <c r="R104" i="17"/>
  <c r="S104" i="17"/>
  <c r="T104" i="17"/>
  <c r="U104" i="17"/>
  <c r="V104" i="17"/>
  <c r="W104" i="17"/>
  <c r="X104" i="17"/>
  <c r="Y104" i="17"/>
  <c r="Z104" i="17"/>
  <c r="AA104" i="17"/>
  <c r="AB104" i="17"/>
  <c r="AC104" i="17"/>
  <c r="AD104" i="17"/>
  <c r="AE104" i="17"/>
  <c r="AF104" i="17"/>
  <c r="AG104" i="17"/>
  <c r="AH104" i="17"/>
  <c r="AI104" i="17"/>
  <c r="AJ104" i="17"/>
  <c r="AK104" i="17"/>
  <c r="AL104" i="17"/>
  <c r="AM104" i="17"/>
  <c r="A105" i="17"/>
  <c r="B105" i="17"/>
  <c r="D105" i="17"/>
  <c r="E105" i="17"/>
  <c r="F105" i="17"/>
  <c r="G105" i="17"/>
  <c r="H105" i="17"/>
  <c r="I105" i="17"/>
  <c r="J105" i="17"/>
  <c r="K105" i="17"/>
  <c r="L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106" i="17"/>
  <c r="B106" i="17"/>
  <c r="D106" i="17"/>
  <c r="E106" i="17"/>
  <c r="F106" i="17"/>
  <c r="G106" i="17"/>
  <c r="H106" i="17"/>
  <c r="I106" i="17"/>
  <c r="J106" i="17"/>
  <c r="K106" i="17"/>
  <c r="L106" i="17"/>
  <c r="O106" i="17"/>
  <c r="P106" i="17"/>
  <c r="Q106" i="17"/>
  <c r="R106" i="17"/>
  <c r="S106" i="17"/>
  <c r="T106" i="17"/>
  <c r="U106" i="17"/>
  <c r="V106" i="17"/>
  <c r="W106" i="17"/>
  <c r="X106" i="17"/>
  <c r="Y106" i="17"/>
  <c r="Z106" i="17"/>
  <c r="AA106" i="17"/>
  <c r="AB106" i="17"/>
  <c r="AC106" i="17"/>
  <c r="AD106" i="17"/>
  <c r="AE106" i="17"/>
  <c r="AF106" i="17"/>
  <c r="AG106" i="17"/>
  <c r="AH106" i="17"/>
  <c r="AI106" i="17"/>
  <c r="AJ106" i="17"/>
  <c r="AK106" i="17"/>
  <c r="AL106" i="17"/>
  <c r="AM106" i="17"/>
  <c r="A107" i="17"/>
  <c r="B107" i="17"/>
  <c r="D107" i="17"/>
  <c r="E107" i="17"/>
  <c r="F107" i="17"/>
  <c r="G107" i="17"/>
  <c r="H107" i="17"/>
  <c r="I107" i="17"/>
  <c r="J107" i="17"/>
  <c r="K107" i="17"/>
  <c r="L107" i="17"/>
  <c r="O107" i="17"/>
  <c r="P107" i="17"/>
  <c r="Q107" i="17"/>
  <c r="R107" i="17"/>
  <c r="S107" i="17"/>
  <c r="T107" i="17"/>
  <c r="U107" i="17"/>
  <c r="V107" i="17"/>
  <c r="W107" i="17"/>
  <c r="X107" i="17"/>
  <c r="Y107" i="17"/>
  <c r="Z107" i="17"/>
  <c r="AA107" i="17"/>
  <c r="AB107" i="17"/>
  <c r="AC107" i="17"/>
  <c r="AD107" i="17"/>
  <c r="AE107" i="17"/>
  <c r="AF107" i="17"/>
  <c r="AG107" i="17"/>
  <c r="AH107" i="17"/>
  <c r="AI107" i="17"/>
  <c r="AJ107" i="17"/>
  <c r="AK107" i="17"/>
  <c r="AL107" i="17"/>
  <c r="AM107" i="17"/>
  <c r="A108" i="17"/>
  <c r="B108" i="17"/>
  <c r="D108" i="17"/>
  <c r="E108" i="17"/>
  <c r="F108" i="17"/>
  <c r="G108" i="17"/>
  <c r="H108" i="17"/>
  <c r="I108" i="17"/>
  <c r="J108" i="17"/>
  <c r="K108" i="17"/>
  <c r="L108" i="17"/>
  <c r="O108" i="17"/>
  <c r="P108" i="17"/>
  <c r="Q108" i="17"/>
  <c r="R108" i="17"/>
  <c r="S108" i="17"/>
  <c r="T108" i="17"/>
  <c r="U108" i="17"/>
  <c r="V108" i="17"/>
  <c r="W108" i="17"/>
  <c r="X108" i="17"/>
  <c r="Y108" i="17"/>
  <c r="Z108" i="17"/>
  <c r="AA108" i="17"/>
  <c r="AB108" i="17"/>
  <c r="AC108" i="17"/>
  <c r="AD108" i="17"/>
  <c r="AE108" i="17"/>
  <c r="AF108" i="17"/>
  <c r="AG108" i="17"/>
  <c r="AH108" i="17"/>
  <c r="AI108" i="17"/>
  <c r="AJ108" i="17"/>
  <c r="AK108" i="17"/>
  <c r="AL108" i="17"/>
  <c r="AM108" i="17"/>
  <c r="A109" i="17"/>
  <c r="B109" i="17"/>
  <c r="D109" i="17"/>
  <c r="E109" i="17"/>
  <c r="F109" i="17"/>
  <c r="G109" i="17"/>
  <c r="H109" i="17"/>
  <c r="I109" i="17"/>
  <c r="J109" i="17"/>
  <c r="K109" i="17"/>
  <c r="L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110" i="17"/>
  <c r="B110" i="17"/>
  <c r="D110" i="17"/>
  <c r="E110" i="17"/>
  <c r="F110" i="17"/>
  <c r="G110" i="17"/>
  <c r="H110" i="17"/>
  <c r="I110" i="17"/>
  <c r="J110" i="17"/>
  <c r="K110" i="17"/>
  <c r="L110" i="17"/>
  <c r="O110" i="17"/>
  <c r="P110" i="17"/>
  <c r="Q110" i="17"/>
  <c r="R110" i="17"/>
  <c r="S110" i="17"/>
  <c r="T110" i="17"/>
  <c r="U110" i="17"/>
  <c r="V110" i="17"/>
  <c r="W110" i="17"/>
  <c r="X110" i="17"/>
  <c r="Y110" i="17"/>
  <c r="Z110" i="17"/>
  <c r="AA110" i="17"/>
  <c r="AB110" i="17"/>
  <c r="AC110" i="17"/>
  <c r="AD110" i="17"/>
  <c r="AE110" i="17"/>
  <c r="AF110" i="17"/>
  <c r="AG110" i="17"/>
  <c r="AH110" i="17"/>
  <c r="AI110" i="17"/>
  <c r="AJ110" i="17"/>
  <c r="AK110" i="17"/>
  <c r="AL110" i="17"/>
  <c r="AM110" i="17"/>
  <c r="A111" i="17"/>
  <c r="B111" i="17"/>
  <c r="D111" i="17"/>
  <c r="E111" i="17"/>
  <c r="F111" i="17"/>
  <c r="G111" i="17"/>
  <c r="H111" i="17"/>
  <c r="I111" i="17"/>
  <c r="J111" i="17"/>
  <c r="K111" i="17"/>
  <c r="L111" i="17"/>
  <c r="O111" i="17"/>
  <c r="P111" i="17"/>
  <c r="Q111" i="17"/>
  <c r="R111" i="17"/>
  <c r="S111" i="17"/>
  <c r="T111" i="17"/>
  <c r="U111" i="17"/>
  <c r="V111" i="17"/>
  <c r="W111" i="17"/>
  <c r="X111" i="17"/>
  <c r="Y111" i="17"/>
  <c r="Z111" i="17"/>
  <c r="AA111" i="17"/>
  <c r="AB111" i="17"/>
  <c r="AC111" i="17"/>
  <c r="AD111" i="17"/>
  <c r="AE111" i="17"/>
  <c r="AF111" i="17"/>
  <c r="AG111" i="17"/>
  <c r="AH111" i="17"/>
  <c r="AI111" i="17"/>
  <c r="AJ111" i="17"/>
  <c r="AK111" i="17"/>
  <c r="AL111" i="17"/>
  <c r="AM111" i="17"/>
  <c r="A112" i="17"/>
  <c r="B112" i="17"/>
  <c r="D112" i="17"/>
  <c r="E112" i="17"/>
  <c r="F112" i="17"/>
  <c r="G112" i="17"/>
  <c r="H112" i="17"/>
  <c r="I112" i="17"/>
  <c r="J112" i="17"/>
  <c r="K112" i="17"/>
  <c r="L112" i="17"/>
  <c r="O112" i="17"/>
  <c r="P112" i="17"/>
  <c r="Q112" i="17"/>
  <c r="R112" i="17"/>
  <c r="S112" i="17"/>
  <c r="T112" i="17"/>
  <c r="U112" i="17"/>
  <c r="V112" i="17"/>
  <c r="W112" i="17"/>
  <c r="X112" i="17"/>
  <c r="Y112" i="17"/>
  <c r="Z112" i="17"/>
  <c r="AA112" i="17"/>
  <c r="AB112" i="17"/>
  <c r="AC112" i="17"/>
  <c r="AD112" i="17"/>
  <c r="AE112" i="17"/>
  <c r="AF112" i="17"/>
  <c r="AG112" i="17"/>
  <c r="AH112" i="17"/>
  <c r="AI112" i="17"/>
  <c r="AJ112" i="17"/>
  <c r="AK112" i="17"/>
  <c r="AL112" i="17"/>
  <c r="AM112" i="17"/>
  <c r="A113" i="17"/>
  <c r="B113" i="17"/>
  <c r="D113" i="17"/>
  <c r="E113" i="17"/>
  <c r="F113" i="17"/>
  <c r="G113" i="17"/>
  <c r="H113" i="17"/>
  <c r="I113" i="17"/>
  <c r="J113" i="17"/>
  <c r="K113" i="17"/>
  <c r="L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114" i="17"/>
  <c r="B114" i="17"/>
  <c r="D114" i="17"/>
  <c r="E114" i="17"/>
  <c r="F114" i="17"/>
  <c r="G114" i="17"/>
  <c r="H114" i="17"/>
  <c r="I114" i="17"/>
  <c r="J114" i="17"/>
  <c r="K114" i="17"/>
  <c r="L114" i="17"/>
  <c r="O114" i="17"/>
  <c r="P114" i="17"/>
  <c r="Q114" i="17"/>
  <c r="R114" i="17"/>
  <c r="S114" i="17"/>
  <c r="T114" i="17"/>
  <c r="U114" i="17"/>
  <c r="V114" i="17"/>
  <c r="W114" i="17"/>
  <c r="X114" i="17"/>
  <c r="Y114" i="17"/>
  <c r="Z114" i="17"/>
  <c r="AA114" i="17"/>
  <c r="AB114" i="17"/>
  <c r="AC114" i="17"/>
  <c r="AD114" i="17"/>
  <c r="AE114" i="17"/>
  <c r="AF114" i="17"/>
  <c r="AG114" i="17"/>
  <c r="AH114" i="17"/>
  <c r="AI114" i="17"/>
  <c r="AJ114" i="17"/>
  <c r="AK114" i="17"/>
  <c r="AL114" i="17"/>
  <c r="AM114" i="17"/>
  <c r="A115" i="17"/>
  <c r="B115" i="17"/>
  <c r="D115" i="17"/>
  <c r="E115" i="17"/>
  <c r="F115" i="17"/>
  <c r="G115" i="17"/>
  <c r="H115" i="17"/>
  <c r="I115" i="17"/>
  <c r="J115" i="17"/>
  <c r="K115" i="17"/>
  <c r="L115" i="17"/>
  <c r="O115" i="17"/>
  <c r="P115" i="17"/>
  <c r="Q115" i="17"/>
  <c r="R115" i="17"/>
  <c r="S115" i="17"/>
  <c r="T115" i="17"/>
  <c r="U115" i="17"/>
  <c r="V115" i="17"/>
  <c r="W115" i="17"/>
  <c r="X115" i="17"/>
  <c r="Y115" i="17"/>
  <c r="Z115" i="17"/>
  <c r="AA115" i="17"/>
  <c r="AB115" i="17"/>
  <c r="AC115" i="17"/>
  <c r="AD115" i="17"/>
  <c r="AE115" i="17"/>
  <c r="AF115" i="17"/>
  <c r="AG115" i="17"/>
  <c r="AH115" i="17"/>
  <c r="AI115" i="17"/>
  <c r="AJ115" i="17"/>
  <c r="AK115" i="17"/>
  <c r="AL115" i="17"/>
  <c r="AM115" i="17"/>
  <c r="A116" i="17"/>
  <c r="B116" i="17"/>
  <c r="D116" i="17"/>
  <c r="E116" i="17"/>
  <c r="G116" i="17"/>
  <c r="H116" i="17"/>
  <c r="I116" i="17"/>
  <c r="J116" i="17"/>
  <c r="K116" i="17"/>
  <c r="L116" i="17"/>
  <c r="O116" i="17"/>
  <c r="P116" i="17"/>
  <c r="Q116" i="17"/>
  <c r="R116" i="17"/>
  <c r="S116" i="17"/>
  <c r="T116" i="17"/>
  <c r="U116" i="17"/>
  <c r="V116" i="17"/>
  <c r="W116" i="17"/>
  <c r="X116" i="17"/>
  <c r="Y116" i="17"/>
  <c r="Z116" i="17"/>
  <c r="AA116" i="17"/>
  <c r="AB116" i="17"/>
  <c r="AC116" i="17"/>
  <c r="AD116" i="17"/>
  <c r="AE116" i="17"/>
  <c r="AF116" i="17"/>
  <c r="AG116" i="17"/>
  <c r="AH116" i="17"/>
  <c r="AI116" i="17"/>
  <c r="AJ116" i="17"/>
  <c r="AK116" i="17"/>
  <c r="AL116" i="17"/>
  <c r="AM116" i="17"/>
  <c r="A117" i="17"/>
  <c r="B117" i="17"/>
  <c r="D117" i="17"/>
  <c r="E117" i="17"/>
  <c r="G117" i="17"/>
  <c r="H117" i="17"/>
  <c r="I117" i="17"/>
  <c r="J117" i="17"/>
  <c r="K117" i="17"/>
  <c r="L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118" i="17"/>
  <c r="B118" i="17"/>
  <c r="D118" i="17"/>
  <c r="E118" i="17"/>
  <c r="G118" i="17"/>
  <c r="H118" i="17"/>
  <c r="I118" i="17"/>
  <c r="J118" i="17"/>
  <c r="K118" i="17"/>
  <c r="L118" i="17"/>
  <c r="O118" i="17"/>
  <c r="P118" i="17"/>
  <c r="Q118" i="17"/>
  <c r="R118" i="17"/>
  <c r="S118" i="17"/>
  <c r="T118" i="17"/>
  <c r="U118" i="17"/>
  <c r="V118" i="17"/>
  <c r="W118" i="17"/>
  <c r="X118" i="17"/>
  <c r="Y118" i="17"/>
  <c r="Z118" i="17"/>
  <c r="AA118" i="17"/>
  <c r="AB118" i="17"/>
  <c r="AC118" i="17"/>
  <c r="AD118" i="17"/>
  <c r="AE118" i="17"/>
  <c r="AF118" i="17"/>
  <c r="AG118" i="17"/>
  <c r="AH118" i="17"/>
  <c r="AI118" i="17"/>
  <c r="AJ118" i="17"/>
  <c r="AK118" i="17"/>
  <c r="AL118" i="17"/>
  <c r="AM118" i="17"/>
  <c r="A119" i="17"/>
  <c r="B119" i="17"/>
  <c r="D119" i="17"/>
  <c r="E119" i="17"/>
  <c r="G119" i="17"/>
  <c r="H119" i="17"/>
  <c r="I119" i="17"/>
  <c r="J119" i="17"/>
  <c r="K119" i="17"/>
  <c r="L119" i="17"/>
  <c r="O119" i="17"/>
  <c r="P119" i="17"/>
  <c r="Q119" i="17"/>
  <c r="R119" i="17"/>
  <c r="S119" i="17"/>
  <c r="T119" i="17"/>
  <c r="U119" i="17"/>
  <c r="V119" i="17"/>
  <c r="W119" i="17"/>
  <c r="X119" i="17"/>
  <c r="Y119" i="17"/>
  <c r="Z119" i="17"/>
  <c r="AA119" i="17"/>
  <c r="AB119" i="17"/>
  <c r="AC119" i="17"/>
  <c r="AD119" i="17"/>
  <c r="AE119" i="17"/>
  <c r="AF119" i="17"/>
  <c r="AG119" i="17"/>
  <c r="AH119" i="17"/>
  <c r="AI119" i="17"/>
  <c r="AJ119" i="17"/>
  <c r="AK119" i="17"/>
  <c r="AL119" i="17"/>
  <c r="AM119" i="17"/>
  <c r="A120" i="17"/>
  <c r="B120" i="17"/>
  <c r="D120" i="17"/>
  <c r="E120" i="17"/>
  <c r="G120" i="17"/>
  <c r="H120" i="17"/>
  <c r="I120" i="17"/>
  <c r="J120" i="17"/>
  <c r="K120" i="17"/>
  <c r="L120" i="17"/>
  <c r="O120" i="17"/>
  <c r="P120" i="17"/>
  <c r="Q120" i="17"/>
  <c r="R120" i="17"/>
  <c r="S120" i="17"/>
  <c r="T120" i="17"/>
  <c r="U120" i="17"/>
  <c r="V120" i="17"/>
  <c r="W120" i="17"/>
  <c r="X120" i="17"/>
  <c r="Y120" i="17"/>
  <c r="Z120" i="17"/>
  <c r="AA120" i="17"/>
  <c r="AB120" i="17"/>
  <c r="AC120" i="17"/>
  <c r="AD120" i="17"/>
  <c r="AE120" i="17"/>
  <c r="AF120" i="17"/>
  <c r="AG120" i="17"/>
  <c r="AH120" i="17"/>
  <c r="AI120" i="17"/>
  <c r="AJ120" i="17"/>
  <c r="AK120" i="17"/>
  <c r="AL120" i="17"/>
  <c r="AM120" i="17"/>
  <c r="A121" i="17"/>
  <c r="B121" i="17"/>
  <c r="D121" i="17"/>
  <c r="E121" i="17"/>
  <c r="G121" i="17"/>
  <c r="H121" i="17"/>
  <c r="I121" i="17"/>
  <c r="J121" i="17"/>
  <c r="K121" i="17"/>
  <c r="L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122" i="17"/>
  <c r="B122" i="17"/>
  <c r="D122" i="17"/>
  <c r="E122" i="17"/>
  <c r="G122" i="17"/>
  <c r="H122" i="17"/>
  <c r="I122" i="17"/>
  <c r="J122" i="17"/>
  <c r="K122" i="17"/>
  <c r="L122" i="17"/>
  <c r="O122" i="17"/>
  <c r="P122" i="17"/>
  <c r="Q122" i="17"/>
  <c r="R122" i="17"/>
  <c r="S122" i="17"/>
  <c r="T122" i="17"/>
  <c r="U122" i="17"/>
  <c r="V122" i="17"/>
  <c r="W122" i="17"/>
  <c r="X122" i="17"/>
  <c r="Y122" i="17"/>
  <c r="Z122" i="17"/>
  <c r="AA122" i="17"/>
  <c r="AB122" i="17"/>
  <c r="AC122" i="17"/>
  <c r="AD122" i="17"/>
  <c r="AE122" i="17"/>
  <c r="AF122" i="17"/>
  <c r="AG122" i="17"/>
  <c r="AH122" i="17"/>
  <c r="AI122" i="17"/>
  <c r="AJ122" i="17"/>
  <c r="AK122" i="17"/>
  <c r="AL122" i="17"/>
  <c r="AM122" i="17"/>
  <c r="A123" i="17"/>
  <c r="B123" i="17"/>
  <c r="D123" i="17"/>
  <c r="E123" i="17"/>
  <c r="G123" i="17"/>
  <c r="H123" i="17"/>
  <c r="I123" i="17"/>
  <c r="J123" i="17"/>
  <c r="K123" i="17"/>
  <c r="L123" i="17"/>
  <c r="O123" i="17"/>
  <c r="P123" i="17"/>
  <c r="Q123" i="17"/>
  <c r="R123" i="17"/>
  <c r="S123" i="17"/>
  <c r="T123" i="17"/>
  <c r="U123" i="17"/>
  <c r="V123" i="17"/>
  <c r="W123" i="17"/>
  <c r="X123" i="17"/>
  <c r="Y123" i="17"/>
  <c r="Z123" i="17"/>
  <c r="AA123" i="17"/>
  <c r="AB123" i="17"/>
  <c r="AC123" i="17"/>
  <c r="AD123" i="17"/>
  <c r="AE123" i="17"/>
  <c r="AF123" i="17"/>
  <c r="AG123" i="17"/>
  <c r="AH123" i="17"/>
  <c r="AI123" i="17"/>
  <c r="AJ123" i="17"/>
  <c r="AK123" i="17"/>
  <c r="AL123" i="17"/>
  <c r="AM123" i="17"/>
  <c r="A124" i="17"/>
  <c r="B124" i="17"/>
  <c r="D124" i="17"/>
  <c r="E124" i="17"/>
  <c r="G124" i="17"/>
  <c r="H124" i="17"/>
  <c r="I124" i="17"/>
  <c r="J124" i="17"/>
  <c r="K124" i="17"/>
  <c r="L124" i="17"/>
  <c r="O124" i="17"/>
  <c r="P124" i="17"/>
  <c r="Q124" i="17"/>
  <c r="R124" i="17"/>
  <c r="S124" i="17"/>
  <c r="T124" i="17"/>
  <c r="U124" i="17"/>
  <c r="V124" i="17"/>
  <c r="W124" i="17"/>
  <c r="X124" i="17"/>
  <c r="Y124" i="17"/>
  <c r="Z124" i="17"/>
  <c r="AA124" i="17"/>
  <c r="AB124" i="17"/>
  <c r="AC124" i="17"/>
  <c r="AD124" i="17"/>
  <c r="AE124" i="17"/>
  <c r="AF124" i="17"/>
  <c r="AG124" i="17"/>
  <c r="AH124" i="17"/>
  <c r="AI124" i="17"/>
  <c r="AJ124" i="17"/>
  <c r="AK124" i="17"/>
  <c r="AL124" i="17"/>
  <c r="AM124" i="17"/>
  <c r="A125" i="17"/>
  <c r="B125" i="17"/>
  <c r="D125" i="17"/>
  <c r="E125" i="17"/>
  <c r="G125" i="17"/>
  <c r="H125" i="17"/>
  <c r="I125" i="17"/>
  <c r="J125" i="17"/>
  <c r="K125" i="17"/>
  <c r="L125" i="17"/>
  <c r="O125" i="17"/>
  <c r="P125" i="17"/>
  <c r="Q125" i="17"/>
  <c r="R125" i="17"/>
  <c r="S125" i="17"/>
  <c r="T125" i="17"/>
  <c r="U125" i="17"/>
  <c r="V125" i="17"/>
  <c r="W125" i="17"/>
  <c r="X125" i="17"/>
  <c r="Y125" i="17"/>
  <c r="Z125" i="17"/>
  <c r="AA125" i="17"/>
  <c r="AB125" i="17"/>
  <c r="AC125" i="17"/>
  <c r="AD125" i="17"/>
  <c r="AE125" i="17"/>
  <c r="AF125" i="17"/>
  <c r="AG125" i="17"/>
  <c r="AH125" i="17"/>
  <c r="AI125" i="17"/>
  <c r="AJ125" i="17"/>
  <c r="AK125" i="17"/>
  <c r="AL125" i="17"/>
  <c r="AM125" i="17"/>
  <c r="A126" i="17"/>
  <c r="B126" i="17"/>
  <c r="D126" i="17"/>
  <c r="E126" i="17"/>
  <c r="G126" i="17"/>
  <c r="H126" i="17"/>
  <c r="I126" i="17"/>
  <c r="J126" i="17"/>
  <c r="K126" i="17"/>
  <c r="L126" i="17"/>
  <c r="O126" i="17"/>
  <c r="P126" i="17"/>
  <c r="Q126" i="17"/>
  <c r="R126" i="17"/>
  <c r="S126" i="17"/>
  <c r="T126" i="17"/>
  <c r="U126" i="17"/>
  <c r="V126" i="17"/>
  <c r="W126" i="17"/>
  <c r="X126" i="17"/>
  <c r="Y126" i="17"/>
  <c r="Z126" i="17"/>
  <c r="AA126" i="17"/>
  <c r="AB126" i="17"/>
  <c r="AC126" i="17"/>
  <c r="AD126" i="17"/>
  <c r="AE126" i="17"/>
  <c r="AF126" i="17"/>
  <c r="AG126" i="17"/>
  <c r="AH126" i="17"/>
  <c r="AI126" i="17"/>
  <c r="AJ126" i="17"/>
  <c r="AK126" i="17"/>
  <c r="AL126" i="17"/>
  <c r="AM126" i="17"/>
  <c r="A127" i="17"/>
  <c r="B127" i="17"/>
  <c r="D127" i="17"/>
  <c r="E127" i="17"/>
  <c r="G127" i="17"/>
  <c r="H127" i="17"/>
  <c r="I127" i="17"/>
  <c r="J127" i="17"/>
  <c r="K127" i="17"/>
  <c r="L127" i="17"/>
  <c r="O127" i="17"/>
  <c r="P127" i="17"/>
  <c r="Q127" i="17"/>
  <c r="R127" i="17"/>
  <c r="S127" i="17"/>
  <c r="T127" i="17"/>
  <c r="U127" i="17"/>
  <c r="V127" i="17"/>
  <c r="W127" i="17"/>
  <c r="X127" i="17"/>
  <c r="Y127" i="17"/>
  <c r="Z127" i="17"/>
  <c r="AA127" i="17"/>
  <c r="AB127" i="17"/>
  <c r="AC127" i="17"/>
  <c r="AD127" i="17"/>
  <c r="AE127" i="17"/>
  <c r="AF127" i="17"/>
  <c r="AG127" i="17"/>
  <c r="AH127" i="17"/>
  <c r="AI127" i="17"/>
  <c r="AJ127" i="17"/>
  <c r="AK127" i="17"/>
  <c r="AL127" i="17"/>
  <c r="AM127" i="17"/>
  <c r="A128" i="17"/>
  <c r="B128" i="17"/>
  <c r="D128" i="17"/>
  <c r="E128" i="17"/>
  <c r="G128" i="17"/>
  <c r="H128" i="17"/>
  <c r="I128" i="17"/>
  <c r="J128" i="17"/>
  <c r="K128" i="17"/>
  <c r="L128" i="17"/>
  <c r="O128" i="17"/>
  <c r="P128" i="17"/>
  <c r="Q128" i="17"/>
  <c r="R128" i="17"/>
  <c r="S128" i="17"/>
  <c r="T128" i="17"/>
  <c r="U128" i="17"/>
  <c r="V128" i="17"/>
  <c r="W128" i="17"/>
  <c r="X128" i="17"/>
  <c r="Y128" i="17"/>
  <c r="Z128" i="17"/>
  <c r="AA128" i="17"/>
  <c r="AB128" i="17"/>
  <c r="AC128" i="17"/>
  <c r="AD128" i="17"/>
  <c r="AE128" i="17"/>
  <c r="AF128" i="17"/>
  <c r="AG128" i="17"/>
  <c r="AH128" i="17"/>
  <c r="AI128" i="17"/>
  <c r="AJ128" i="17"/>
  <c r="AK128" i="17"/>
  <c r="AL128" i="17"/>
  <c r="AM128" i="17"/>
  <c r="A129" i="17"/>
  <c r="B129" i="17"/>
  <c r="D129" i="17"/>
  <c r="E129" i="17"/>
  <c r="G129" i="17"/>
  <c r="H129" i="17"/>
  <c r="I129" i="17"/>
  <c r="J129" i="17"/>
  <c r="K129" i="17"/>
  <c r="L129" i="17"/>
  <c r="O129" i="17"/>
  <c r="P129" i="17"/>
  <c r="Q129" i="17"/>
  <c r="R129" i="17"/>
  <c r="S129" i="17"/>
  <c r="T129" i="17"/>
  <c r="U129" i="17"/>
  <c r="V129" i="17"/>
  <c r="W129" i="17"/>
  <c r="X129" i="17"/>
  <c r="Y129" i="17"/>
  <c r="Z129" i="17"/>
  <c r="AA129" i="17"/>
  <c r="AB129" i="17"/>
  <c r="AC129" i="17"/>
  <c r="AD129" i="17"/>
  <c r="AE129" i="17"/>
  <c r="AF129" i="17"/>
  <c r="AG129" i="17"/>
  <c r="AH129" i="17"/>
  <c r="AI129" i="17"/>
  <c r="AJ129" i="17"/>
  <c r="AK129" i="17"/>
  <c r="AL129" i="17"/>
  <c r="AM129" i="17"/>
  <c r="A130" i="17"/>
  <c r="B130" i="17"/>
  <c r="D130" i="17"/>
  <c r="E130" i="17"/>
  <c r="G130" i="17"/>
  <c r="H130" i="17"/>
  <c r="I130" i="17"/>
  <c r="J130" i="17"/>
  <c r="K130" i="17"/>
  <c r="L130" i="17"/>
  <c r="O130" i="17"/>
  <c r="P130" i="17"/>
  <c r="Q130" i="17"/>
  <c r="R130" i="17"/>
  <c r="S130" i="17"/>
  <c r="T130" i="17"/>
  <c r="U130" i="17"/>
  <c r="V130" i="17"/>
  <c r="W130" i="17"/>
  <c r="X130" i="17"/>
  <c r="Y130" i="17"/>
  <c r="Z130" i="17"/>
  <c r="AA130" i="17"/>
  <c r="AB130" i="17"/>
  <c r="AC130" i="17"/>
  <c r="AD130" i="17"/>
  <c r="AE130" i="17"/>
  <c r="AF130" i="17"/>
  <c r="AG130" i="17"/>
  <c r="AH130" i="17"/>
  <c r="AI130" i="17"/>
  <c r="AJ130" i="17"/>
  <c r="AK130" i="17"/>
  <c r="AL130" i="17"/>
  <c r="AM130" i="17"/>
  <c r="A131" i="17"/>
  <c r="B131" i="17"/>
  <c r="D131" i="17"/>
  <c r="E131" i="17"/>
  <c r="G131" i="17"/>
  <c r="H131" i="17"/>
  <c r="I131" i="17"/>
  <c r="J131" i="17"/>
  <c r="K131" i="17"/>
  <c r="L131" i="17"/>
  <c r="O131" i="17"/>
  <c r="P131" i="17"/>
  <c r="Q131" i="17"/>
  <c r="R131" i="17"/>
  <c r="S131" i="17"/>
  <c r="T131" i="17"/>
  <c r="U131" i="17"/>
  <c r="V131" i="17"/>
  <c r="W131" i="17"/>
  <c r="X131" i="17"/>
  <c r="Y131" i="17"/>
  <c r="Z131" i="17"/>
  <c r="AA131" i="17"/>
  <c r="AB131" i="17"/>
  <c r="AC131" i="17"/>
  <c r="AD131" i="17"/>
  <c r="AE131" i="17"/>
  <c r="AF131" i="17"/>
  <c r="AG131" i="17"/>
  <c r="AH131" i="17"/>
  <c r="AI131" i="17"/>
  <c r="AJ131" i="17"/>
  <c r="AK131" i="17"/>
  <c r="AL131" i="17"/>
  <c r="AM131" i="17"/>
  <c r="A132" i="17"/>
  <c r="B132" i="17"/>
  <c r="D132" i="17"/>
  <c r="E132" i="17"/>
  <c r="G132" i="17"/>
  <c r="H132" i="17"/>
  <c r="I132" i="17"/>
  <c r="J132" i="17"/>
  <c r="K132" i="17"/>
  <c r="L132" i="17"/>
  <c r="O132" i="17"/>
  <c r="P132" i="17"/>
  <c r="Q132" i="17"/>
  <c r="R132" i="17"/>
  <c r="S132" i="17"/>
  <c r="T132" i="17"/>
  <c r="U132" i="17"/>
  <c r="V132" i="17"/>
  <c r="W132" i="17"/>
  <c r="X132" i="17"/>
  <c r="Y132" i="17"/>
  <c r="Z132" i="17"/>
  <c r="AA132" i="17"/>
  <c r="AB132" i="17"/>
  <c r="AC132" i="17"/>
  <c r="AD132" i="17"/>
  <c r="AE132" i="17"/>
  <c r="AF132" i="17"/>
  <c r="AG132" i="17"/>
  <c r="AH132" i="17"/>
  <c r="AI132" i="17"/>
  <c r="AJ132" i="17"/>
  <c r="AK132" i="17"/>
  <c r="AL132" i="17"/>
  <c r="AM132" i="17"/>
  <c r="A133" i="17"/>
  <c r="B133" i="17"/>
  <c r="D133" i="17"/>
  <c r="E133" i="17"/>
  <c r="G133" i="17"/>
  <c r="H133" i="17"/>
  <c r="I133" i="17"/>
  <c r="J133" i="17"/>
  <c r="K133" i="17"/>
  <c r="L133" i="17"/>
  <c r="O133" i="17"/>
  <c r="P133" i="17"/>
  <c r="Q133" i="17"/>
  <c r="R133" i="17"/>
  <c r="S133" i="17"/>
  <c r="T133" i="17"/>
  <c r="U133" i="17"/>
  <c r="V133" i="17"/>
  <c r="W133" i="17"/>
  <c r="X133" i="17"/>
  <c r="Y133" i="17"/>
  <c r="Z133" i="17"/>
  <c r="AA133" i="17"/>
  <c r="AB133" i="17"/>
  <c r="AC133" i="17"/>
  <c r="AD133" i="17"/>
  <c r="AE133" i="17"/>
  <c r="AF133" i="17"/>
  <c r="AG133" i="17"/>
  <c r="AH133" i="17"/>
  <c r="AI133" i="17"/>
  <c r="AJ133" i="17"/>
  <c r="AK133" i="17"/>
  <c r="AL133" i="17"/>
  <c r="AM133" i="17"/>
  <c r="A134" i="17"/>
  <c r="B134" i="17"/>
  <c r="D134" i="17"/>
  <c r="E134" i="17"/>
  <c r="G134" i="17"/>
  <c r="H134" i="17"/>
  <c r="I134" i="17"/>
  <c r="J134" i="17"/>
  <c r="K134" i="17"/>
  <c r="L134" i="17"/>
  <c r="O134" i="17"/>
  <c r="P134" i="17"/>
  <c r="Q134" i="17"/>
  <c r="R134" i="17"/>
  <c r="S134" i="17"/>
  <c r="T134" i="17"/>
  <c r="U134" i="17"/>
  <c r="V134" i="17"/>
  <c r="W134" i="17"/>
  <c r="X134" i="17"/>
  <c r="Y134" i="17"/>
  <c r="Z134" i="17"/>
  <c r="AA134" i="17"/>
  <c r="AB134" i="17"/>
  <c r="AC134" i="17"/>
  <c r="AD134" i="17"/>
  <c r="AE134" i="17"/>
  <c r="AF134" i="17"/>
  <c r="AG134" i="17"/>
  <c r="AH134" i="17"/>
  <c r="AI134" i="17"/>
  <c r="AJ134" i="17"/>
  <c r="AK134" i="17"/>
  <c r="AL134" i="17"/>
  <c r="AM134" i="17"/>
  <c r="A135" i="17"/>
  <c r="B135" i="17"/>
  <c r="D135" i="17"/>
  <c r="E135" i="17"/>
  <c r="G135" i="17"/>
  <c r="H135" i="17"/>
  <c r="I135" i="17"/>
  <c r="J135" i="17"/>
  <c r="K135" i="17"/>
  <c r="L135" i="17"/>
  <c r="O135" i="17"/>
  <c r="P135" i="17"/>
  <c r="Q135" i="17"/>
  <c r="R135" i="17"/>
  <c r="S135" i="17"/>
  <c r="T135" i="17"/>
  <c r="U135" i="17"/>
  <c r="V135" i="17"/>
  <c r="W135" i="17"/>
  <c r="X135" i="17"/>
  <c r="Y135" i="17"/>
  <c r="Z135" i="17"/>
  <c r="AA135" i="17"/>
  <c r="AB135" i="17"/>
  <c r="AC135" i="17"/>
  <c r="AD135" i="17"/>
  <c r="AE135" i="17"/>
  <c r="AF135" i="17"/>
  <c r="AG135" i="17"/>
  <c r="AH135" i="17"/>
  <c r="AI135" i="17"/>
  <c r="AJ135" i="17"/>
  <c r="AK135" i="17"/>
  <c r="AL135" i="17"/>
  <c r="AM135" i="17"/>
  <c r="A136" i="17"/>
  <c r="B136" i="17"/>
  <c r="D136" i="17"/>
  <c r="E136" i="17"/>
  <c r="G136" i="17"/>
  <c r="H136" i="17"/>
  <c r="I136" i="17"/>
  <c r="J136" i="17"/>
  <c r="K136" i="17"/>
  <c r="L136" i="17"/>
  <c r="O136" i="17"/>
  <c r="P136" i="17"/>
  <c r="Q136" i="17"/>
  <c r="R136" i="17"/>
  <c r="S136" i="17"/>
  <c r="T136" i="17"/>
  <c r="U136" i="17"/>
  <c r="V136" i="17"/>
  <c r="W136" i="17"/>
  <c r="X136" i="17"/>
  <c r="Y136" i="17"/>
  <c r="Z136" i="17"/>
  <c r="AA136" i="17"/>
  <c r="AB136" i="17"/>
  <c r="AC136" i="17"/>
  <c r="AD136" i="17"/>
  <c r="AE136" i="17"/>
  <c r="AF136" i="17"/>
  <c r="AG136" i="17"/>
  <c r="AH136" i="17"/>
  <c r="AI136" i="17"/>
  <c r="AJ136" i="17"/>
  <c r="AK136" i="17"/>
  <c r="AL136" i="17"/>
  <c r="AM136" i="17"/>
  <c r="A137" i="17"/>
  <c r="B137" i="17"/>
  <c r="D137" i="17"/>
  <c r="E137" i="17"/>
  <c r="G137" i="17"/>
  <c r="H137" i="17"/>
  <c r="I137" i="17"/>
  <c r="J137" i="17"/>
  <c r="K137" i="17"/>
  <c r="L137" i="17"/>
  <c r="O137" i="17"/>
  <c r="P137" i="17"/>
  <c r="Q137" i="17"/>
  <c r="R137" i="17"/>
  <c r="S137" i="17"/>
  <c r="T137" i="17"/>
  <c r="U137" i="17"/>
  <c r="V137" i="17"/>
  <c r="W137" i="17"/>
  <c r="X137" i="17"/>
  <c r="Y137" i="17"/>
  <c r="Z137" i="17"/>
  <c r="AA137" i="17"/>
  <c r="AB137" i="17"/>
  <c r="AC137" i="17"/>
  <c r="AD137" i="17"/>
  <c r="AE137" i="17"/>
  <c r="AF137" i="17"/>
  <c r="AG137" i="17"/>
  <c r="AH137" i="17"/>
  <c r="AI137" i="17"/>
  <c r="AJ137" i="17"/>
  <c r="AK137" i="17"/>
  <c r="AL137" i="17"/>
  <c r="AM137" i="17"/>
  <c r="A138" i="17"/>
  <c r="B138" i="17"/>
  <c r="D138" i="17"/>
  <c r="E138" i="17"/>
  <c r="G138" i="17"/>
  <c r="H138" i="17"/>
  <c r="I138" i="17"/>
  <c r="J138" i="17"/>
  <c r="K138" i="17"/>
  <c r="L138" i="17"/>
  <c r="O138" i="17"/>
  <c r="P138" i="17"/>
  <c r="Q138" i="17"/>
  <c r="R138" i="17"/>
  <c r="S138" i="17"/>
  <c r="T138" i="17"/>
  <c r="U138" i="17"/>
  <c r="V138" i="17"/>
  <c r="W138" i="17"/>
  <c r="X138" i="17"/>
  <c r="Y138" i="17"/>
  <c r="Z138" i="17"/>
  <c r="AA138" i="17"/>
  <c r="AB138" i="17"/>
  <c r="AC138" i="17"/>
  <c r="AD138" i="17"/>
  <c r="AE138" i="17"/>
  <c r="AF138" i="17"/>
  <c r="AG138" i="17"/>
  <c r="AH138" i="17"/>
  <c r="AI138" i="17"/>
  <c r="AJ138" i="17"/>
  <c r="AK138" i="17"/>
  <c r="AL138" i="17"/>
  <c r="AM138" i="17"/>
  <c r="A139" i="17"/>
  <c r="B139" i="17"/>
  <c r="D139" i="17"/>
  <c r="E139" i="17"/>
  <c r="G139" i="17"/>
  <c r="H139" i="17"/>
  <c r="I139" i="17"/>
  <c r="J139" i="17"/>
  <c r="K139" i="17"/>
  <c r="L139" i="17"/>
  <c r="O139" i="17"/>
  <c r="P139" i="17"/>
  <c r="Q139" i="17"/>
  <c r="R139" i="17"/>
  <c r="V139" i="17"/>
  <c r="W139" i="17"/>
  <c r="X139" i="17"/>
  <c r="Y139" i="17"/>
  <c r="Z139" i="17"/>
  <c r="AA139" i="17"/>
  <c r="AF139" i="17"/>
  <c r="AG139" i="17"/>
  <c r="AH139" i="17"/>
  <c r="AI139" i="17"/>
  <c r="AJ139" i="17"/>
  <c r="AK139" i="17"/>
  <c r="AL139" i="17"/>
  <c r="AM139" i="17"/>
  <c r="A140" i="17"/>
  <c r="B140" i="17"/>
  <c r="D140" i="17"/>
  <c r="E140" i="17"/>
  <c r="G140" i="17"/>
  <c r="H140" i="17"/>
  <c r="I140" i="17"/>
  <c r="J140" i="17"/>
  <c r="K140" i="17"/>
  <c r="L140" i="17"/>
  <c r="O140" i="17"/>
  <c r="P140" i="17"/>
  <c r="Q140" i="17"/>
  <c r="R140" i="17"/>
  <c r="S140" i="17"/>
  <c r="T140" i="17"/>
  <c r="V140" i="17"/>
  <c r="W140" i="17"/>
  <c r="X140" i="17"/>
  <c r="Y140" i="17"/>
  <c r="Z140" i="17"/>
  <c r="AA140" i="17"/>
  <c r="AF140" i="17"/>
  <c r="AG140" i="17"/>
  <c r="AH140" i="17"/>
  <c r="AI140" i="17"/>
  <c r="AJ140" i="17"/>
  <c r="AK140" i="17"/>
  <c r="AL140" i="17"/>
  <c r="AM140" i="17"/>
  <c r="A141" i="17"/>
  <c r="B141" i="17"/>
  <c r="D141" i="17"/>
  <c r="E141" i="17"/>
  <c r="G141" i="17"/>
  <c r="H141" i="17"/>
  <c r="I141" i="17"/>
  <c r="J141" i="17"/>
  <c r="K141" i="17"/>
  <c r="L141" i="17"/>
  <c r="O141" i="17"/>
  <c r="P141" i="17"/>
  <c r="Q141" i="17"/>
  <c r="R141" i="17"/>
  <c r="S141" i="17"/>
  <c r="T141" i="17"/>
  <c r="U141" i="17"/>
  <c r="V141" i="17"/>
  <c r="W141" i="17"/>
  <c r="X141" i="17"/>
  <c r="Y141" i="17"/>
  <c r="Z141" i="17"/>
  <c r="AA141" i="17"/>
  <c r="AB141" i="17"/>
  <c r="AD141" i="17"/>
  <c r="AE141" i="17"/>
  <c r="AF141" i="17"/>
  <c r="AG141" i="17"/>
  <c r="AH141" i="17"/>
  <c r="AI141" i="17"/>
  <c r="AJ141" i="17"/>
  <c r="AK141" i="17"/>
  <c r="AL141" i="17"/>
  <c r="AM141" i="17"/>
  <c r="A142" i="17"/>
  <c r="B142" i="17"/>
  <c r="D142" i="17"/>
  <c r="E142" i="17"/>
  <c r="G142" i="17"/>
  <c r="H142" i="17"/>
  <c r="I142" i="17"/>
  <c r="J142" i="17"/>
  <c r="K142" i="17"/>
  <c r="L142" i="17"/>
  <c r="O142" i="17"/>
  <c r="P142" i="17"/>
  <c r="Q142" i="17"/>
  <c r="R142" i="17"/>
  <c r="S142" i="17"/>
  <c r="T142" i="17"/>
  <c r="U142" i="17"/>
  <c r="V142" i="17"/>
  <c r="W142" i="17"/>
  <c r="X142" i="17"/>
  <c r="Y142" i="17"/>
  <c r="Z142" i="17"/>
  <c r="AA142" i="17"/>
  <c r="AB142" i="17"/>
  <c r="AD142" i="17"/>
  <c r="AE142" i="17"/>
  <c r="AF142" i="17"/>
  <c r="AG142" i="17"/>
  <c r="AH142" i="17"/>
  <c r="AI142" i="17"/>
  <c r="AJ142" i="17"/>
  <c r="AK142" i="17"/>
  <c r="AL142" i="17"/>
  <c r="AM142" i="17"/>
  <c r="A143" i="17"/>
  <c r="B143" i="17"/>
  <c r="D143" i="17"/>
  <c r="E143" i="17"/>
  <c r="G143" i="17"/>
  <c r="H143" i="17"/>
  <c r="I143" i="17"/>
  <c r="J143" i="17"/>
  <c r="K143" i="17"/>
  <c r="L143" i="17"/>
  <c r="O143" i="17"/>
  <c r="P143" i="17"/>
  <c r="Q143" i="17"/>
  <c r="R143" i="17"/>
  <c r="S143" i="17"/>
  <c r="T143" i="17"/>
  <c r="U143" i="17"/>
  <c r="V143" i="17"/>
  <c r="W143" i="17"/>
  <c r="X143" i="17"/>
  <c r="Y143" i="17"/>
  <c r="Z143" i="17"/>
  <c r="AA143" i="17"/>
  <c r="AB143" i="17"/>
  <c r="AC143" i="17"/>
  <c r="AD143" i="17"/>
  <c r="AE143" i="17"/>
  <c r="AF143" i="17"/>
  <c r="AG143" i="17"/>
  <c r="AH143" i="17"/>
  <c r="AI143" i="17"/>
  <c r="AJ143" i="17"/>
  <c r="AK143" i="17"/>
  <c r="AL143" i="17"/>
  <c r="AM143" i="17"/>
  <c r="A144" i="17"/>
  <c r="B144" i="17"/>
  <c r="D144" i="17"/>
  <c r="E144" i="17"/>
  <c r="G144" i="17"/>
  <c r="H144" i="17"/>
  <c r="I144" i="17"/>
  <c r="J144" i="17"/>
  <c r="K144" i="17"/>
  <c r="L144" i="17"/>
  <c r="O144" i="17"/>
  <c r="P144" i="17"/>
  <c r="Q144" i="17"/>
  <c r="R144" i="17"/>
  <c r="S144" i="17"/>
  <c r="T144" i="17"/>
  <c r="U144" i="17"/>
  <c r="V144" i="17"/>
  <c r="W144" i="17"/>
  <c r="X144" i="17"/>
  <c r="Y144" i="17"/>
  <c r="Z144" i="17"/>
  <c r="AA144" i="17"/>
  <c r="AB144" i="17"/>
  <c r="AC144" i="17"/>
  <c r="AD144" i="17"/>
  <c r="AE144" i="17"/>
  <c r="AF144" i="17"/>
  <c r="AG144" i="17"/>
  <c r="AH144" i="17"/>
  <c r="AI144" i="17"/>
  <c r="AJ144" i="17"/>
  <c r="AK144" i="17"/>
  <c r="AL144" i="17"/>
  <c r="AM144" i="17"/>
  <c r="A145" i="17"/>
  <c r="B145" i="17"/>
  <c r="D145" i="17"/>
  <c r="E145" i="17"/>
  <c r="G145" i="17"/>
  <c r="H145" i="17"/>
  <c r="I145" i="17"/>
  <c r="J145" i="17"/>
  <c r="K145" i="17"/>
  <c r="L145" i="17"/>
  <c r="O145" i="17"/>
  <c r="P145" i="17"/>
  <c r="Q145" i="17"/>
  <c r="R145" i="17"/>
  <c r="S145" i="17"/>
  <c r="T145" i="17"/>
  <c r="U145" i="17"/>
  <c r="V145" i="17"/>
  <c r="W145" i="17"/>
  <c r="X145" i="17"/>
  <c r="Y145" i="17"/>
  <c r="Z145" i="17"/>
  <c r="AA145" i="17"/>
  <c r="AB145" i="17"/>
  <c r="AC145" i="17"/>
  <c r="AD145" i="17"/>
  <c r="AE145" i="17"/>
  <c r="AF145" i="17"/>
  <c r="AG145" i="17"/>
  <c r="AH145" i="17"/>
  <c r="AI145" i="17"/>
  <c r="AJ145" i="17"/>
  <c r="AK145" i="17"/>
  <c r="AL145" i="17"/>
  <c r="AM145" i="17"/>
  <c r="A146" i="17"/>
  <c r="B146" i="17"/>
  <c r="D146" i="17"/>
  <c r="E146" i="17"/>
  <c r="G146" i="17"/>
  <c r="H146" i="17"/>
  <c r="I146" i="17"/>
  <c r="J146" i="17"/>
  <c r="K146" i="17"/>
  <c r="L146" i="17"/>
  <c r="O146" i="17"/>
  <c r="P146" i="17"/>
  <c r="Q146" i="17"/>
  <c r="R146" i="17"/>
  <c r="S146" i="17"/>
  <c r="T146" i="17"/>
  <c r="U146" i="17"/>
  <c r="V146" i="17"/>
  <c r="W146" i="17"/>
  <c r="X146" i="17"/>
  <c r="Y146" i="17"/>
  <c r="Z146" i="17"/>
  <c r="AA146" i="17"/>
  <c r="AB146" i="17"/>
  <c r="AC146" i="17"/>
  <c r="AD146" i="17"/>
  <c r="AE146" i="17"/>
  <c r="AF146" i="17"/>
  <c r="AG146" i="17"/>
  <c r="AH146" i="17"/>
  <c r="AI146" i="17"/>
  <c r="AJ146" i="17"/>
  <c r="AK146" i="17"/>
  <c r="AL146" i="17"/>
  <c r="AM146" i="17"/>
  <c r="A147" i="17"/>
  <c r="B147" i="17"/>
  <c r="D147" i="17"/>
  <c r="E147" i="17"/>
  <c r="G147" i="17"/>
  <c r="H147" i="17"/>
  <c r="I147" i="17"/>
  <c r="J147" i="17"/>
  <c r="K147" i="17"/>
  <c r="L147" i="17"/>
  <c r="O147" i="17"/>
  <c r="P147" i="17"/>
  <c r="Q147" i="17"/>
  <c r="R147" i="17"/>
  <c r="S147" i="17"/>
  <c r="T147" i="17"/>
  <c r="U147" i="17"/>
  <c r="V147" i="17"/>
  <c r="W147" i="17"/>
  <c r="X147" i="17"/>
  <c r="Y147" i="17"/>
  <c r="Z147" i="17"/>
  <c r="AA147" i="17"/>
  <c r="AB147" i="17"/>
  <c r="AC147" i="17"/>
  <c r="AD147" i="17"/>
  <c r="AE147" i="17"/>
  <c r="AF147" i="17"/>
  <c r="AG147" i="17"/>
  <c r="AH147" i="17"/>
  <c r="AI147" i="17"/>
  <c r="AJ147" i="17"/>
  <c r="AK147" i="17"/>
  <c r="AL147" i="17"/>
  <c r="AM147" i="17"/>
  <c r="A148" i="17"/>
  <c r="B148" i="17"/>
  <c r="D148" i="17"/>
  <c r="E148" i="17"/>
  <c r="G148" i="17"/>
  <c r="H148" i="17"/>
  <c r="I148" i="17"/>
  <c r="J148" i="17"/>
  <c r="K148" i="17"/>
  <c r="L148" i="17"/>
  <c r="O148" i="17"/>
  <c r="P148" i="17"/>
  <c r="Q148" i="17"/>
  <c r="R148" i="17"/>
  <c r="S148" i="17"/>
  <c r="T148" i="17"/>
  <c r="U148" i="17"/>
  <c r="V148" i="17"/>
  <c r="W148" i="17"/>
  <c r="X148" i="17"/>
  <c r="Y148" i="17"/>
  <c r="Z148" i="17"/>
  <c r="AA148" i="17"/>
  <c r="AB148" i="17"/>
  <c r="AC148" i="17"/>
  <c r="AD148" i="17"/>
  <c r="AE148" i="17"/>
  <c r="AF148" i="17"/>
  <c r="AG148" i="17"/>
  <c r="AH148" i="17"/>
  <c r="AI148" i="17"/>
  <c r="AJ148" i="17"/>
  <c r="AK148" i="17"/>
  <c r="AL148" i="17"/>
  <c r="AM148" i="17"/>
  <c r="A149" i="17"/>
  <c r="B149" i="17"/>
  <c r="D149" i="17"/>
  <c r="E149" i="17"/>
  <c r="G149" i="17"/>
  <c r="H149" i="17"/>
  <c r="I149" i="17"/>
  <c r="J149" i="17"/>
  <c r="K149" i="17"/>
  <c r="L149" i="17"/>
  <c r="O149" i="17"/>
  <c r="P149" i="17"/>
  <c r="Q149" i="17"/>
  <c r="R149" i="17"/>
  <c r="S149" i="17"/>
  <c r="T149" i="17"/>
  <c r="U149" i="17"/>
  <c r="V149" i="17"/>
  <c r="W149" i="17"/>
  <c r="X149" i="17"/>
  <c r="Y149" i="17"/>
  <c r="Z149" i="17"/>
  <c r="AA149" i="17"/>
  <c r="AB149" i="17"/>
  <c r="AC149" i="17"/>
  <c r="AD149" i="17"/>
  <c r="AE149" i="17"/>
  <c r="AF149" i="17"/>
  <c r="AG149" i="17"/>
  <c r="AH149" i="17"/>
  <c r="AI149" i="17"/>
  <c r="AJ149" i="17"/>
  <c r="AK149" i="17"/>
  <c r="AL149" i="17"/>
  <c r="AM149" i="17"/>
  <c r="A150" i="17"/>
  <c r="B150" i="17"/>
  <c r="D150" i="17"/>
  <c r="E150" i="17"/>
  <c r="G150" i="17"/>
  <c r="H150" i="17"/>
  <c r="I150" i="17"/>
  <c r="J150" i="17"/>
  <c r="K150" i="17"/>
  <c r="L150" i="17"/>
  <c r="O150" i="17"/>
  <c r="P150" i="17"/>
  <c r="Q150" i="17"/>
  <c r="R150" i="17"/>
  <c r="S150" i="17"/>
  <c r="T150" i="17"/>
  <c r="U150" i="17"/>
  <c r="V150" i="17"/>
  <c r="W150" i="17"/>
  <c r="X150" i="17"/>
  <c r="Y150" i="17"/>
  <c r="Z150" i="17"/>
  <c r="AA150" i="17"/>
  <c r="AB150" i="17"/>
  <c r="AC150" i="17"/>
  <c r="AD150" i="17"/>
  <c r="AE150" i="17"/>
  <c r="AF150" i="17"/>
  <c r="AG150" i="17"/>
  <c r="AH150" i="17"/>
  <c r="AI150" i="17"/>
  <c r="AJ150" i="17"/>
  <c r="AK150" i="17"/>
  <c r="AL150" i="17"/>
  <c r="AM150" i="17"/>
  <c r="A151" i="17"/>
  <c r="B151" i="17"/>
  <c r="D151" i="17"/>
  <c r="E151" i="17"/>
  <c r="G151" i="17"/>
  <c r="H151" i="17"/>
  <c r="I151" i="17"/>
  <c r="J151" i="17"/>
  <c r="K151" i="17"/>
  <c r="L151" i="17"/>
  <c r="O151" i="17"/>
  <c r="P151" i="17"/>
  <c r="Q151" i="17"/>
  <c r="R151" i="17"/>
  <c r="S151" i="17"/>
  <c r="T151" i="17"/>
  <c r="U151" i="17"/>
  <c r="V151" i="17"/>
  <c r="W151" i="17"/>
  <c r="X151" i="17"/>
  <c r="Y151" i="17"/>
  <c r="Z151" i="17"/>
  <c r="AA151" i="17"/>
  <c r="AB151" i="17"/>
  <c r="AC151" i="17"/>
  <c r="AD151" i="17"/>
  <c r="AE151" i="17"/>
  <c r="AF151" i="17"/>
  <c r="AG151" i="17"/>
  <c r="AH151" i="17"/>
  <c r="AI151" i="17"/>
  <c r="AJ151" i="17"/>
  <c r="AK151" i="17"/>
  <c r="AL151" i="17"/>
  <c r="AM151" i="17"/>
  <c r="A152" i="17"/>
  <c r="B152" i="17"/>
  <c r="D152" i="17"/>
  <c r="E152" i="17"/>
  <c r="G152" i="17"/>
  <c r="H152" i="17"/>
  <c r="I152" i="17"/>
  <c r="J152" i="17"/>
  <c r="K152" i="17"/>
  <c r="L152" i="17"/>
  <c r="O152" i="17"/>
  <c r="P152" i="17"/>
  <c r="Q152" i="17"/>
  <c r="R152" i="17"/>
  <c r="S152" i="17"/>
  <c r="T152" i="17"/>
  <c r="U152" i="17"/>
  <c r="V152" i="17"/>
  <c r="W152" i="17"/>
  <c r="X152" i="17"/>
  <c r="Y152" i="17"/>
  <c r="Z152" i="17"/>
  <c r="AA152" i="17"/>
  <c r="AB152" i="17"/>
  <c r="AC152" i="17"/>
  <c r="AD152" i="17"/>
  <c r="AE152" i="17"/>
  <c r="AF152" i="17"/>
  <c r="AG152" i="17"/>
  <c r="AH152" i="17"/>
  <c r="AI152" i="17"/>
  <c r="AJ152" i="17"/>
  <c r="AK152" i="17"/>
  <c r="AL152" i="17"/>
  <c r="AM152" i="17"/>
  <c r="A153" i="17"/>
  <c r="B153" i="17"/>
  <c r="D153" i="17"/>
  <c r="E153" i="17"/>
  <c r="G153" i="17"/>
  <c r="H153" i="17"/>
  <c r="I153" i="17"/>
  <c r="J153" i="17"/>
  <c r="K153" i="17"/>
  <c r="L153" i="17"/>
  <c r="O153" i="17"/>
  <c r="P153" i="17"/>
  <c r="Q153" i="17"/>
  <c r="R153" i="17"/>
  <c r="S153" i="17"/>
  <c r="T153" i="17"/>
  <c r="U153" i="17"/>
  <c r="V153" i="17"/>
  <c r="W153" i="17"/>
  <c r="X153" i="17"/>
  <c r="Y153" i="17"/>
  <c r="Z153" i="17"/>
  <c r="AA153" i="17"/>
  <c r="AB153" i="17"/>
  <c r="AC153" i="17"/>
  <c r="AD153" i="17"/>
  <c r="AE153" i="17"/>
  <c r="AF153" i="17"/>
  <c r="AG153" i="17"/>
  <c r="AH153" i="17"/>
  <c r="AI153" i="17"/>
  <c r="AJ153" i="17"/>
  <c r="AK153" i="17"/>
  <c r="AL153" i="17"/>
  <c r="AM153" i="17"/>
  <c r="A154" i="17"/>
  <c r="B154" i="17"/>
  <c r="D154" i="17"/>
  <c r="E154" i="17"/>
  <c r="G154" i="17"/>
  <c r="H154" i="17"/>
  <c r="I154" i="17"/>
  <c r="J154" i="17"/>
  <c r="K154" i="17"/>
  <c r="L154" i="17"/>
  <c r="O154" i="17"/>
  <c r="P154" i="17"/>
  <c r="Q154" i="17"/>
  <c r="R154" i="17"/>
  <c r="S154" i="17"/>
  <c r="U154" i="17"/>
  <c r="V154" i="17"/>
  <c r="W154" i="17"/>
  <c r="X154" i="17"/>
  <c r="Y154" i="17"/>
  <c r="Z154" i="17"/>
  <c r="AA154" i="17"/>
  <c r="AB154" i="17"/>
  <c r="AD154" i="17"/>
  <c r="AE154" i="17"/>
  <c r="AF154" i="17"/>
  <c r="AG154" i="17"/>
  <c r="AH154" i="17"/>
  <c r="AI154" i="17"/>
  <c r="AJ154" i="17"/>
  <c r="AK154" i="17"/>
  <c r="AL154" i="17"/>
  <c r="AM154" i="17"/>
  <c r="A155" i="17"/>
  <c r="B155" i="17"/>
  <c r="D155" i="17"/>
  <c r="E155" i="17"/>
  <c r="G155" i="17"/>
  <c r="H155" i="17"/>
  <c r="I155" i="17"/>
  <c r="J155" i="17"/>
  <c r="K155" i="17"/>
  <c r="L155" i="17"/>
  <c r="O155" i="17"/>
  <c r="P155" i="17"/>
  <c r="Q155" i="17"/>
  <c r="R155" i="17"/>
  <c r="S155" i="17"/>
  <c r="T155" i="17"/>
  <c r="U155" i="17"/>
  <c r="V155" i="17"/>
  <c r="W155" i="17"/>
  <c r="X155" i="17"/>
  <c r="Y155" i="17"/>
  <c r="Z155" i="17"/>
  <c r="AA155" i="17"/>
  <c r="AB155" i="17"/>
  <c r="AC155" i="17"/>
  <c r="AD155" i="17"/>
  <c r="AE155" i="17"/>
  <c r="AF155" i="17"/>
  <c r="AG155" i="17"/>
  <c r="AH155" i="17"/>
  <c r="AI155" i="17"/>
  <c r="AJ155" i="17"/>
  <c r="AK155" i="17"/>
  <c r="AL155" i="17"/>
  <c r="AM155" i="17"/>
  <c r="A156" i="17"/>
  <c r="B156" i="17"/>
  <c r="D156" i="17"/>
  <c r="E156" i="17"/>
  <c r="G156" i="17"/>
  <c r="H156" i="17"/>
  <c r="I156" i="17"/>
  <c r="J156" i="17"/>
  <c r="K156" i="17"/>
  <c r="L156" i="17"/>
  <c r="O156" i="17"/>
  <c r="P156" i="17"/>
  <c r="Q156" i="17"/>
  <c r="R156" i="17"/>
  <c r="S156" i="17"/>
  <c r="T156" i="17"/>
  <c r="U156" i="17"/>
  <c r="V156" i="17"/>
  <c r="W156" i="17"/>
  <c r="X156" i="17"/>
  <c r="Y156" i="17"/>
  <c r="Z156" i="17"/>
  <c r="AA156" i="17"/>
  <c r="AB156" i="17"/>
  <c r="AC156" i="17"/>
  <c r="AD156" i="17"/>
  <c r="AE156" i="17"/>
  <c r="AF156" i="17"/>
  <c r="AG156" i="17"/>
  <c r="AH156" i="17"/>
  <c r="AI156" i="17"/>
  <c r="AJ156" i="17"/>
  <c r="AK156" i="17"/>
  <c r="AL156" i="17"/>
  <c r="AM156" i="17"/>
  <c r="A157" i="17"/>
  <c r="B157" i="17"/>
  <c r="D157" i="17"/>
  <c r="E157" i="17"/>
  <c r="G157" i="17"/>
  <c r="H157" i="17"/>
  <c r="I157" i="17"/>
  <c r="J157" i="17"/>
  <c r="K157" i="17"/>
  <c r="L157" i="17"/>
  <c r="O157" i="17"/>
  <c r="P157" i="17"/>
  <c r="Q157" i="17"/>
  <c r="R157" i="17"/>
  <c r="S157" i="17"/>
  <c r="T157" i="17"/>
  <c r="U157" i="17"/>
  <c r="V157" i="17"/>
  <c r="W157" i="17"/>
  <c r="X157" i="17"/>
  <c r="Y157" i="17"/>
  <c r="Z157" i="17"/>
  <c r="AA157" i="17"/>
  <c r="AB157" i="17"/>
  <c r="AC157" i="17"/>
  <c r="AD157" i="17"/>
  <c r="AE157" i="17"/>
  <c r="AF157" i="17"/>
  <c r="AG157" i="17"/>
  <c r="AH157" i="17"/>
  <c r="AI157" i="17"/>
  <c r="AJ157" i="17"/>
  <c r="AK157" i="17"/>
  <c r="AL157" i="17"/>
  <c r="AM157" i="17"/>
  <c r="A158" i="17"/>
  <c r="B158" i="17"/>
  <c r="D158" i="17"/>
  <c r="E158" i="17"/>
  <c r="G158" i="17"/>
  <c r="H158" i="17"/>
  <c r="I158" i="17"/>
  <c r="J158" i="17"/>
  <c r="K158" i="17"/>
  <c r="L158" i="17"/>
  <c r="O158" i="17"/>
  <c r="P158" i="17"/>
  <c r="Q158" i="17"/>
  <c r="R158" i="17"/>
  <c r="S158" i="17"/>
  <c r="T158" i="17"/>
  <c r="U158" i="17"/>
  <c r="V158" i="17"/>
  <c r="W158" i="17"/>
  <c r="X158" i="17"/>
  <c r="Y158" i="17"/>
  <c r="Z158" i="17"/>
  <c r="AA158" i="17"/>
  <c r="AB158" i="17"/>
  <c r="AC158" i="17"/>
  <c r="AD158" i="17"/>
  <c r="AE158" i="17"/>
  <c r="AF158" i="17"/>
  <c r="AG158" i="17"/>
  <c r="AH158" i="17"/>
  <c r="AI158" i="17"/>
  <c r="AJ158" i="17"/>
  <c r="AK158" i="17"/>
  <c r="AL158" i="17"/>
  <c r="AM158" i="17"/>
  <c r="A159" i="17"/>
  <c r="B159" i="17"/>
  <c r="D159" i="17"/>
  <c r="E159" i="17"/>
  <c r="G159" i="17"/>
  <c r="H159" i="17"/>
  <c r="I159" i="17"/>
  <c r="J159" i="17"/>
  <c r="K159" i="17"/>
  <c r="L159" i="17"/>
  <c r="O159" i="17"/>
  <c r="P159" i="17"/>
  <c r="Q159" i="17"/>
  <c r="R159" i="17"/>
  <c r="S159" i="17"/>
  <c r="T159" i="17"/>
  <c r="U159" i="17"/>
  <c r="V159" i="17"/>
  <c r="W159" i="17"/>
  <c r="X159" i="17"/>
  <c r="Y159" i="17"/>
  <c r="Z159" i="17"/>
  <c r="AA159" i="17"/>
  <c r="AB159" i="17"/>
  <c r="AC159" i="17"/>
  <c r="AD159" i="17"/>
  <c r="AE159" i="17"/>
  <c r="AF159" i="17"/>
  <c r="AG159" i="17"/>
  <c r="AH159" i="17"/>
  <c r="AI159" i="17"/>
  <c r="AJ159" i="17"/>
  <c r="AK159" i="17"/>
  <c r="AL159" i="17"/>
  <c r="AM159" i="17"/>
  <c r="CL163" i="1" l="1"/>
  <c r="CL164" i="1" s="1"/>
  <c r="CL165" i="1" s="1"/>
  <c r="CL166" i="1" s="1"/>
  <c r="CL167" i="1" s="1"/>
  <c r="CL168" i="1" s="1"/>
  <c r="CO164" i="1"/>
  <c r="CO165" i="1" s="1"/>
  <c r="CO166" i="1" s="1"/>
  <c r="CO167" i="1" s="1"/>
  <c r="CO168" i="1" s="1"/>
  <c r="CO169" i="1" s="1"/>
  <c r="CO170" i="1" s="1"/>
  <c r="CO171" i="1" s="1"/>
  <c r="CO172" i="1" s="1"/>
  <c r="CO173" i="1" s="1"/>
  <c r="CO174" i="1" s="1"/>
  <c r="CO175" i="1" s="1"/>
  <c r="CO176" i="1" s="1"/>
  <c r="CO177" i="1" s="1"/>
  <c r="CT164" i="1"/>
  <c r="CT165" i="1" s="1"/>
  <c r="CT166" i="1" s="1"/>
  <c r="CT167" i="1" s="1"/>
  <c r="CT168" i="1" s="1"/>
  <c r="CT169" i="1" s="1"/>
  <c r="CT170" i="1" s="1"/>
  <c r="CT171" i="1" s="1"/>
  <c r="CT172" i="1" s="1"/>
  <c r="CT173" i="1" s="1"/>
  <c r="CT174" i="1" s="1"/>
  <c r="CT175" i="1" s="1"/>
  <c r="CT176" i="1" s="1"/>
  <c r="CT177" i="1" s="1"/>
  <c r="CR164" i="1"/>
  <c r="CR165" i="1" s="1"/>
  <c r="CR166" i="1" s="1"/>
  <c r="CR167" i="1" s="1"/>
  <c r="CR168" i="1" s="1"/>
  <c r="CR169" i="1" s="1"/>
  <c r="CR170" i="1" s="1"/>
  <c r="CR171" i="1" s="1"/>
  <c r="CR172" i="1" s="1"/>
  <c r="CR173" i="1" s="1"/>
  <c r="CR174" i="1" s="1"/>
  <c r="CR175" i="1" s="1"/>
  <c r="CR176" i="1" s="1"/>
  <c r="CR177" i="1" s="1"/>
  <c r="CG167" i="1"/>
  <c r="CE167" i="1" s="1"/>
  <c r="CK169" i="1"/>
  <c r="CK170" i="1" s="1"/>
  <c r="CK171" i="1" s="1"/>
  <c r="CK172" i="1" s="1"/>
  <c r="CK173" i="1" s="1"/>
  <c r="CK174" i="1" s="1"/>
  <c r="CK175" i="1" s="1"/>
  <c r="CK176" i="1" s="1"/>
  <c r="CK177" i="1" s="1"/>
  <c r="CW164" i="1"/>
  <c r="CW165" i="1" s="1"/>
  <c r="CW166" i="1" s="1"/>
  <c r="CW167" i="1" s="1"/>
  <c r="CW168" i="1" s="1"/>
  <c r="CW169" i="1" s="1"/>
  <c r="CW170" i="1" s="1"/>
  <c r="CW171" i="1" s="1"/>
  <c r="CW172" i="1" s="1"/>
  <c r="CW173" i="1" s="1"/>
  <c r="CW174" i="1" s="1"/>
  <c r="CW175" i="1" s="1"/>
  <c r="CW176" i="1" s="1"/>
  <c r="CW177" i="1" s="1"/>
  <c r="CG163" i="1"/>
  <c r="CE163" i="1" s="1"/>
  <c r="CG162" i="1"/>
  <c r="CE162" i="1" s="1"/>
  <c r="CM163" i="1"/>
  <c r="CM164" i="1" s="1"/>
  <c r="CM165" i="1" s="1"/>
  <c r="CM166" i="1" s="1"/>
  <c r="CM167" i="1" s="1"/>
  <c r="CM168" i="1" s="1"/>
  <c r="CM169" i="1" s="1"/>
  <c r="CM170" i="1" s="1"/>
  <c r="CM171" i="1" s="1"/>
  <c r="CM172" i="1" s="1"/>
  <c r="CM173" i="1" s="1"/>
  <c r="CM174" i="1" s="1"/>
  <c r="CM175" i="1" s="1"/>
  <c r="CM176" i="1" s="1"/>
  <c r="CM177" i="1" s="1"/>
  <c r="CQ163" i="1"/>
  <c r="CQ164" i="1" s="1"/>
  <c r="CQ165" i="1" s="1"/>
  <c r="CQ166" i="1" s="1"/>
  <c r="CQ167" i="1" s="1"/>
  <c r="CQ168" i="1" s="1"/>
  <c r="CQ169" i="1" s="1"/>
  <c r="CQ170" i="1" s="1"/>
  <c r="CQ171" i="1" s="1"/>
  <c r="CQ172" i="1" s="1"/>
  <c r="CQ173" i="1" s="1"/>
  <c r="CQ174" i="1" s="1"/>
  <c r="CQ175" i="1" s="1"/>
  <c r="CQ176" i="1" s="1"/>
  <c r="CQ177" i="1" s="1"/>
  <c r="CU163" i="1"/>
  <c r="CU164" i="1" s="1"/>
  <c r="CU165" i="1" s="1"/>
  <c r="CU166" i="1" s="1"/>
  <c r="CU167" i="1" s="1"/>
  <c r="CU168" i="1" s="1"/>
  <c r="CU169" i="1" s="1"/>
  <c r="CU170" i="1" s="1"/>
  <c r="CU171" i="1" s="1"/>
  <c r="CU172" i="1" s="1"/>
  <c r="CU173" i="1" s="1"/>
  <c r="CU174" i="1" s="1"/>
  <c r="CU175" i="1" s="1"/>
  <c r="CU176" i="1" s="1"/>
  <c r="CU177" i="1" s="1"/>
  <c r="CY163" i="1"/>
  <c r="CY164" i="1" s="1"/>
  <c r="CY165" i="1" s="1"/>
  <c r="CY166" i="1" s="1"/>
  <c r="CY167" i="1" s="1"/>
  <c r="CY168" i="1" s="1"/>
  <c r="CY169" i="1" s="1"/>
  <c r="CY170" i="1" s="1"/>
  <c r="CY171" i="1" s="1"/>
  <c r="CY172" i="1" s="1"/>
  <c r="CY173" i="1" s="1"/>
  <c r="CY174" i="1" s="1"/>
  <c r="CY175" i="1" s="1"/>
  <c r="CY176" i="1" s="1"/>
  <c r="CY177" i="1" s="1"/>
  <c r="CC163" i="1"/>
  <c r="CC167" i="1"/>
  <c r="CG168" i="1"/>
  <c r="CD168" i="1" s="1"/>
  <c r="CH162" i="1"/>
  <c r="CX163" i="1"/>
  <c r="CP163" i="1"/>
  <c r="CP164" i="1" s="1"/>
  <c r="CP165" i="1" s="1"/>
  <c r="CP166" i="1" s="1"/>
  <c r="CP167" i="1" s="1"/>
  <c r="CP168" i="1" s="1"/>
  <c r="CP169" i="1" s="1"/>
  <c r="CP170" i="1" s="1"/>
  <c r="CP171" i="1" s="1"/>
  <c r="CP172" i="1" s="1"/>
  <c r="CP173" i="1" s="1"/>
  <c r="CP174" i="1" s="1"/>
  <c r="CP175" i="1" s="1"/>
  <c r="CP176" i="1" s="1"/>
  <c r="CP177" i="1" s="1"/>
  <c r="CV163" i="1"/>
  <c r="CV164" i="1" s="1"/>
  <c r="CV165" i="1" s="1"/>
  <c r="CV166" i="1" s="1"/>
  <c r="CV167" i="1" s="1"/>
  <c r="CV168" i="1" s="1"/>
  <c r="CV169" i="1" s="1"/>
  <c r="CV170" i="1" s="1"/>
  <c r="CV171" i="1" s="1"/>
  <c r="CV172" i="1" s="1"/>
  <c r="CV173" i="1" s="1"/>
  <c r="CV174" i="1" s="1"/>
  <c r="CV175" i="1" s="1"/>
  <c r="CV176" i="1" s="1"/>
  <c r="CV177" i="1" s="1"/>
  <c r="CN163" i="1"/>
  <c r="CN164" i="1" s="1"/>
  <c r="CN165" i="1" s="1"/>
  <c r="CN166" i="1" s="1"/>
  <c r="CN167" i="1" s="1"/>
  <c r="CN168" i="1" s="1"/>
  <c r="CN169" i="1" s="1"/>
  <c r="CN170" i="1" s="1"/>
  <c r="CN171" i="1" s="1"/>
  <c r="CN172" i="1" s="1"/>
  <c r="CN173" i="1" s="1"/>
  <c r="CN174" i="1" s="1"/>
  <c r="CN175" i="1" s="1"/>
  <c r="CN176" i="1" s="1"/>
  <c r="CN177" i="1" s="1"/>
  <c r="CX164" i="1"/>
  <c r="CX165" i="1" s="1"/>
  <c r="CX166" i="1" s="1"/>
  <c r="CX167" i="1" s="1"/>
  <c r="CX168" i="1" s="1"/>
  <c r="CX169" i="1" s="1"/>
  <c r="CX170" i="1" s="1"/>
  <c r="CX171" i="1" s="1"/>
  <c r="CX172" i="1" s="1"/>
  <c r="CX173" i="1" s="1"/>
  <c r="CX174" i="1" s="1"/>
  <c r="CX175" i="1" s="1"/>
  <c r="CX176" i="1" s="1"/>
  <c r="CX177" i="1" s="1"/>
  <c r="CL169" i="1"/>
  <c r="CL170" i="1" s="1"/>
  <c r="CL171" i="1" s="1"/>
  <c r="CL172" i="1" s="1"/>
  <c r="CL173" i="1" s="1"/>
  <c r="CL174" i="1" s="1"/>
  <c r="CL175" i="1" s="1"/>
  <c r="CL176" i="1" s="1"/>
  <c r="CL177" i="1" s="1"/>
  <c r="CF172" i="1"/>
  <c r="CS169" i="1"/>
  <c r="CS170" i="1" s="1"/>
  <c r="CS171" i="1" s="1"/>
  <c r="CS172" i="1" s="1"/>
  <c r="CS173" i="1" s="1"/>
  <c r="CS174" i="1" s="1"/>
  <c r="CS175" i="1" s="1"/>
  <c r="CS176" i="1" s="1"/>
  <c r="CS177" i="1" s="1"/>
  <c r="CH168" i="1"/>
  <c r="CD172" i="1"/>
  <c r="CI175" i="1"/>
  <c r="CJ176" i="1"/>
  <c r="CE165" i="1"/>
  <c r="CF165" i="1"/>
  <c r="CD165" i="1"/>
  <c r="CE169" i="1"/>
  <c r="CF169" i="1"/>
  <c r="CD169" i="1"/>
  <c r="CE164" i="1"/>
  <c r="CD164" i="1"/>
  <c r="CF164" i="1"/>
  <c r="CH171" i="1"/>
  <c r="CC171" i="1"/>
  <c r="CG171" i="1"/>
  <c r="CE166" i="1"/>
  <c r="CD166" i="1"/>
  <c r="CF166" i="1"/>
  <c r="CD173" i="1"/>
  <c r="CF173" i="1"/>
  <c r="CE173" i="1"/>
  <c r="CD174" i="1"/>
  <c r="CF174" i="1"/>
  <c r="CE174" i="1"/>
  <c r="CH170" i="1"/>
  <c r="CC170" i="1"/>
  <c r="CG170" i="1"/>
  <c r="S160" i="1"/>
  <c r="M159" i="17" s="1"/>
  <c r="T160" i="1"/>
  <c r="N159" i="17" s="1"/>
  <c r="N160" i="1"/>
  <c r="K160" i="1"/>
  <c r="E160" i="1"/>
  <c r="F160" i="1"/>
  <c r="BW146" i="1"/>
  <c r="AN145" i="17" s="1"/>
  <c r="BX146" i="1"/>
  <c r="BY146" i="1"/>
  <c r="CA146" i="1"/>
  <c r="CI146" i="1" s="1"/>
  <c r="BW147" i="1"/>
  <c r="AN146" i="17" s="1"/>
  <c r="BX147" i="1"/>
  <c r="BY147" i="1"/>
  <c r="CA147" i="1"/>
  <c r="CB147" i="1" s="1"/>
  <c r="BW148" i="1"/>
  <c r="AN147" i="17" s="1"/>
  <c r="BX148" i="1"/>
  <c r="BY148" i="1"/>
  <c r="CA148" i="1"/>
  <c r="CB148" i="1" s="1"/>
  <c r="BW149" i="1"/>
  <c r="AN148" i="17" s="1"/>
  <c r="BX149" i="1"/>
  <c r="BY149" i="1"/>
  <c r="CA149" i="1"/>
  <c r="CB149" i="1" s="1"/>
  <c r="BW150" i="1"/>
  <c r="AN149" i="17" s="1"/>
  <c r="BX150" i="1"/>
  <c r="BY150" i="1"/>
  <c r="CA150" i="1"/>
  <c r="CB150" i="1" s="1"/>
  <c r="CC150" i="1" s="1"/>
  <c r="BW151" i="1"/>
  <c r="AN150" i="17" s="1"/>
  <c r="BX151" i="1"/>
  <c r="BY151" i="1"/>
  <c r="CA151" i="1"/>
  <c r="CB151" i="1" s="1"/>
  <c r="CH151" i="1" s="1"/>
  <c r="BW152" i="1"/>
  <c r="AN151" i="17" s="1"/>
  <c r="BX152" i="1"/>
  <c r="BY152" i="1"/>
  <c r="CA152" i="1"/>
  <c r="CB152" i="1" s="1"/>
  <c r="CC152" i="1" s="1"/>
  <c r="BW153" i="1"/>
  <c r="AN152" i="17" s="1"/>
  <c r="BX153" i="1"/>
  <c r="BY153" i="1"/>
  <c r="CA153" i="1"/>
  <c r="CB153" i="1" s="1"/>
  <c r="CH153" i="1" s="1"/>
  <c r="BW154" i="1"/>
  <c r="AN153" i="17" s="1"/>
  <c r="BX154" i="1"/>
  <c r="BY154" i="1"/>
  <c r="CA154" i="1"/>
  <c r="CB154" i="1" s="1"/>
  <c r="BY155" i="1"/>
  <c r="CA155" i="1"/>
  <c r="CB155" i="1" s="1"/>
  <c r="CC155" i="1" s="1"/>
  <c r="BW156" i="1"/>
  <c r="AN155" i="17" s="1"/>
  <c r="BX156" i="1"/>
  <c r="BY156" i="1"/>
  <c r="CA156" i="1"/>
  <c r="CB156" i="1" s="1"/>
  <c r="BW157" i="1"/>
  <c r="AN156" i="17" s="1"/>
  <c r="BX157" i="1"/>
  <c r="BY157" i="1"/>
  <c r="CA157" i="1"/>
  <c r="CB157" i="1" s="1"/>
  <c r="BW158" i="1"/>
  <c r="AN157" i="17" s="1"/>
  <c r="BX158" i="1"/>
  <c r="BY158" i="1"/>
  <c r="CA158" i="1"/>
  <c r="CB158" i="1" s="1"/>
  <c r="CC158" i="1" s="1"/>
  <c r="BW159" i="1"/>
  <c r="AN158" i="17" s="1"/>
  <c r="BX159" i="1"/>
  <c r="BY159" i="1"/>
  <c r="CA159" i="1"/>
  <c r="BW160" i="1"/>
  <c r="AN159" i="17" s="1"/>
  <c r="BX160" i="1"/>
  <c r="BY160" i="1"/>
  <c r="CA160" i="1"/>
  <c r="N146" i="1"/>
  <c r="N147" i="1"/>
  <c r="N148" i="1"/>
  <c r="N149" i="1"/>
  <c r="N150" i="1"/>
  <c r="N151" i="1"/>
  <c r="N152" i="1"/>
  <c r="N153" i="1"/>
  <c r="N154" i="1"/>
  <c r="N156" i="1"/>
  <c r="N157" i="1"/>
  <c r="N158" i="1"/>
  <c r="N159" i="1"/>
  <c r="CF163" i="1" l="1"/>
  <c r="CF167" i="1"/>
  <c r="CF168" i="1"/>
  <c r="CE168" i="1"/>
  <c r="CD162" i="1"/>
  <c r="CD163" i="1"/>
  <c r="CF162" i="1"/>
  <c r="CD167" i="1"/>
  <c r="CI153" i="1"/>
  <c r="CI176" i="1"/>
  <c r="CJ177" i="1"/>
  <c r="CI177" i="1" s="1"/>
  <c r="CH177" i="1"/>
  <c r="CG177" i="1"/>
  <c r="CH176" i="1"/>
  <c r="CG176" i="1"/>
  <c r="CH175" i="1"/>
  <c r="CG175" i="1"/>
  <c r="CD171" i="1"/>
  <c r="CF171" i="1"/>
  <c r="CE171" i="1"/>
  <c r="CD170" i="1"/>
  <c r="CF170" i="1"/>
  <c r="CE170" i="1"/>
  <c r="CB160" i="1"/>
  <c r="CC160" i="1" s="1"/>
  <c r="BZ159" i="1"/>
  <c r="BZ153" i="1"/>
  <c r="BZ151" i="1"/>
  <c r="BZ155" i="1"/>
  <c r="CI152" i="1"/>
  <c r="BZ150" i="1"/>
  <c r="BZ149" i="1"/>
  <c r="CI151" i="1"/>
  <c r="CI155" i="1"/>
  <c r="BZ152" i="1"/>
  <c r="CI150" i="1"/>
  <c r="BZ147" i="1"/>
  <c r="CI158" i="1"/>
  <c r="BZ158" i="1"/>
  <c r="BZ157" i="1"/>
  <c r="CI154" i="1"/>
  <c r="BZ154" i="1"/>
  <c r="CC147" i="1"/>
  <c r="CH147" i="1"/>
  <c r="CC157" i="1"/>
  <c r="CH157" i="1"/>
  <c r="CC149" i="1"/>
  <c r="CH149" i="1"/>
  <c r="CI157" i="1"/>
  <c r="CI156" i="1"/>
  <c r="BZ156" i="1"/>
  <c r="CH155" i="1"/>
  <c r="CI149" i="1"/>
  <c r="CI148" i="1"/>
  <c r="BZ148" i="1"/>
  <c r="CI147" i="1"/>
  <c r="BZ146" i="1"/>
  <c r="CB146" i="1"/>
  <c r="CG146" i="1" s="1"/>
  <c r="BZ160" i="1"/>
  <c r="CB159" i="1"/>
  <c r="CC159" i="1" s="1"/>
  <c r="CG158" i="1"/>
  <c r="CC156" i="1"/>
  <c r="CG156" i="1"/>
  <c r="CH156" i="1"/>
  <c r="CH158" i="1"/>
  <c r="CC154" i="1"/>
  <c r="CG154" i="1"/>
  <c r="CH154" i="1"/>
  <c r="CG157" i="1"/>
  <c r="CG155" i="1"/>
  <c r="CG152" i="1"/>
  <c r="CG150" i="1"/>
  <c r="CC148" i="1"/>
  <c r="CG148" i="1"/>
  <c r="CH148" i="1"/>
  <c r="CC153" i="1"/>
  <c r="CG153" i="1"/>
  <c r="CH152" i="1"/>
  <c r="CC151" i="1"/>
  <c r="CG151" i="1"/>
  <c r="CH150" i="1"/>
  <c r="CG149" i="1"/>
  <c r="CG147" i="1"/>
  <c r="AJ146" i="1"/>
  <c r="F145" i="17" s="1"/>
  <c r="AJ147" i="1"/>
  <c r="F146" i="17" s="1"/>
  <c r="AJ148" i="1"/>
  <c r="F147" i="17" s="1"/>
  <c r="AJ149" i="1"/>
  <c r="F148" i="17" s="1"/>
  <c r="AJ150" i="1"/>
  <c r="F149" i="17" s="1"/>
  <c r="AJ151" i="1"/>
  <c r="F150" i="17" s="1"/>
  <c r="AJ152" i="1"/>
  <c r="F151" i="17" s="1"/>
  <c r="AJ153" i="1"/>
  <c r="F152" i="17" s="1"/>
  <c r="AJ154" i="1"/>
  <c r="F153" i="17" s="1"/>
  <c r="AJ155" i="1"/>
  <c r="F154" i="17" s="1"/>
  <c r="AJ156" i="1"/>
  <c r="F155" i="17" s="1"/>
  <c r="AJ157" i="1"/>
  <c r="F156" i="17" s="1"/>
  <c r="AJ158" i="1"/>
  <c r="F157" i="17" s="1"/>
  <c r="AJ160" i="1"/>
  <c r="F159" i="17" s="1"/>
  <c r="S146" i="1"/>
  <c r="M145" i="17" s="1"/>
  <c r="T146" i="1"/>
  <c r="N145" i="17" s="1"/>
  <c r="S147" i="1"/>
  <c r="M146" i="17" s="1"/>
  <c r="T147" i="1"/>
  <c r="N146" i="17" s="1"/>
  <c r="S148" i="1"/>
  <c r="M147" i="17" s="1"/>
  <c r="T148" i="1"/>
  <c r="N147" i="17" s="1"/>
  <c r="S149" i="1"/>
  <c r="M148" i="17" s="1"/>
  <c r="T149" i="1"/>
  <c r="N148" i="17" s="1"/>
  <c r="S150" i="1"/>
  <c r="M149" i="17" s="1"/>
  <c r="T150" i="1"/>
  <c r="N149" i="17" s="1"/>
  <c r="S151" i="1"/>
  <c r="M150" i="17" s="1"/>
  <c r="T151" i="1"/>
  <c r="N150" i="17" s="1"/>
  <c r="S152" i="1"/>
  <c r="M151" i="17" s="1"/>
  <c r="T152" i="1"/>
  <c r="N151" i="17" s="1"/>
  <c r="S153" i="1"/>
  <c r="M152" i="17" s="1"/>
  <c r="T153" i="1"/>
  <c r="N152" i="17" s="1"/>
  <c r="S154" i="1"/>
  <c r="M153" i="17" s="1"/>
  <c r="T154" i="1"/>
  <c r="N153" i="17" s="1"/>
  <c r="S155" i="1"/>
  <c r="M154" i="17" s="1"/>
  <c r="T155" i="1"/>
  <c r="N154" i="17" s="1"/>
  <c r="S156" i="1"/>
  <c r="M155" i="17" s="1"/>
  <c r="T156" i="1"/>
  <c r="N155" i="17" s="1"/>
  <c r="S157" i="1"/>
  <c r="M156" i="17" s="1"/>
  <c r="T157" i="1"/>
  <c r="N156" i="17" s="1"/>
  <c r="S158" i="1"/>
  <c r="M157" i="17" s="1"/>
  <c r="T158" i="1"/>
  <c r="N157" i="17" s="1"/>
  <c r="S159" i="1"/>
  <c r="M158" i="17" s="1"/>
  <c r="T159" i="1"/>
  <c r="N158" i="17" s="1"/>
  <c r="K146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E146" i="1"/>
  <c r="E147" i="1"/>
  <c r="E148" i="1"/>
  <c r="E149" i="1"/>
  <c r="E150" i="1"/>
  <c r="E151" i="1"/>
  <c r="E152" i="1"/>
  <c r="E153" i="1"/>
  <c r="E154" i="1"/>
  <c r="E156" i="1"/>
  <c r="E157" i="1"/>
  <c r="E158" i="1"/>
  <c r="E159" i="1"/>
  <c r="CJ7" i="1"/>
  <c r="F116" i="1"/>
  <c r="CE177" i="1" l="1"/>
  <c r="CD177" i="1"/>
  <c r="CF177" i="1"/>
  <c r="CE176" i="1"/>
  <c r="CF176" i="1"/>
  <c r="CD176" i="1"/>
  <c r="CD175" i="1"/>
  <c r="CF175" i="1"/>
  <c r="CE175" i="1"/>
  <c r="CC146" i="1"/>
  <c r="CH146" i="1"/>
  <c r="CI159" i="1"/>
  <c r="CH159" i="1"/>
  <c r="CG159" i="1"/>
  <c r="CE148" i="1"/>
  <c r="CD148" i="1"/>
  <c r="CF148" i="1"/>
  <c r="CD150" i="1"/>
  <c r="CF150" i="1"/>
  <c r="CE150" i="1"/>
  <c r="CD147" i="1"/>
  <c r="CF147" i="1"/>
  <c r="CE147" i="1"/>
  <c r="CD149" i="1"/>
  <c r="CF149" i="1"/>
  <c r="CE149" i="1"/>
  <c r="CE151" i="1"/>
  <c r="CF151" i="1"/>
  <c r="CD151" i="1"/>
  <c r="CE153" i="1"/>
  <c r="CF153" i="1"/>
  <c r="CD153" i="1"/>
  <c r="CE146" i="1"/>
  <c r="CD146" i="1"/>
  <c r="CF146" i="1"/>
  <c r="CD152" i="1"/>
  <c r="CF152" i="1"/>
  <c r="CE152" i="1"/>
  <c r="CD155" i="1"/>
  <c r="CF155" i="1"/>
  <c r="CE155" i="1"/>
  <c r="CD157" i="1"/>
  <c r="CF157" i="1"/>
  <c r="CE157" i="1"/>
  <c r="CE154" i="1"/>
  <c r="CD154" i="1"/>
  <c r="CF154" i="1"/>
  <c r="CE156" i="1"/>
  <c r="CD156" i="1"/>
  <c r="CF156" i="1"/>
  <c r="CD158" i="1"/>
  <c r="CF158" i="1"/>
  <c r="CE158" i="1"/>
  <c r="K5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3" i="1"/>
  <c r="N4" i="1"/>
  <c r="N5" i="1"/>
  <c r="N6" i="1"/>
  <c r="N7" i="1"/>
  <c r="CE159" i="1" l="1"/>
  <c r="CF159" i="1"/>
  <c r="CD159" i="1"/>
  <c r="S130" i="1" l="1"/>
  <c r="M129" i="17" s="1"/>
  <c r="S131" i="1"/>
  <c r="M130" i="17" s="1"/>
  <c r="S132" i="1"/>
  <c r="M131" i="17" s="1"/>
  <c r="S133" i="1"/>
  <c r="M132" i="17" s="1"/>
  <c r="S134" i="1"/>
  <c r="M133" i="17" s="1"/>
  <c r="S135" i="1"/>
  <c r="M134" i="17" s="1"/>
  <c r="S136" i="1"/>
  <c r="M135" i="17" s="1"/>
  <c r="S137" i="1"/>
  <c r="M136" i="17" s="1"/>
  <c r="S138" i="1"/>
  <c r="M137" i="17" s="1"/>
  <c r="S139" i="1"/>
  <c r="M138" i="17" s="1"/>
  <c r="S140" i="1"/>
  <c r="M139" i="17" s="1"/>
  <c r="S141" i="1"/>
  <c r="M140" i="17" s="1"/>
  <c r="S142" i="1"/>
  <c r="M141" i="17" s="1"/>
  <c r="S143" i="1"/>
  <c r="M142" i="17" s="1"/>
  <c r="S144" i="1"/>
  <c r="M143" i="17" s="1"/>
  <c r="S145" i="1"/>
  <c r="M144" i="17" s="1"/>
  <c r="S7" i="1"/>
  <c r="M6" i="17" s="1"/>
  <c r="S8" i="1"/>
  <c r="M7" i="17" s="1"/>
  <c r="S9" i="1"/>
  <c r="M8" i="17" s="1"/>
  <c r="S10" i="1"/>
  <c r="M9" i="17" s="1"/>
  <c r="S11" i="1"/>
  <c r="M10" i="17" s="1"/>
  <c r="S12" i="1"/>
  <c r="M11" i="17" s="1"/>
  <c r="S13" i="1"/>
  <c r="M12" i="17" s="1"/>
  <c r="S14" i="1"/>
  <c r="M13" i="17" s="1"/>
  <c r="S15" i="1"/>
  <c r="M14" i="17" s="1"/>
  <c r="S16" i="1"/>
  <c r="M15" i="17" s="1"/>
  <c r="S17" i="1"/>
  <c r="M16" i="17" s="1"/>
  <c r="S18" i="1"/>
  <c r="M17" i="17" s="1"/>
  <c r="S19" i="1"/>
  <c r="M18" i="17" s="1"/>
  <c r="S20" i="1"/>
  <c r="M19" i="17" s="1"/>
  <c r="S21" i="1"/>
  <c r="M20" i="17" s="1"/>
  <c r="S22" i="1"/>
  <c r="S23" i="1"/>
  <c r="M22" i="17" s="1"/>
  <c r="S24" i="1"/>
  <c r="M23" i="17" s="1"/>
  <c r="S25" i="1"/>
  <c r="M24" i="17" s="1"/>
  <c r="S26" i="1"/>
  <c r="M25" i="17" s="1"/>
  <c r="S27" i="1"/>
  <c r="M26" i="17" s="1"/>
  <c r="S28" i="1"/>
  <c r="M27" i="17" s="1"/>
  <c r="S29" i="1"/>
  <c r="M28" i="17" s="1"/>
  <c r="S30" i="1"/>
  <c r="M29" i="17" s="1"/>
  <c r="S31" i="1"/>
  <c r="M30" i="17" s="1"/>
  <c r="S32" i="1"/>
  <c r="M31" i="17" s="1"/>
  <c r="S33" i="1"/>
  <c r="S34" i="1"/>
  <c r="M33" i="17" s="1"/>
  <c r="S35" i="1"/>
  <c r="M34" i="17" s="1"/>
  <c r="S36" i="1"/>
  <c r="M35" i="17" s="1"/>
  <c r="S37" i="1"/>
  <c r="M36" i="17" s="1"/>
  <c r="S38" i="1"/>
  <c r="M37" i="17" s="1"/>
  <c r="S39" i="1"/>
  <c r="M38" i="17" s="1"/>
  <c r="S40" i="1"/>
  <c r="M39" i="17" s="1"/>
  <c r="S41" i="1"/>
  <c r="M40" i="17" s="1"/>
  <c r="S42" i="1"/>
  <c r="M41" i="17" s="1"/>
  <c r="S43" i="1"/>
  <c r="M42" i="17" s="1"/>
  <c r="S44" i="1"/>
  <c r="M43" i="17" s="1"/>
  <c r="S45" i="1"/>
  <c r="M44" i="17" s="1"/>
  <c r="S46" i="1"/>
  <c r="M45" i="17" s="1"/>
  <c r="S47" i="1"/>
  <c r="M46" i="17" s="1"/>
  <c r="S48" i="1"/>
  <c r="M47" i="17" s="1"/>
  <c r="S49" i="1"/>
  <c r="M48" i="17" s="1"/>
  <c r="S50" i="1"/>
  <c r="M49" i="17" s="1"/>
  <c r="S51" i="1"/>
  <c r="M50" i="17" s="1"/>
  <c r="S52" i="1"/>
  <c r="M51" i="17" s="1"/>
  <c r="S53" i="1"/>
  <c r="M52" i="17" s="1"/>
  <c r="S54" i="1"/>
  <c r="M53" i="17" s="1"/>
  <c r="S55" i="1"/>
  <c r="M54" i="17" s="1"/>
  <c r="S56" i="1"/>
  <c r="M55" i="17" s="1"/>
  <c r="S57" i="1"/>
  <c r="M56" i="17" s="1"/>
  <c r="S58" i="1"/>
  <c r="M57" i="17" s="1"/>
  <c r="S59" i="1"/>
  <c r="M58" i="17" s="1"/>
  <c r="S60" i="1"/>
  <c r="M59" i="17" s="1"/>
  <c r="S61" i="1"/>
  <c r="M60" i="17" s="1"/>
  <c r="S62" i="1"/>
  <c r="M61" i="17" s="1"/>
  <c r="S63" i="1"/>
  <c r="M62" i="17" s="1"/>
  <c r="S64" i="1"/>
  <c r="M63" i="17" s="1"/>
  <c r="S65" i="1"/>
  <c r="M64" i="17" s="1"/>
  <c r="S66" i="1"/>
  <c r="M65" i="17" s="1"/>
  <c r="S67" i="1"/>
  <c r="M66" i="17" s="1"/>
  <c r="S68" i="1"/>
  <c r="M67" i="17" s="1"/>
  <c r="S69" i="1"/>
  <c r="M68" i="17" s="1"/>
  <c r="S70" i="1"/>
  <c r="M69" i="17" s="1"/>
  <c r="S71" i="1"/>
  <c r="M70" i="17" s="1"/>
  <c r="S72" i="1"/>
  <c r="M71" i="17" s="1"/>
  <c r="S73" i="1"/>
  <c r="M72" i="17" s="1"/>
  <c r="S74" i="1"/>
  <c r="M73" i="17" s="1"/>
  <c r="S75" i="1"/>
  <c r="M74" i="17" s="1"/>
  <c r="S76" i="1"/>
  <c r="M75" i="17" s="1"/>
  <c r="S77" i="1"/>
  <c r="M76" i="17" s="1"/>
  <c r="S78" i="1"/>
  <c r="M77" i="17" s="1"/>
  <c r="S79" i="1"/>
  <c r="M78" i="17" s="1"/>
  <c r="S80" i="1"/>
  <c r="M79" i="17" s="1"/>
  <c r="S81" i="1"/>
  <c r="M80" i="17" s="1"/>
  <c r="S82" i="1"/>
  <c r="M81" i="17" s="1"/>
  <c r="S83" i="1"/>
  <c r="M82" i="17" s="1"/>
  <c r="S84" i="1"/>
  <c r="M83" i="17" s="1"/>
  <c r="S85" i="1"/>
  <c r="M84" i="17" s="1"/>
  <c r="S86" i="1"/>
  <c r="M85" i="17" s="1"/>
  <c r="S87" i="1"/>
  <c r="M86" i="17" s="1"/>
  <c r="S88" i="1"/>
  <c r="M87" i="17" s="1"/>
  <c r="S89" i="1"/>
  <c r="M88" i="17" s="1"/>
  <c r="S90" i="1"/>
  <c r="M89" i="17" s="1"/>
  <c r="S91" i="1"/>
  <c r="M90" i="17" s="1"/>
  <c r="S92" i="1"/>
  <c r="M91" i="17" s="1"/>
  <c r="S93" i="1"/>
  <c r="M92" i="17" s="1"/>
  <c r="S94" i="1"/>
  <c r="S95" i="1"/>
  <c r="M94" i="17" s="1"/>
  <c r="S96" i="1"/>
  <c r="M95" i="17" s="1"/>
  <c r="S97" i="1"/>
  <c r="M96" i="17" s="1"/>
  <c r="S98" i="1"/>
  <c r="M97" i="17" s="1"/>
  <c r="S99" i="1"/>
  <c r="M98" i="17" s="1"/>
  <c r="S100" i="1"/>
  <c r="M99" i="17" s="1"/>
  <c r="S101" i="1"/>
  <c r="M100" i="17" s="1"/>
  <c r="S102" i="1"/>
  <c r="M101" i="17" s="1"/>
  <c r="S103" i="1"/>
  <c r="M102" i="17" s="1"/>
  <c r="S104" i="1"/>
  <c r="M103" i="17" s="1"/>
  <c r="S105" i="1"/>
  <c r="M104" i="17" s="1"/>
  <c r="S106" i="1"/>
  <c r="M105" i="17" s="1"/>
  <c r="S107" i="1"/>
  <c r="M106" i="17" s="1"/>
  <c r="S108" i="1"/>
  <c r="M107" i="17" s="1"/>
  <c r="S109" i="1"/>
  <c r="M108" i="17" s="1"/>
  <c r="S110" i="1"/>
  <c r="M109" i="17" s="1"/>
  <c r="S111" i="1"/>
  <c r="M110" i="17" s="1"/>
  <c r="S112" i="1"/>
  <c r="M111" i="17" s="1"/>
  <c r="S113" i="1"/>
  <c r="M112" i="17" s="1"/>
  <c r="S114" i="1"/>
  <c r="M113" i="17" s="1"/>
  <c r="S115" i="1"/>
  <c r="M114" i="17" s="1"/>
  <c r="S116" i="1"/>
  <c r="M115" i="17" s="1"/>
  <c r="S117" i="1"/>
  <c r="M116" i="17" s="1"/>
  <c r="S118" i="1"/>
  <c r="M117" i="17" s="1"/>
  <c r="S119" i="1"/>
  <c r="M118" i="17" s="1"/>
  <c r="S120" i="1"/>
  <c r="M119" i="17" s="1"/>
  <c r="S121" i="1"/>
  <c r="M120" i="17" s="1"/>
  <c r="S122" i="1"/>
  <c r="M121" i="17" s="1"/>
  <c r="S123" i="1"/>
  <c r="M122" i="17" s="1"/>
  <c r="S124" i="1"/>
  <c r="M123" i="17" s="1"/>
  <c r="S125" i="1"/>
  <c r="M124" i="17" s="1"/>
  <c r="S126" i="1"/>
  <c r="M125" i="17" s="1"/>
  <c r="S127" i="1"/>
  <c r="M126" i="17" s="1"/>
  <c r="S128" i="1"/>
  <c r="M127" i="17" s="1"/>
  <c r="S129" i="1"/>
  <c r="M128" i="17" s="1"/>
  <c r="CY7" i="1"/>
  <c r="S4" i="1"/>
  <c r="M3" i="17" s="1"/>
  <c r="S5" i="1"/>
  <c r="M4" i="17" s="1"/>
  <c r="S6" i="1"/>
  <c r="M5" i="17" s="1"/>
  <c r="S3" i="1"/>
  <c r="M2" i="17" s="1"/>
  <c r="T76" i="1"/>
  <c r="N75" i="17" s="1"/>
  <c r="T77" i="1"/>
  <c r="N76" i="17" s="1"/>
  <c r="T78" i="1"/>
  <c r="N77" i="17" s="1"/>
  <c r="T79" i="1"/>
  <c r="N78" i="17" s="1"/>
  <c r="T80" i="1"/>
  <c r="N79" i="17" s="1"/>
  <c r="T81" i="1"/>
  <c r="N80" i="17" s="1"/>
  <c r="T82" i="1"/>
  <c r="N81" i="17" s="1"/>
  <c r="T83" i="1"/>
  <c r="N82" i="17" s="1"/>
  <c r="T84" i="1"/>
  <c r="N83" i="17" s="1"/>
  <c r="T85" i="1"/>
  <c r="N84" i="17" s="1"/>
  <c r="T86" i="1"/>
  <c r="N85" i="17" s="1"/>
  <c r="T87" i="1"/>
  <c r="N86" i="17" s="1"/>
  <c r="T88" i="1"/>
  <c r="N87" i="17" s="1"/>
  <c r="T89" i="1"/>
  <c r="N88" i="17" s="1"/>
  <c r="T90" i="1"/>
  <c r="N89" i="17" s="1"/>
  <c r="T91" i="1"/>
  <c r="N90" i="17" s="1"/>
  <c r="T92" i="1"/>
  <c r="N91" i="17" s="1"/>
  <c r="T93" i="1"/>
  <c r="N92" i="17" s="1"/>
  <c r="T94" i="1"/>
  <c r="N93" i="17" s="1"/>
  <c r="T95" i="1"/>
  <c r="N94" i="17" s="1"/>
  <c r="T96" i="1"/>
  <c r="N95" i="17" s="1"/>
  <c r="T97" i="1"/>
  <c r="N96" i="17" s="1"/>
  <c r="T98" i="1"/>
  <c r="N97" i="17" s="1"/>
  <c r="T99" i="1"/>
  <c r="N98" i="17" s="1"/>
  <c r="T100" i="1"/>
  <c r="N99" i="17" s="1"/>
  <c r="T101" i="1"/>
  <c r="N100" i="17" s="1"/>
  <c r="T102" i="1"/>
  <c r="N101" i="17" s="1"/>
  <c r="T103" i="1"/>
  <c r="N102" i="17" s="1"/>
  <c r="T104" i="1"/>
  <c r="N103" i="17" s="1"/>
  <c r="T105" i="1"/>
  <c r="N104" i="17" s="1"/>
  <c r="T106" i="1"/>
  <c r="N105" i="17" s="1"/>
  <c r="T107" i="1"/>
  <c r="N106" i="17" s="1"/>
  <c r="T108" i="1"/>
  <c r="N107" i="17" s="1"/>
  <c r="T109" i="1"/>
  <c r="N108" i="17" s="1"/>
  <c r="T110" i="1"/>
  <c r="N109" i="17" s="1"/>
  <c r="T111" i="1"/>
  <c r="N110" i="17" s="1"/>
  <c r="T112" i="1"/>
  <c r="N111" i="17" s="1"/>
  <c r="T113" i="1"/>
  <c r="N112" i="17" s="1"/>
  <c r="T114" i="1"/>
  <c r="N113" i="17" s="1"/>
  <c r="T115" i="1"/>
  <c r="N114" i="17" s="1"/>
  <c r="T116" i="1"/>
  <c r="N115" i="17" s="1"/>
  <c r="T117" i="1"/>
  <c r="N116" i="17" s="1"/>
  <c r="T118" i="1"/>
  <c r="N117" i="17" s="1"/>
  <c r="T119" i="1"/>
  <c r="N118" i="17" s="1"/>
  <c r="T120" i="1"/>
  <c r="N119" i="17" s="1"/>
  <c r="T121" i="1"/>
  <c r="N120" i="17" s="1"/>
  <c r="T122" i="1"/>
  <c r="N121" i="17" s="1"/>
  <c r="T123" i="1"/>
  <c r="N122" i="17" s="1"/>
  <c r="T124" i="1"/>
  <c r="N123" i="17" s="1"/>
  <c r="T125" i="1"/>
  <c r="N124" i="17" s="1"/>
  <c r="T126" i="1"/>
  <c r="N125" i="17" s="1"/>
  <c r="T127" i="1"/>
  <c r="N126" i="17" s="1"/>
  <c r="T128" i="1"/>
  <c r="N127" i="17" s="1"/>
  <c r="T129" i="1"/>
  <c r="N128" i="17" s="1"/>
  <c r="T130" i="1"/>
  <c r="N129" i="17" s="1"/>
  <c r="T131" i="1"/>
  <c r="N130" i="17" s="1"/>
  <c r="T132" i="1"/>
  <c r="N131" i="17" s="1"/>
  <c r="T133" i="1"/>
  <c r="N132" i="17" s="1"/>
  <c r="T134" i="1"/>
  <c r="N133" i="17" s="1"/>
  <c r="T135" i="1"/>
  <c r="N134" i="17" s="1"/>
  <c r="T136" i="1"/>
  <c r="N135" i="17" s="1"/>
  <c r="T137" i="1"/>
  <c r="N136" i="17" s="1"/>
  <c r="T138" i="1"/>
  <c r="N137" i="17" s="1"/>
  <c r="T139" i="1"/>
  <c r="N138" i="17" s="1"/>
  <c r="T140" i="1"/>
  <c r="N139" i="17" s="1"/>
  <c r="T141" i="1"/>
  <c r="N140" i="17" s="1"/>
  <c r="T142" i="1"/>
  <c r="N141" i="17" s="1"/>
  <c r="T143" i="1"/>
  <c r="N142" i="17" s="1"/>
  <c r="T144" i="1"/>
  <c r="N143" i="17" s="1"/>
  <c r="T145" i="1"/>
  <c r="N144" i="17" s="1"/>
  <c r="T3" i="1"/>
  <c r="N2" i="17" s="1"/>
  <c r="T4" i="1"/>
  <c r="N3" i="17" s="1"/>
  <c r="T5" i="1"/>
  <c r="N4" i="17" s="1"/>
  <c r="T6" i="1"/>
  <c r="N5" i="17" s="1"/>
  <c r="T7" i="1"/>
  <c r="N6" i="17" s="1"/>
  <c r="T8" i="1"/>
  <c r="N7" i="17" s="1"/>
  <c r="T9" i="1"/>
  <c r="N8" i="17" s="1"/>
  <c r="T10" i="1"/>
  <c r="N9" i="17" s="1"/>
  <c r="T11" i="1"/>
  <c r="N10" i="17" s="1"/>
  <c r="T12" i="1"/>
  <c r="N11" i="17" s="1"/>
  <c r="T13" i="1"/>
  <c r="N12" i="17" s="1"/>
  <c r="T14" i="1"/>
  <c r="N13" i="17" s="1"/>
  <c r="T15" i="1"/>
  <c r="N14" i="17" s="1"/>
  <c r="T16" i="1"/>
  <c r="N15" i="17" s="1"/>
  <c r="T17" i="1"/>
  <c r="N16" i="17" s="1"/>
  <c r="T18" i="1"/>
  <c r="N17" i="17" s="1"/>
  <c r="T19" i="1"/>
  <c r="N18" i="17" s="1"/>
  <c r="T20" i="1"/>
  <c r="N19" i="17" s="1"/>
  <c r="T21" i="1"/>
  <c r="N20" i="17" s="1"/>
  <c r="T22" i="1"/>
  <c r="N21" i="17" s="1"/>
  <c r="T23" i="1"/>
  <c r="N22" i="17" s="1"/>
  <c r="T24" i="1"/>
  <c r="N23" i="17" s="1"/>
  <c r="T25" i="1"/>
  <c r="N24" i="17" s="1"/>
  <c r="T26" i="1"/>
  <c r="N25" i="17" s="1"/>
  <c r="T27" i="1"/>
  <c r="N26" i="17" s="1"/>
  <c r="T28" i="1"/>
  <c r="N27" i="17" s="1"/>
  <c r="T29" i="1"/>
  <c r="N28" i="17" s="1"/>
  <c r="T30" i="1"/>
  <c r="N29" i="17" s="1"/>
  <c r="T31" i="1"/>
  <c r="N30" i="17" s="1"/>
  <c r="T32" i="1"/>
  <c r="N31" i="17" s="1"/>
  <c r="T33" i="1"/>
  <c r="N32" i="17" s="1"/>
  <c r="T34" i="1"/>
  <c r="N33" i="17" s="1"/>
  <c r="T35" i="1"/>
  <c r="N34" i="17" s="1"/>
  <c r="T36" i="1"/>
  <c r="N35" i="17" s="1"/>
  <c r="T37" i="1"/>
  <c r="N36" i="17" s="1"/>
  <c r="T38" i="1"/>
  <c r="N37" i="17" s="1"/>
  <c r="T39" i="1"/>
  <c r="N38" i="17" s="1"/>
  <c r="T40" i="1"/>
  <c r="N39" i="17" s="1"/>
  <c r="T41" i="1"/>
  <c r="N40" i="17" s="1"/>
  <c r="T42" i="1"/>
  <c r="N41" i="17" s="1"/>
  <c r="T43" i="1"/>
  <c r="N42" i="17" s="1"/>
  <c r="T44" i="1"/>
  <c r="N43" i="17" s="1"/>
  <c r="T45" i="1"/>
  <c r="N44" i="17" s="1"/>
  <c r="T46" i="1"/>
  <c r="N45" i="17" s="1"/>
  <c r="T47" i="1"/>
  <c r="N46" i="17" s="1"/>
  <c r="T48" i="1"/>
  <c r="N47" i="17" s="1"/>
  <c r="T49" i="1"/>
  <c r="N48" i="17" s="1"/>
  <c r="T50" i="1"/>
  <c r="N49" i="17" s="1"/>
  <c r="T51" i="1"/>
  <c r="N50" i="17" s="1"/>
  <c r="T52" i="1"/>
  <c r="N51" i="17" s="1"/>
  <c r="T53" i="1"/>
  <c r="N52" i="17" s="1"/>
  <c r="T54" i="1"/>
  <c r="N53" i="17" s="1"/>
  <c r="T55" i="1"/>
  <c r="N54" i="17" s="1"/>
  <c r="T56" i="1"/>
  <c r="N55" i="17" s="1"/>
  <c r="T57" i="1"/>
  <c r="N56" i="17" s="1"/>
  <c r="T58" i="1"/>
  <c r="N57" i="17" s="1"/>
  <c r="T59" i="1"/>
  <c r="N58" i="17" s="1"/>
  <c r="T60" i="1"/>
  <c r="N59" i="17" s="1"/>
  <c r="T61" i="1"/>
  <c r="N60" i="17" s="1"/>
  <c r="T62" i="1"/>
  <c r="N61" i="17" s="1"/>
  <c r="T63" i="1"/>
  <c r="N62" i="17" s="1"/>
  <c r="T64" i="1"/>
  <c r="N63" i="17" s="1"/>
  <c r="T65" i="1"/>
  <c r="N64" i="17" s="1"/>
  <c r="T66" i="1"/>
  <c r="N65" i="17" s="1"/>
  <c r="T67" i="1"/>
  <c r="N66" i="17" s="1"/>
  <c r="T68" i="1"/>
  <c r="N67" i="17" s="1"/>
  <c r="T69" i="1"/>
  <c r="N68" i="17" s="1"/>
  <c r="T70" i="1"/>
  <c r="N69" i="17" s="1"/>
  <c r="T71" i="1"/>
  <c r="N70" i="17" s="1"/>
  <c r="T72" i="1"/>
  <c r="N71" i="17" s="1"/>
  <c r="T73" i="1"/>
  <c r="N72" i="17" s="1"/>
  <c r="T74" i="1"/>
  <c r="N73" i="17" s="1"/>
  <c r="T75" i="1"/>
  <c r="N74" i="17" s="1"/>
  <c r="BW128" i="1"/>
  <c r="AN127" i="17" s="1"/>
  <c r="BW129" i="1"/>
  <c r="AN128" i="17" s="1"/>
  <c r="BW130" i="1"/>
  <c r="AN129" i="17" s="1"/>
  <c r="BW131" i="1"/>
  <c r="AN130" i="17" s="1"/>
  <c r="BW132" i="1"/>
  <c r="AN131" i="17" s="1"/>
  <c r="BW133" i="1"/>
  <c r="AN132" i="17" s="1"/>
  <c r="BW134" i="1"/>
  <c r="AN133" i="17" s="1"/>
  <c r="BW135" i="1"/>
  <c r="AN134" i="17" s="1"/>
  <c r="BW136" i="1"/>
  <c r="AN135" i="17" s="1"/>
  <c r="BW137" i="1"/>
  <c r="AN136" i="17" s="1"/>
  <c r="BW138" i="1"/>
  <c r="AN137" i="17" s="1"/>
  <c r="BW139" i="1"/>
  <c r="AN138" i="17" s="1"/>
  <c r="BW140" i="1"/>
  <c r="AN139" i="17" s="1"/>
  <c r="BW141" i="1"/>
  <c r="AN140" i="17" s="1"/>
  <c r="BW142" i="1"/>
  <c r="AN141" i="17" s="1"/>
  <c r="BW143" i="1"/>
  <c r="AN142" i="17" s="1"/>
  <c r="BW144" i="1"/>
  <c r="AN143" i="17" s="1"/>
  <c r="BW145" i="1"/>
  <c r="AN144" i="17" s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J146" i="1" s="1"/>
  <c r="CJ147" i="1" s="1"/>
  <c r="CJ148" i="1" s="1"/>
  <c r="CJ149" i="1" s="1"/>
  <c r="CJ150" i="1" s="1"/>
  <c r="CJ151" i="1" s="1"/>
  <c r="CJ152" i="1" s="1"/>
  <c r="CJ153" i="1" s="1"/>
  <c r="CJ154" i="1" s="1"/>
  <c r="CJ155" i="1" s="1"/>
  <c r="CJ156" i="1" s="1"/>
  <c r="CJ157" i="1" s="1"/>
  <c r="CJ158" i="1" s="1"/>
  <c r="CJ159" i="1" s="1"/>
  <c r="CJ160" i="1" s="1"/>
  <c r="CJ161" i="1" s="1"/>
  <c r="CI161" i="1" s="1"/>
  <c r="AJ127" i="1"/>
  <c r="F126" i="17" s="1"/>
  <c r="AJ128" i="1"/>
  <c r="F127" i="17" s="1"/>
  <c r="AJ129" i="1"/>
  <c r="F128" i="17" s="1"/>
  <c r="AJ130" i="1"/>
  <c r="F129" i="17" s="1"/>
  <c r="AJ131" i="1"/>
  <c r="F130" i="17" s="1"/>
  <c r="AJ132" i="1"/>
  <c r="F131" i="17" s="1"/>
  <c r="AJ133" i="1"/>
  <c r="F132" i="17" s="1"/>
  <c r="AJ134" i="1"/>
  <c r="F133" i="17" s="1"/>
  <c r="AJ135" i="1"/>
  <c r="F134" i="17" s="1"/>
  <c r="AJ136" i="1"/>
  <c r="F135" i="17" s="1"/>
  <c r="AJ137" i="1"/>
  <c r="F136" i="17" s="1"/>
  <c r="AJ138" i="1"/>
  <c r="F137" i="17" s="1"/>
  <c r="AJ139" i="1"/>
  <c r="F138" i="17" s="1"/>
  <c r="AJ140" i="1"/>
  <c r="F139" i="17" s="1"/>
  <c r="AJ141" i="1"/>
  <c r="F140" i="17" s="1"/>
  <c r="AJ142" i="1"/>
  <c r="F141" i="17" s="1"/>
  <c r="AJ143" i="1"/>
  <c r="F142" i="17" s="1"/>
  <c r="AJ144" i="1"/>
  <c r="F143" i="17" s="1"/>
  <c r="AJ145" i="1"/>
  <c r="F144" i="17" s="1"/>
  <c r="BX145" i="1"/>
  <c r="BY145" i="1"/>
  <c r="BX144" i="1"/>
  <c r="BY144" i="1"/>
  <c r="BX143" i="1"/>
  <c r="BY143" i="1"/>
  <c r="BX142" i="1"/>
  <c r="BY142" i="1"/>
  <c r="BX141" i="1"/>
  <c r="BY141" i="1"/>
  <c r="BX140" i="1"/>
  <c r="BY140" i="1"/>
  <c r="BX139" i="1"/>
  <c r="BY139" i="1"/>
  <c r="BX138" i="1"/>
  <c r="BY138" i="1"/>
  <c r="BX137" i="1"/>
  <c r="BY137" i="1"/>
  <c r="BX136" i="1"/>
  <c r="BY136" i="1"/>
  <c r="BX135" i="1"/>
  <c r="BY135" i="1"/>
  <c r="BX134" i="1"/>
  <c r="BY134" i="1"/>
  <c r="BX133" i="1"/>
  <c r="BY133" i="1"/>
  <c r="BX132" i="1"/>
  <c r="BY132" i="1"/>
  <c r="BX131" i="1"/>
  <c r="BY131" i="1"/>
  <c r="BX130" i="1"/>
  <c r="BY130" i="1"/>
  <c r="BX129" i="1"/>
  <c r="BY129" i="1"/>
  <c r="BX128" i="1"/>
  <c r="BY128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1" i="1"/>
  <c r="E142" i="1"/>
  <c r="E143" i="1"/>
  <c r="E144" i="1"/>
  <c r="E145" i="1"/>
  <c r="CI160" i="1" l="1"/>
  <c r="CB144" i="1"/>
  <c r="CH144" i="1" s="1"/>
  <c r="CI144" i="1"/>
  <c r="CB142" i="1"/>
  <c r="CH142" i="1" s="1"/>
  <c r="CI142" i="1"/>
  <c r="CB140" i="1"/>
  <c r="CH140" i="1" s="1"/>
  <c r="CI140" i="1"/>
  <c r="CB138" i="1"/>
  <c r="CH138" i="1" s="1"/>
  <c r="CI138" i="1"/>
  <c r="CB136" i="1"/>
  <c r="CH136" i="1" s="1"/>
  <c r="CI136" i="1"/>
  <c r="CB134" i="1"/>
  <c r="CC134" i="1" s="1"/>
  <c r="CI134" i="1"/>
  <c r="CB132" i="1"/>
  <c r="CC132" i="1" s="1"/>
  <c r="CI132" i="1"/>
  <c r="CB130" i="1"/>
  <c r="CC130" i="1" s="1"/>
  <c r="CI130" i="1"/>
  <c r="CB128" i="1"/>
  <c r="CC128" i="1" s="1"/>
  <c r="CI128" i="1"/>
  <c r="CB143" i="1"/>
  <c r="CC143" i="1" s="1"/>
  <c r="CI143" i="1"/>
  <c r="CB141" i="1"/>
  <c r="CG141" i="1" s="1"/>
  <c r="CI141" i="1"/>
  <c r="CB139" i="1"/>
  <c r="CC139" i="1" s="1"/>
  <c r="CI139" i="1"/>
  <c r="CB137" i="1"/>
  <c r="CG137" i="1" s="1"/>
  <c r="CI137" i="1"/>
  <c r="CB135" i="1"/>
  <c r="CH135" i="1" s="1"/>
  <c r="CI135" i="1"/>
  <c r="CB133" i="1"/>
  <c r="CH133" i="1" s="1"/>
  <c r="CI133" i="1"/>
  <c r="CB131" i="1"/>
  <c r="CH131" i="1" s="1"/>
  <c r="CI131" i="1"/>
  <c r="CB129" i="1"/>
  <c r="CH129" i="1" s="1"/>
  <c r="CI129" i="1"/>
  <c r="CB145" i="1"/>
  <c r="BZ142" i="1"/>
  <c r="BZ141" i="1"/>
  <c r="BZ144" i="1"/>
  <c r="BZ130" i="1"/>
  <c r="BZ132" i="1"/>
  <c r="BZ135" i="1"/>
  <c r="BZ137" i="1"/>
  <c r="BZ139" i="1"/>
  <c r="BZ129" i="1"/>
  <c r="BZ131" i="1"/>
  <c r="BZ134" i="1"/>
  <c r="BZ136" i="1"/>
  <c r="BZ138" i="1"/>
  <c r="BZ140" i="1"/>
  <c r="BZ143" i="1"/>
  <c r="BZ145" i="1"/>
  <c r="BZ128" i="1"/>
  <c r="BZ133" i="1"/>
  <c r="CG135" i="1" l="1"/>
  <c r="CF135" i="1" s="1"/>
  <c r="CC141" i="1"/>
  <c r="CH128" i="1"/>
  <c r="CH137" i="1"/>
  <c r="CC136" i="1"/>
  <c r="CC131" i="1"/>
  <c r="CH132" i="1"/>
  <c r="CG139" i="1"/>
  <c r="CD139" i="1" s="1"/>
  <c r="CG143" i="1"/>
  <c r="CF143" i="1" s="1"/>
  <c r="CC138" i="1"/>
  <c r="CC129" i="1"/>
  <c r="CG128" i="1"/>
  <c r="CF128" i="1" s="1"/>
  <c r="CC137" i="1"/>
  <c r="CG142" i="1"/>
  <c r="CF142" i="1" s="1"/>
  <c r="CC140" i="1"/>
  <c r="CC133" i="1"/>
  <c r="CG138" i="1"/>
  <c r="CD138" i="1" s="1"/>
  <c r="CH141" i="1"/>
  <c r="CC144" i="1"/>
  <c r="CG136" i="1"/>
  <c r="CE136" i="1" s="1"/>
  <c r="CK146" i="1"/>
  <c r="CK147" i="1" s="1"/>
  <c r="CK148" i="1" s="1"/>
  <c r="CK149" i="1" s="1"/>
  <c r="CK150" i="1" s="1"/>
  <c r="CK151" i="1" s="1"/>
  <c r="CK152" i="1" s="1"/>
  <c r="CK153" i="1" s="1"/>
  <c r="CK154" i="1" s="1"/>
  <c r="CK155" i="1" s="1"/>
  <c r="CK156" i="1" s="1"/>
  <c r="CK157" i="1" s="1"/>
  <c r="CK158" i="1" s="1"/>
  <c r="CK159" i="1" s="1"/>
  <c r="CK160" i="1" s="1"/>
  <c r="CK161" i="1" s="1"/>
  <c r="CM146" i="1"/>
  <c r="CM147" i="1" s="1"/>
  <c r="CM148" i="1" s="1"/>
  <c r="CM149" i="1" s="1"/>
  <c r="CM150" i="1" s="1"/>
  <c r="CM151" i="1" s="1"/>
  <c r="CM152" i="1" s="1"/>
  <c r="CM153" i="1" s="1"/>
  <c r="CM154" i="1" s="1"/>
  <c r="CM155" i="1" s="1"/>
  <c r="CM156" i="1" s="1"/>
  <c r="CM157" i="1" s="1"/>
  <c r="CM158" i="1" s="1"/>
  <c r="CM159" i="1" s="1"/>
  <c r="CM160" i="1" s="1"/>
  <c r="CM161" i="1" s="1"/>
  <c r="CO146" i="1"/>
  <c r="CO147" i="1" s="1"/>
  <c r="CO148" i="1" s="1"/>
  <c r="CO149" i="1" s="1"/>
  <c r="CO150" i="1" s="1"/>
  <c r="CO151" i="1" s="1"/>
  <c r="CO152" i="1" s="1"/>
  <c r="CO153" i="1" s="1"/>
  <c r="CO154" i="1" s="1"/>
  <c r="CO155" i="1" s="1"/>
  <c r="CO156" i="1" s="1"/>
  <c r="CO157" i="1" s="1"/>
  <c r="CO158" i="1" s="1"/>
  <c r="CO159" i="1" s="1"/>
  <c r="CO160" i="1" s="1"/>
  <c r="CO161" i="1" s="1"/>
  <c r="CQ146" i="1"/>
  <c r="CQ147" i="1" s="1"/>
  <c r="CQ148" i="1" s="1"/>
  <c r="CQ149" i="1" s="1"/>
  <c r="CQ150" i="1" s="1"/>
  <c r="CQ151" i="1" s="1"/>
  <c r="CQ152" i="1" s="1"/>
  <c r="CQ153" i="1" s="1"/>
  <c r="CQ154" i="1" s="1"/>
  <c r="CQ155" i="1" s="1"/>
  <c r="CQ156" i="1" s="1"/>
  <c r="CQ157" i="1" s="1"/>
  <c r="CQ158" i="1" s="1"/>
  <c r="CQ159" i="1" s="1"/>
  <c r="CQ160" i="1" s="1"/>
  <c r="CQ161" i="1" s="1"/>
  <c r="CS146" i="1"/>
  <c r="CS147" i="1" s="1"/>
  <c r="CS148" i="1" s="1"/>
  <c r="CS149" i="1" s="1"/>
  <c r="CS150" i="1" s="1"/>
  <c r="CS151" i="1" s="1"/>
  <c r="CS152" i="1" s="1"/>
  <c r="CS153" i="1" s="1"/>
  <c r="CS154" i="1" s="1"/>
  <c r="CS155" i="1" s="1"/>
  <c r="CS156" i="1" s="1"/>
  <c r="CS157" i="1" s="1"/>
  <c r="CS158" i="1" s="1"/>
  <c r="CS159" i="1" s="1"/>
  <c r="CS160" i="1" s="1"/>
  <c r="CS161" i="1" s="1"/>
  <c r="CU146" i="1"/>
  <c r="CU147" i="1" s="1"/>
  <c r="CU148" i="1" s="1"/>
  <c r="CU149" i="1" s="1"/>
  <c r="CU150" i="1" s="1"/>
  <c r="CU151" i="1" s="1"/>
  <c r="CU152" i="1" s="1"/>
  <c r="CU153" i="1" s="1"/>
  <c r="CU154" i="1" s="1"/>
  <c r="CU155" i="1" s="1"/>
  <c r="CU156" i="1" s="1"/>
  <c r="CU157" i="1" s="1"/>
  <c r="CU158" i="1" s="1"/>
  <c r="CU159" i="1" s="1"/>
  <c r="CU160" i="1" s="1"/>
  <c r="CU161" i="1" s="1"/>
  <c r="CW146" i="1"/>
  <c r="CW147" i="1" s="1"/>
  <c r="CW148" i="1" s="1"/>
  <c r="CW149" i="1" s="1"/>
  <c r="CW150" i="1" s="1"/>
  <c r="CW151" i="1" s="1"/>
  <c r="CW152" i="1" s="1"/>
  <c r="CW153" i="1" s="1"/>
  <c r="CW154" i="1" s="1"/>
  <c r="CW155" i="1" s="1"/>
  <c r="CW156" i="1" s="1"/>
  <c r="CW157" i="1" s="1"/>
  <c r="CW158" i="1" s="1"/>
  <c r="CW159" i="1" s="1"/>
  <c r="CW160" i="1" s="1"/>
  <c r="CW161" i="1" s="1"/>
  <c r="CY146" i="1"/>
  <c r="CY147" i="1" s="1"/>
  <c r="CY148" i="1" s="1"/>
  <c r="CY149" i="1" s="1"/>
  <c r="CY150" i="1" s="1"/>
  <c r="CY151" i="1" s="1"/>
  <c r="CY152" i="1" s="1"/>
  <c r="CY153" i="1" s="1"/>
  <c r="CY154" i="1" s="1"/>
  <c r="CY155" i="1" s="1"/>
  <c r="CY156" i="1" s="1"/>
  <c r="CY157" i="1" s="1"/>
  <c r="CY158" i="1" s="1"/>
  <c r="CY159" i="1" s="1"/>
  <c r="CY160" i="1" s="1"/>
  <c r="CY161" i="1" s="1"/>
  <c r="CL146" i="1"/>
  <c r="CL147" i="1" s="1"/>
  <c r="CL148" i="1" s="1"/>
  <c r="CL149" i="1" s="1"/>
  <c r="CL150" i="1" s="1"/>
  <c r="CL151" i="1" s="1"/>
  <c r="CL152" i="1" s="1"/>
  <c r="CL153" i="1" s="1"/>
  <c r="CL154" i="1" s="1"/>
  <c r="CL155" i="1" s="1"/>
  <c r="CL156" i="1" s="1"/>
  <c r="CL157" i="1" s="1"/>
  <c r="CL158" i="1" s="1"/>
  <c r="CL159" i="1" s="1"/>
  <c r="CL160" i="1" s="1"/>
  <c r="CL161" i="1" s="1"/>
  <c r="CN146" i="1"/>
  <c r="CN147" i="1" s="1"/>
  <c r="CN148" i="1" s="1"/>
  <c r="CN149" i="1" s="1"/>
  <c r="CN150" i="1" s="1"/>
  <c r="CN151" i="1" s="1"/>
  <c r="CN152" i="1" s="1"/>
  <c r="CN153" i="1" s="1"/>
  <c r="CN154" i="1" s="1"/>
  <c r="CN155" i="1" s="1"/>
  <c r="CN156" i="1" s="1"/>
  <c r="CN157" i="1" s="1"/>
  <c r="CN158" i="1" s="1"/>
  <c r="CN159" i="1" s="1"/>
  <c r="CN160" i="1" s="1"/>
  <c r="CN161" i="1" s="1"/>
  <c r="CP146" i="1"/>
  <c r="CP147" i="1" s="1"/>
  <c r="CP148" i="1" s="1"/>
  <c r="CP149" i="1" s="1"/>
  <c r="CP150" i="1" s="1"/>
  <c r="CP151" i="1" s="1"/>
  <c r="CP152" i="1" s="1"/>
  <c r="CP153" i="1" s="1"/>
  <c r="CP154" i="1" s="1"/>
  <c r="CP155" i="1" s="1"/>
  <c r="CP156" i="1" s="1"/>
  <c r="CP157" i="1" s="1"/>
  <c r="CP158" i="1" s="1"/>
  <c r="CP159" i="1" s="1"/>
  <c r="CP160" i="1" s="1"/>
  <c r="CP161" i="1" s="1"/>
  <c r="CR146" i="1"/>
  <c r="CR147" i="1" s="1"/>
  <c r="CR148" i="1" s="1"/>
  <c r="CR149" i="1" s="1"/>
  <c r="CR150" i="1" s="1"/>
  <c r="CR151" i="1" s="1"/>
  <c r="CR152" i="1" s="1"/>
  <c r="CR153" i="1" s="1"/>
  <c r="CR154" i="1" s="1"/>
  <c r="CR155" i="1" s="1"/>
  <c r="CR156" i="1" s="1"/>
  <c r="CR157" i="1" s="1"/>
  <c r="CR158" i="1" s="1"/>
  <c r="CR159" i="1" s="1"/>
  <c r="CR160" i="1" s="1"/>
  <c r="CR161" i="1" s="1"/>
  <c r="CT146" i="1"/>
  <c r="CT147" i="1" s="1"/>
  <c r="CT148" i="1" s="1"/>
  <c r="CT149" i="1" s="1"/>
  <c r="CT150" i="1" s="1"/>
  <c r="CT151" i="1" s="1"/>
  <c r="CT152" i="1" s="1"/>
  <c r="CT153" i="1" s="1"/>
  <c r="CT154" i="1" s="1"/>
  <c r="CT155" i="1" s="1"/>
  <c r="CT156" i="1" s="1"/>
  <c r="CT157" i="1" s="1"/>
  <c r="CT158" i="1" s="1"/>
  <c r="CT159" i="1" s="1"/>
  <c r="CT160" i="1" s="1"/>
  <c r="CT161" i="1" s="1"/>
  <c r="CV146" i="1"/>
  <c r="CV147" i="1" s="1"/>
  <c r="CV148" i="1" s="1"/>
  <c r="CV149" i="1" s="1"/>
  <c r="CV150" i="1" s="1"/>
  <c r="CV151" i="1" s="1"/>
  <c r="CV152" i="1" s="1"/>
  <c r="CV153" i="1" s="1"/>
  <c r="CV154" i="1" s="1"/>
  <c r="CV155" i="1" s="1"/>
  <c r="CV156" i="1" s="1"/>
  <c r="CV157" i="1" s="1"/>
  <c r="CV158" i="1" s="1"/>
  <c r="CV159" i="1" s="1"/>
  <c r="CV160" i="1" s="1"/>
  <c r="CV161" i="1" s="1"/>
  <c r="CX146" i="1"/>
  <c r="CX147" i="1" s="1"/>
  <c r="CX148" i="1" s="1"/>
  <c r="CX149" i="1" s="1"/>
  <c r="CX150" i="1" s="1"/>
  <c r="CX151" i="1" s="1"/>
  <c r="CX152" i="1" s="1"/>
  <c r="CX153" i="1" s="1"/>
  <c r="CX154" i="1" s="1"/>
  <c r="CX155" i="1" s="1"/>
  <c r="CX156" i="1" s="1"/>
  <c r="CX157" i="1" s="1"/>
  <c r="CX158" i="1" s="1"/>
  <c r="CX159" i="1" s="1"/>
  <c r="CX160" i="1" s="1"/>
  <c r="CX161" i="1" s="1"/>
  <c r="CG129" i="1"/>
  <c r="CF129" i="1" s="1"/>
  <c r="CG131" i="1"/>
  <c r="CE131" i="1" s="1"/>
  <c r="CG133" i="1"/>
  <c r="CE133" i="1" s="1"/>
  <c r="CC135" i="1"/>
  <c r="CH130" i="1"/>
  <c r="CH134" i="1"/>
  <c r="CG140" i="1"/>
  <c r="CE140" i="1" s="1"/>
  <c r="CH139" i="1"/>
  <c r="CH143" i="1"/>
  <c r="CC142" i="1"/>
  <c r="CG144" i="1"/>
  <c r="CD144" i="1" s="1"/>
  <c r="CC145" i="1"/>
  <c r="CG132" i="1"/>
  <c r="CE132" i="1" s="1"/>
  <c r="CG130" i="1"/>
  <c r="CE130" i="1" s="1"/>
  <c r="CG134" i="1"/>
  <c r="CF134" i="1" s="1"/>
  <c r="CE137" i="1"/>
  <c r="CD137" i="1"/>
  <c r="CF137" i="1"/>
  <c r="CD143" i="1"/>
  <c r="CE135" i="1"/>
  <c r="CE141" i="1"/>
  <c r="CD141" i="1"/>
  <c r="CF141" i="1"/>
  <c r="CX7" i="1"/>
  <c r="CD129" i="1" l="1"/>
  <c r="CD128" i="1"/>
  <c r="CE139" i="1"/>
  <c r="CD135" i="1"/>
  <c r="CD140" i="1"/>
  <c r="CE128" i="1"/>
  <c r="CD136" i="1"/>
  <c r="CE143" i="1"/>
  <c r="CE138" i="1"/>
  <c r="CH161" i="1"/>
  <c r="CG161" i="1"/>
  <c r="CE129" i="1"/>
  <c r="CF139" i="1"/>
  <c r="CF136" i="1"/>
  <c r="CD142" i="1"/>
  <c r="CF132" i="1"/>
  <c r="CD132" i="1"/>
  <c r="CF133" i="1"/>
  <c r="CF144" i="1"/>
  <c r="CF131" i="1"/>
  <c r="CF130" i="1"/>
  <c r="CE142" i="1"/>
  <c r="CF138" i="1"/>
  <c r="CE144" i="1"/>
  <c r="CD133" i="1"/>
  <c r="CF140" i="1"/>
  <c r="CD130" i="1"/>
  <c r="CD131" i="1"/>
  <c r="CE134" i="1"/>
  <c r="CD134" i="1"/>
  <c r="CG160" i="1"/>
  <c r="CH160" i="1"/>
  <c r="BX127" i="1"/>
  <c r="BY127" i="1"/>
  <c r="CA127" i="1"/>
  <c r="BW108" i="1"/>
  <c r="AN107" i="17" s="1"/>
  <c r="BW109" i="1"/>
  <c r="AN108" i="17" s="1"/>
  <c r="BW110" i="1"/>
  <c r="AN109" i="17" s="1"/>
  <c r="BW111" i="1"/>
  <c r="AN110" i="17" s="1"/>
  <c r="BW112" i="1"/>
  <c r="AN111" i="17" s="1"/>
  <c r="BW113" i="1"/>
  <c r="AN112" i="17" s="1"/>
  <c r="BW114" i="1"/>
  <c r="AN113" i="17" s="1"/>
  <c r="BW115" i="1"/>
  <c r="AN114" i="17" s="1"/>
  <c r="BW116" i="1"/>
  <c r="AN115" i="17" s="1"/>
  <c r="BW117" i="1"/>
  <c r="AN116" i="17" s="1"/>
  <c r="BW118" i="1"/>
  <c r="AN117" i="17" s="1"/>
  <c r="BW119" i="1"/>
  <c r="AN118" i="17" s="1"/>
  <c r="BW120" i="1"/>
  <c r="AN119" i="17" s="1"/>
  <c r="BW121" i="1"/>
  <c r="AN120" i="17" s="1"/>
  <c r="BW122" i="1"/>
  <c r="AN121" i="17" s="1"/>
  <c r="BW123" i="1"/>
  <c r="AN122" i="17" s="1"/>
  <c r="BW124" i="1"/>
  <c r="AN123" i="17" s="1"/>
  <c r="BW125" i="1"/>
  <c r="AN124" i="17" s="1"/>
  <c r="BW126" i="1"/>
  <c r="AN125" i="17" s="1"/>
  <c r="BW127" i="1"/>
  <c r="AN126" i="17" s="1"/>
  <c r="K127" i="1"/>
  <c r="E127" i="1"/>
  <c r="F127" i="1"/>
  <c r="CD161" i="1" l="1"/>
  <c r="CE161" i="1"/>
  <c r="CF161" i="1"/>
  <c r="CB127" i="1"/>
  <c r="CL128" i="1" s="1"/>
  <c r="CL129" i="1" s="1"/>
  <c r="CL130" i="1" s="1"/>
  <c r="CL131" i="1" s="1"/>
  <c r="CL132" i="1" s="1"/>
  <c r="CL133" i="1" s="1"/>
  <c r="CL134" i="1" s="1"/>
  <c r="CL135" i="1" s="1"/>
  <c r="CL136" i="1" s="1"/>
  <c r="CL137" i="1" s="1"/>
  <c r="CL138" i="1" s="1"/>
  <c r="CL139" i="1" s="1"/>
  <c r="CJ128" i="1"/>
  <c r="CJ129" i="1" s="1"/>
  <c r="CJ130" i="1" s="1"/>
  <c r="CJ131" i="1" s="1"/>
  <c r="CJ132" i="1" s="1"/>
  <c r="CJ133" i="1" s="1"/>
  <c r="CJ134" i="1" s="1"/>
  <c r="CJ135" i="1" s="1"/>
  <c r="CJ136" i="1" s="1"/>
  <c r="CJ137" i="1" s="1"/>
  <c r="CJ138" i="1" s="1"/>
  <c r="CJ139" i="1" s="1"/>
  <c r="CJ140" i="1" s="1"/>
  <c r="CJ141" i="1" s="1"/>
  <c r="CJ142" i="1" s="1"/>
  <c r="CJ143" i="1" s="1"/>
  <c r="CJ144" i="1" s="1"/>
  <c r="CJ145" i="1" s="1"/>
  <c r="CI145" i="1" s="1"/>
  <c r="CE160" i="1"/>
  <c r="CF160" i="1"/>
  <c r="CD160" i="1"/>
  <c r="BZ127" i="1"/>
  <c r="BX124" i="1"/>
  <c r="BY124" i="1"/>
  <c r="CA124" i="1"/>
  <c r="BX125" i="1"/>
  <c r="BY125" i="1"/>
  <c r="CA125" i="1"/>
  <c r="BX126" i="1"/>
  <c r="BY126" i="1"/>
  <c r="CA126" i="1"/>
  <c r="BX118" i="1"/>
  <c r="BY118" i="1"/>
  <c r="CA118" i="1"/>
  <c r="BX119" i="1"/>
  <c r="BY119" i="1"/>
  <c r="CA119" i="1"/>
  <c r="BX120" i="1"/>
  <c r="BY120" i="1"/>
  <c r="CA120" i="1"/>
  <c r="BX121" i="1"/>
  <c r="BY121" i="1"/>
  <c r="CA121" i="1"/>
  <c r="BX122" i="1"/>
  <c r="BY122" i="1"/>
  <c r="CA122" i="1"/>
  <c r="BX123" i="1"/>
  <c r="BY123" i="1"/>
  <c r="CA123" i="1"/>
  <c r="AD110" i="1"/>
  <c r="AJ118" i="1"/>
  <c r="F117" i="17" s="1"/>
  <c r="AJ119" i="1"/>
  <c r="F118" i="17" s="1"/>
  <c r="AJ120" i="1"/>
  <c r="F119" i="17" s="1"/>
  <c r="AJ121" i="1"/>
  <c r="F120" i="17" s="1"/>
  <c r="AJ122" i="1"/>
  <c r="F121" i="17" s="1"/>
  <c r="AJ123" i="1"/>
  <c r="F122" i="17" s="1"/>
  <c r="AJ124" i="1"/>
  <c r="F123" i="17" s="1"/>
  <c r="AJ125" i="1"/>
  <c r="F124" i="17" s="1"/>
  <c r="AJ126" i="1"/>
  <c r="F125" i="17" s="1"/>
  <c r="AJ117" i="1"/>
  <c r="F116" i="17" s="1"/>
  <c r="K118" i="1"/>
  <c r="K119" i="1"/>
  <c r="K120" i="1"/>
  <c r="K121" i="1"/>
  <c r="K122" i="1"/>
  <c r="K123" i="1"/>
  <c r="K124" i="1"/>
  <c r="K125" i="1"/>
  <c r="K126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8" i="1"/>
  <c r="K59" i="1"/>
  <c r="CA109" i="1"/>
  <c r="CA110" i="1"/>
  <c r="CA111" i="1"/>
  <c r="CA112" i="1"/>
  <c r="CA113" i="1"/>
  <c r="CA114" i="1"/>
  <c r="CA115" i="1"/>
  <c r="CA116" i="1"/>
  <c r="CA117" i="1"/>
  <c r="BX117" i="1"/>
  <c r="BY117" i="1"/>
  <c r="BX116" i="1"/>
  <c r="BY116" i="1"/>
  <c r="BX115" i="1"/>
  <c r="BY115" i="1"/>
  <c r="BX114" i="1"/>
  <c r="BY114" i="1"/>
  <c r="BX113" i="1"/>
  <c r="BY113" i="1"/>
  <c r="BX112" i="1"/>
  <c r="BY112" i="1"/>
  <c r="BX111" i="1"/>
  <c r="BY111" i="1"/>
  <c r="BX110" i="1"/>
  <c r="BY110" i="1"/>
  <c r="BX109" i="1"/>
  <c r="BY109" i="1"/>
  <c r="F109" i="1"/>
  <c r="F110" i="1"/>
  <c r="F111" i="1"/>
  <c r="F112" i="1"/>
  <c r="F113" i="1"/>
  <c r="F114" i="1"/>
  <c r="F115" i="1"/>
  <c r="F117" i="1"/>
  <c r="E109" i="1"/>
  <c r="E110" i="1"/>
  <c r="E111" i="1"/>
  <c r="E112" i="1"/>
  <c r="E113" i="1"/>
  <c r="E114" i="1"/>
  <c r="E115" i="1"/>
  <c r="E116" i="1"/>
  <c r="E117" i="1"/>
  <c r="AA67" i="1"/>
  <c r="AA68" i="1"/>
  <c r="CV128" i="1" l="1"/>
  <c r="CV129" i="1" s="1"/>
  <c r="CV130" i="1" s="1"/>
  <c r="CV131" i="1" s="1"/>
  <c r="CV132" i="1" s="1"/>
  <c r="CV133" i="1" s="1"/>
  <c r="CV134" i="1" s="1"/>
  <c r="CV135" i="1" s="1"/>
  <c r="CV136" i="1" s="1"/>
  <c r="CV137" i="1" s="1"/>
  <c r="CV138" i="1" s="1"/>
  <c r="CV139" i="1" s="1"/>
  <c r="CV140" i="1" s="1"/>
  <c r="CV141" i="1" s="1"/>
  <c r="CV142" i="1" s="1"/>
  <c r="CV143" i="1" s="1"/>
  <c r="CV144" i="1" s="1"/>
  <c r="CV145" i="1" s="1"/>
  <c r="CK128" i="1"/>
  <c r="CK129" i="1" s="1"/>
  <c r="CK130" i="1" s="1"/>
  <c r="CK131" i="1" s="1"/>
  <c r="CK132" i="1" s="1"/>
  <c r="CK133" i="1" s="1"/>
  <c r="CK134" i="1" s="1"/>
  <c r="CK135" i="1" s="1"/>
  <c r="CK136" i="1" s="1"/>
  <c r="CK137" i="1" s="1"/>
  <c r="CK138" i="1" s="1"/>
  <c r="CK139" i="1" s="1"/>
  <c r="CK140" i="1" s="1"/>
  <c r="CK141" i="1" s="1"/>
  <c r="CK142" i="1" s="1"/>
  <c r="CK143" i="1" s="1"/>
  <c r="CK144" i="1" s="1"/>
  <c r="CK145" i="1" s="1"/>
  <c r="CO128" i="1"/>
  <c r="CO129" i="1" s="1"/>
  <c r="CO130" i="1" s="1"/>
  <c r="CO131" i="1" s="1"/>
  <c r="CO132" i="1" s="1"/>
  <c r="CO133" i="1" s="1"/>
  <c r="CO134" i="1" s="1"/>
  <c r="CO135" i="1" s="1"/>
  <c r="CO136" i="1" s="1"/>
  <c r="CO137" i="1" s="1"/>
  <c r="CO138" i="1" s="1"/>
  <c r="CO139" i="1" s="1"/>
  <c r="CN128" i="1"/>
  <c r="CN129" i="1" s="1"/>
  <c r="CN130" i="1" s="1"/>
  <c r="CN131" i="1" s="1"/>
  <c r="CN132" i="1" s="1"/>
  <c r="CN133" i="1" s="1"/>
  <c r="CN134" i="1" s="1"/>
  <c r="CN135" i="1" s="1"/>
  <c r="CN136" i="1" s="1"/>
  <c r="CN137" i="1" s="1"/>
  <c r="CN138" i="1" s="1"/>
  <c r="CN139" i="1" s="1"/>
  <c r="CN140" i="1" s="1"/>
  <c r="CN141" i="1" s="1"/>
  <c r="CN142" i="1" s="1"/>
  <c r="CN143" i="1" s="1"/>
  <c r="CN144" i="1" s="1"/>
  <c r="CN145" i="1" s="1"/>
  <c r="CQ128" i="1"/>
  <c r="CQ129" i="1" s="1"/>
  <c r="CQ130" i="1" s="1"/>
  <c r="CQ131" i="1" s="1"/>
  <c r="CQ132" i="1" s="1"/>
  <c r="CQ133" i="1" s="1"/>
  <c r="CQ134" i="1" s="1"/>
  <c r="CQ135" i="1" s="1"/>
  <c r="CQ136" i="1" s="1"/>
  <c r="CQ137" i="1" s="1"/>
  <c r="CQ138" i="1" s="1"/>
  <c r="CQ139" i="1" s="1"/>
  <c r="CQ140" i="1" s="1"/>
  <c r="CQ141" i="1" s="1"/>
  <c r="CQ142" i="1" s="1"/>
  <c r="CQ143" i="1" s="1"/>
  <c r="CQ144" i="1" s="1"/>
  <c r="CQ145" i="1" s="1"/>
  <c r="CC127" i="1"/>
  <c r="CO140" i="1"/>
  <c r="CO141" i="1" s="1"/>
  <c r="CO142" i="1" s="1"/>
  <c r="CO143" i="1" s="1"/>
  <c r="CO144" i="1" s="1"/>
  <c r="CO145" i="1" s="1"/>
  <c r="CL140" i="1"/>
  <c r="CL141" i="1" s="1"/>
  <c r="CL142" i="1" s="1"/>
  <c r="CL143" i="1" s="1"/>
  <c r="CL144" i="1" s="1"/>
  <c r="CL145" i="1" s="1"/>
  <c r="CW128" i="1"/>
  <c r="CW129" i="1" s="1"/>
  <c r="CW130" i="1" s="1"/>
  <c r="CW131" i="1" s="1"/>
  <c r="CW132" i="1" s="1"/>
  <c r="CW133" i="1" s="1"/>
  <c r="CW134" i="1" s="1"/>
  <c r="CW135" i="1" s="1"/>
  <c r="CW136" i="1" s="1"/>
  <c r="CW137" i="1" s="1"/>
  <c r="CW138" i="1" s="1"/>
  <c r="CW139" i="1" s="1"/>
  <c r="CR128" i="1"/>
  <c r="CR129" i="1" s="1"/>
  <c r="CR130" i="1" s="1"/>
  <c r="CR131" i="1" s="1"/>
  <c r="CR132" i="1" s="1"/>
  <c r="CR133" i="1" s="1"/>
  <c r="CR134" i="1" s="1"/>
  <c r="CR135" i="1" s="1"/>
  <c r="CR136" i="1" s="1"/>
  <c r="CR137" i="1" s="1"/>
  <c r="CR138" i="1" s="1"/>
  <c r="CR139" i="1" s="1"/>
  <c r="CB117" i="1"/>
  <c r="CC117" i="1" s="1"/>
  <c r="CI117" i="1"/>
  <c r="CB113" i="1"/>
  <c r="CC113" i="1" s="1"/>
  <c r="CI113" i="1"/>
  <c r="CB109" i="1"/>
  <c r="CC109" i="1" s="1"/>
  <c r="CI109" i="1"/>
  <c r="CB116" i="1"/>
  <c r="CC116" i="1" s="1"/>
  <c r="CI116" i="1"/>
  <c r="CB114" i="1"/>
  <c r="CC114" i="1" s="1"/>
  <c r="CI114" i="1"/>
  <c r="CB112" i="1"/>
  <c r="CG112" i="1" s="1"/>
  <c r="CI112" i="1"/>
  <c r="CB110" i="1"/>
  <c r="CG110" i="1" s="1"/>
  <c r="CI110" i="1"/>
  <c r="CB123" i="1"/>
  <c r="CH123" i="1" s="1"/>
  <c r="CI123" i="1"/>
  <c r="CB121" i="1"/>
  <c r="CH121" i="1" s="1"/>
  <c r="CI121" i="1"/>
  <c r="CB119" i="1"/>
  <c r="CH119" i="1" s="1"/>
  <c r="CI119" i="1"/>
  <c r="CB126" i="1"/>
  <c r="CC126" i="1" s="1"/>
  <c r="CI126" i="1"/>
  <c r="CB124" i="1"/>
  <c r="CC124" i="1" s="1"/>
  <c r="CI124" i="1"/>
  <c r="CU128" i="1"/>
  <c r="CU129" i="1" s="1"/>
  <c r="CU130" i="1" s="1"/>
  <c r="CU131" i="1" s="1"/>
  <c r="CU132" i="1" s="1"/>
  <c r="CU133" i="1" s="1"/>
  <c r="CU134" i="1" s="1"/>
  <c r="CU135" i="1" s="1"/>
  <c r="CU136" i="1" s="1"/>
  <c r="CU137" i="1" s="1"/>
  <c r="CU138" i="1" s="1"/>
  <c r="CU139" i="1" s="1"/>
  <c r="CY128" i="1"/>
  <c r="CY129" i="1" s="1"/>
  <c r="CY130" i="1" s="1"/>
  <c r="CY131" i="1" s="1"/>
  <c r="CY132" i="1" s="1"/>
  <c r="CY133" i="1" s="1"/>
  <c r="CY134" i="1" s="1"/>
  <c r="CY135" i="1" s="1"/>
  <c r="CY136" i="1" s="1"/>
  <c r="CY137" i="1" s="1"/>
  <c r="CY138" i="1" s="1"/>
  <c r="CY139" i="1" s="1"/>
  <c r="CS128" i="1"/>
  <c r="CS129" i="1" s="1"/>
  <c r="CS130" i="1" s="1"/>
  <c r="CS131" i="1" s="1"/>
  <c r="CS132" i="1" s="1"/>
  <c r="CS133" i="1" s="1"/>
  <c r="CS134" i="1" s="1"/>
  <c r="CS135" i="1" s="1"/>
  <c r="CS136" i="1" s="1"/>
  <c r="CS137" i="1" s="1"/>
  <c r="CS138" i="1" s="1"/>
  <c r="CS139" i="1" s="1"/>
  <c r="CM128" i="1"/>
  <c r="CM129" i="1" s="1"/>
  <c r="CM130" i="1" s="1"/>
  <c r="CM131" i="1" s="1"/>
  <c r="CM132" i="1" s="1"/>
  <c r="CM133" i="1" s="1"/>
  <c r="CM134" i="1" s="1"/>
  <c r="CM135" i="1" s="1"/>
  <c r="CM136" i="1" s="1"/>
  <c r="CM137" i="1" s="1"/>
  <c r="CM138" i="1" s="1"/>
  <c r="CM139" i="1" s="1"/>
  <c r="CX128" i="1"/>
  <c r="CX129" i="1" s="1"/>
  <c r="CX130" i="1" s="1"/>
  <c r="CX131" i="1" s="1"/>
  <c r="CX132" i="1" s="1"/>
  <c r="CX133" i="1" s="1"/>
  <c r="CX134" i="1" s="1"/>
  <c r="CX135" i="1" s="1"/>
  <c r="CX136" i="1" s="1"/>
  <c r="CX137" i="1" s="1"/>
  <c r="CX138" i="1" s="1"/>
  <c r="CX139" i="1" s="1"/>
  <c r="CT128" i="1"/>
  <c r="CT129" i="1" s="1"/>
  <c r="CT130" i="1" s="1"/>
  <c r="CT131" i="1" s="1"/>
  <c r="CT132" i="1" s="1"/>
  <c r="CT133" i="1" s="1"/>
  <c r="CT134" i="1" s="1"/>
  <c r="CT135" i="1" s="1"/>
  <c r="CT136" i="1" s="1"/>
  <c r="CT137" i="1" s="1"/>
  <c r="CT138" i="1" s="1"/>
  <c r="CT139" i="1" s="1"/>
  <c r="CP128" i="1"/>
  <c r="CP129" i="1" s="1"/>
  <c r="CP130" i="1" s="1"/>
  <c r="CP131" i="1" s="1"/>
  <c r="CP132" i="1" s="1"/>
  <c r="CP133" i="1" s="1"/>
  <c r="CP134" i="1" s="1"/>
  <c r="CP135" i="1" s="1"/>
  <c r="CP136" i="1" s="1"/>
  <c r="CP137" i="1" s="1"/>
  <c r="CP138" i="1" s="1"/>
  <c r="CP139" i="1" s="1"/>
  <c r="CB115" i="1"/>
  <c r="CC115" i="1" s="1"/>
  <c r="CI115" i="1"/>
  <c r="CB111" i="1"/>
  <c r="CC111" i="1" s="1"/>
  <c r="CI111" i="1"/>
  <c r="CB122" i="1"/>
  <c r="CC122" i="1" s="1"/>
  <c r="CI122" i="1"/>
  <c r="CB120" i="1"/>
  <c r="CH120" i="1" s="1"/>
  <c r="CI120" i="1"/>
  <c r="CB118" i="1"/>
  <c r="CC118" i="1" s="1"/>
  <c r="CI118" i="1"/>
  <c r="CB125" i="1"/>
  <c r="CH125" i="1" s="1"/>
  <c r="CI125" i="1"/>
  <c r="BZ115" i="1"/>
  <c r="BZ126" i="1"/>
  <c r="BZ124" i="1"/>
  <c r="BZ125" i="1"/>
  <c r="BZ110" i="1"/>
  <c r="BZ112" i="1"/>
  <c r="BZ114" i="1"/>
  <c r="BZ117" i="1"/>
  <c r="BZ118" i="1"/>
  <c r="BZ119" i="1"/>
  <c r="BZ120" i="1"/>
  <c r="BZ121" i="1"/>
  <c r="BZ122" i="1"/>
  <c r="BZ123" i="1"/>
  <c r="BZ109" i="1"/>
  <c r="BZ116" i="1"/>
  <c r="CG113" i="1"/>
  <c r="CD113" i="1" s="1"/>
  <c r="BZ111" i="1"/>
  <c r="BZ113" i="1"/>
  <c r="CH113" i="1"/>
  <c r="CG114" i="1" l="1"/>
  <c r="CC123" i="1"/>
  <c r="CG109" i="1"/>
  <c r="CG115" i="1"/>
  <c r="CF115" i="1" s="1"/>
  <c r="CC125" i="1"/>
  <c r="CG122" i="1"/>
  <c r="CD122" i="1" s="1"/>
  <c r="CH118" i="1"/>
  <c r="CH122" i="1"/>
  <c r="CH115" i="1"/>
  <c r="CG118" i="1"/>
  <c r="CF118" i="1" s="1"/>
  <c r="CC121" i="1"/>
  <c r="CG125" i="1"/>
  <c r="CF125" i="1" s="1"/>
  <c r="CH111" i="1"/>
  <c r="CG111" i="1"/>
  <c r="CF111" i="1" s="1"/>
  <c r="CC120" i="1"/>
  <c r="CG120" i="1"/>
  <c r="CD120" i="1" s="1"/>
  <c r="CG116" i="1"/>
  <c r="CE116" i="1" s="1"/>
  <c r="CH109" i="1"/>
  <c r="CH116" i="1"/>
  <c r="CC110" i="1"/>
  <c r="CH110" i="1"/>
  <c r="CH112" i="1"/>
  <c r="CH114" i="1"/>
  <c r="CC112" i="1"/>
  <c r="CG119" i="1"/>
  <c r="CF119" i="1" s="1"/>
  <c r="CG121" i="1"/>
  <c r="CF121" i="1" s="1"/>
  <c r="CG123" i="1"/>
  <c r="CF123" i="1" s="1"/>
  <c r="CC119" i="1"/>
  <c r="CG124" i="1"/>
  <c r="CD124" i="1" s="1"/>
  <c r="CH124" i="1"/>
  <c r="CX140" i="1"/>
  <c r="CX141" i="1" s="1"/>
  <c r="CX142" i="1" s="1"/>
  <c r="CX143" i="1" s="1"/>
  <c r="CX144" i="1" s="1"/>
  <c r="CX145" i="1" s="1"/>
  <c r="CU140" i="1"/>
  <c r="CU141" i="1" s="1"/>
  <c r="CU142" i="1" s="1"/>
  <c r="CU143" i="1" s="1"/>
  <c r="CU144" i="1" s="1"/>
  <c r="CU145" i="1" s="1"/>
  <c r="CT140" i="1"/>
  <c r="CT141" i="1" s="1"/>
  <c r="CT142" i="1" s="1"/>
  <c r="CT143" i="1" s="1"/>
  <c r="CT144" i="1" s="1"/>
  <c r="CT145" i="1" s="1"/>
  <c r="CM140" i="1"/>
  <c r="CM141" i="1" s="1"/>
  <c r="CM142" i="1" s="1"/>
  <c r="CM143" i="1" s="1"/>
  <c r="CM144" i="1" s="1"/>
  <c r="CM145" i="1" s="1"/>
  <c r="CY140" i="1"/>
  <c r="CY141" i="1" s="1"/>
  <c r="CY142" i="1" s="1"/>
  <c r="CY143" i="1" s="1"/>
  <c r="CY144" i="1" s="1"/>
  <c r="CY145" i="1" s="1"/>
  <c r="CR140" i="1"/>
  <c r="CR141" i="1" s="1"/>
  <c r="CR142" i="1" s="1"/>
  <c r="CR143" i="1" s="1"/>
  <c r="CR144" i="1" s="1"/>
  <c r="CR145" i="1" s="1"/>
  <c r="CP140" i="1"/>
  <c r="CP141" i="1" s="1"/>
  <c r="CP142" i="1" s="1"/>
  <c r="CP143" i="1" s="1"/>
  <c r="CP144" i="1" s="1"/>
  <c r="CP145" i="1" s="1"/>
  <c r="CS140" i="1"/>
  <c r="CS141" i="1" s="1"/>
  <c r="CS142" i="1" s="1"/>
  <c r="CS143" i="1" s="1"/>
  <c r="CS144" i="1" s="1"/>
  <c r="CS145" i="1" s="1"/>
  <c r="CW140" i="1"/>
  <c r="CW141" i="1" s="1"/>
  <c r="CW142" i="1" s="1"/>
  <c r="CW143" i="1" s="1"/>
  <c r="CW144" i="1" s="1"/>
  <c r="CW145" i="1" s="1"/>
  <c r="CD115" i="1"/>
  <c r="CD111" i="1"/>
  <c r="CF113" i="1"/>
  <c r="CE113" i="1"/>
  <c r="CE109" i="1"/>
  <c r="CD109" i="1"/>
  <c r="CF109" i="1"/>
  <c r="CE110" i="1"/>
  <c r="CD110" i="1"/>
  <c r="CF110" i="1"/>
  <c r="CE114" i="1"/>
  <c r="CD114" i="1"/>
  <c r="CF114" i="1"/>
  <c r="CE112" i="1"/>
  <c r="CD112" i="1"/>
  <c r="CF112" i="1"/>
  <c r="BX108" i="1"/>
  <c r="BY108" i="1"/>
  <c r="CA108" i="1"/>
  <c r="F108" i="1"/>
  <c r="E108" i="1"/>
  <c r="CD119" i="1" l="1"/>
  <c r="CE115" i="1"/>
  <c r="CE123" i="1"/>
  <c r="CF122" i="1"/>
  <c r="CE118" i="1"/>
  <c r="CE122" i="1"/>
  <c r="CD118" i="1"/>
  <c r="CD121" i="1"/>
  <c r="CE125" i="1"/>
  <c r="CF120" i="1"/>
  <c r="CD125" i="1"/>
  <c r="CD116" i="1"/>
  <c r="CE120" i="1"/>
  <c r="CE111" i="1"/>
  <c r="CF116" i="1"/>
  <c r="CD123" i="1"/>
  <c r="CE119" i="1"/>
  <c r="CE121" i="1"/>
  <c r="CF124" i="1"/>
  <c r="CE124" i="1"/>
  <c r="CG145" i="1"/>
  <c r="CE145" i="1" s="1"/>
  <c r="CH145" i="1"/>
  <c r="CB108" i="1"/>
  <c r="CC108" i="1" s="1"/>
  <c r="CI108" i="1"/>
  <c r="BZ108" i="1"/>
  <c r="CG126" i="1"/>
  <c r="CF126" i="1" s="1"/>
  <c r="CH126" i="1"/>
  <c r="CG117" i="1"/>
  <c r="CF117" i="1" s="1"/>
  <c r="CH11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A1" i="12"/>
  <c r="CD145" i="1" l="1"/>
  <c r="CH108" i="1"/>
  <c r="CF145" i="1"/>
  <c r="CG108" i="1"/>
  <c r="CD108" i="1" s="1"/>
  <c r="CD126" i="1"/>
  <c r="CE126" i="1"/>
  <c r="CD117" i="1"/>
  <c r="CE117" i="1"/>
  <c r="CW7" i="1"/>
  <c r="CF108" i="1" l="1"/>
  <c r="CE108" i="1"/>
  <c r="CA100" i="1"/>
  <c r="CA101" i="1"/>
  <c r="CA102" i="1"/>
  <c r="CA103" i="1"/>
  <c r="CA104" i="1"/>
  <c r="CA105" i="1"/>
  <c r="CA106" i="1"/>
  <c r="CA107" i="1"/>
  <c r="BX101" i="1"/>
  <c r="BY101" i="1"/>
  <c r="BX102" i="1"/>
  <c r="BY102" i="1"/>
  <c r="BX103" i="1"/>
  <c r="BY103" i="1"/>
  <c r="BX104" i="1"/>
  <c r="BY104" i="1"/>
  <c r="BX105" i="1"/>
  <c r="BY105" i="1"/>
  <c r="BX106" i="1"/>
  <c r="BY106" i="1"/>
  <c r="BX107" i="1"/>
  <c r="BY107" i="1"/>
  <c r="BW100" i="1"/>
  <c r="AN99" i="17" s="1"/>
  <c r="BW101" i="1"/>
  <c r="AN100" i="17" s="1"/>
  <c r="BW102" i="1"/>
  <c r="AN101" i="17" s="1"/>
  <c r="BW103" i="1"/>
  <c r="AN102" i="17" s="1"/>
  <c r="BW104" i="1"/>
  <c r="AN103" i="17" s="1"/>
  <c r="BW105" i="1"/>
  <c r="AN104" i="17" s="1"/>
  <c r="BW106" i="1"/>
  <c r="AN105" i="17" s="1"/>
  <c r="BW107" i="1"/>
  <c r="AN106" i="17" s="1"/>
  <c r="AD100" i="1"/>
  <c r="AD101" i="1"/>
  <c r="AD102" i="1"/>
  <c r="AD103" i="1"/>
  <c r="AD104" i="1"/>
  <c r="AD105" i="1"/>
  <c r="AD106" i="1"/>
  <c r="AD107" i="1"/>
  <c r="AC100" i="1"/>
  <c r="AC101" i="1"/>
  <c r="AC102" i="1"/>
  <c r="AC103" i="1"/>
  <c r="AC104" i="1"/>
  <c r="AC105" i="1"/>
  <c r="AC106" i="1"/>
  <c r="AC107" i="1"/>
  <c r="AA100" i="1"/>
  <c r="AA101" i="1"/>
  <c r="AA102" i="1"/>
  <c r="AA103" i="1"/>
  <c r="AA104" i="1"/>
  <c r="AA105" i="1"/>
  <c r="AA106" i="1"/>
  <c r="AA107" i="1"/>
  <c r="F100" i="1"/>
  <c r="F101" i="1"/>
  <c r="F102" i="1"/>
  <c r="F103" i="1"/>
  <c r="F104" i="1"/>
  <c r="F105" i="1"/>
  <c r="F106" i="1"/>
  <c r="F107" i="1"/>
  <c r="Q2" i="17"/>
  <c r="P2" i="17"/>
  <c r="G2" i="17"/>
  <c r="F2" i="17"/>
  <c r="E2" i="17"/>
  <c r="J2" i="17"/>
  <c r="CB106" i="1" l="1"/>
  <c r="CC106" i="1" s="1"/>
  <c r="CI106" i="1"/>
  <c r="CB104" i="1"/>
  <c r="CC104" i="1" s="1"/>
  <c r="CI104" i="1"/>
  <c r="CB102" i="1"/>
  <c r="CC102" i="1" s="1"/>
  <c r="CI102" i="1"/>
  <c r="CB100" i="1"/>
  <c r="CC100" i="1" s="1"/>
  <c r="CI100" i="1"/>
  <c r="CB107" i="1"/>
  <c r="CY108" i="1" s="1"/>
  <c r="CY109" i="1" s="1"/>
  <c r="CY110" i="1" s="1"/>
  <c r="CY111" i="1" s="1"/>
  <c r="CY112" i="1" s="1"/>
  <c r="CY113" i="1" s="1"/>
  <c r="CY114" i="1" s="1"/>
  <c r="CY115" i="1" s="1"/>
  <c r="CY116" i="1" s="1"/>
  <c r="CY117" i="1" s="1"/>
  <c r="CY118" i="1" s="1"/>
  <c r="CY119" i="1" s="1"/>
  <c r="CY120" i="1" s="1"/>
  <c r="CY121" i="1" s="1"/>
  <c r="CY122" i="1" s="1"/>
  <c r="CY123" i="1" s="1"/>
  <c r="CY124" i="1" s="1"/>
  <c r="CY125" i="1" s="1"/>
  <c r="CY126" i="1" s="1"/>
  <c r="CY127" i="1" s="1"/>
  <c r="CJ108" i="1"/>
  <c r="CJ109" i="1" s="1"/>
  <c r="CJ110" i="1" s="1"/>
  <c r="CJ111" i="1" s="1"/>
  <c r="CJ112" i="1" s="1"/>
  <c r="CJ113" i="1" s="1"/>
  <c r="CJ114" i="1" s="1"/>
  <c r="CJ115" i="1" s="1"/>
  <c r="CJ116" i="1" s="1"/>
  <c r="CJ117" i="1" s="1"/>
  <c r="CJ118" i="1" s="1"/>
  <c r="CJ119" i="1" s="1"/>
  <c r="CJ120" i="1" s="1"/>
  <c r="CJ121" i="1" s="1"/>
  <c r="CJ122" i="1" s="1"/>
  <c r="CJ123" i="1" s="1"/>
  <c r="CJ124" i="1" s="1"/>
  <c r="CJ125" i="1" s="1"/>
  <c r="CJ126" i="1" s="1"/>
  <c r="CJ127" i="1" s="1"/>
  <c r="CI127" i="1" s="1"/>
  <c r="CB105" i="1"/>
  <c r="CC105" i="1" s="1"/>
  <c r="CI105" i="1"/>
  <c r="CB103" i="1"/>
  <c r="CC103" i="1" s="1"/>
  <c r="CI103" i="1"/>
  <c r="CB101" i="1"/>
  <c r="CC101" i="1" s="1"/>
  <c r="CI101" i="1"/>
  <c r="BZ104" i="1"/>
  <c r="BZ102" i="1"/>
  <c r="BZ101" i="1"/>
  <c r="BZ106" i="1"/>
  <c r="BZ105" i="1"/>
  <c r="BZ103" i="1"/>
  <c r="BZ107" i="1"/>
  <c r="CU7" i="1"/>
  <c r="CV7" i="1"/>
  <c r="CT7" i="1"/>
  <c r="CS7" i="1"/>
  <c r="CR7" i="1"/>
  <c r="CQ7" i="1"/>
  <c r="CP7" i="1"/>
  <c r="CO7" i="1"/>
  <c r="CN7" i="1"/>
  <c r="CM7" i="1"/>
  <c r="CL7" i="1"/>
  <c r="CK7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89" i="1"/>
  <c r="CA90" i="1"/>
  <c r="CA91" i="1"/>
  <c r="CI91" i="1" s="1"/>
  <c r="CA92" i="1"/>
  <c r="CA93" i="1"/>
  <c r="CA94" i="1"/>
  <c r="CA95" i="1"/>
  <c r="CA96" i="1"/>
  <c r="CA97" i="1"/>
  <c r="CA98" i="1"/>
  <c r="CA99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3" i="1"/>
  <c r="CA54" i="1"/>
  <c r="CA55" i="1"/>
  <c r="CA7" i="1"/>
  <c r="CA8" i="1"/>
  <c r="CA9" i="1"/>
  <c r="CA10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CA28" i="1"/>
  <c r="CA29" i="1"/>
  <c r="CA30" i="1"/>
  <c r="CA31" i="1"/>
  <c r="CA32" i="1"/>
  <c r="CA33" i="1"/>
  <c r="B21" i="12" l="1"/>
  <c r="C21" i="12"/>
  <c r="G21" i="12"/>
  <c r="H21" i="12"/>
  <c r="F21" i="12"/>
  <c r="D21" i="12"/>
  <c r="E21" i="12"/>
  <c r="B20" i="12"/>
  <c r="H20" i="12"/>
  <c r="G20" i="12"/>
  <c r="C20" i="12"/>
  <c r="F20" i="12"/>
  <c r="E20" i="12"/>
  <c r="D20" i="12"/>
  <c r="B19" i="12"/>
  <c r="C19" i="12"/>
  <c r="G19" i="12"/>
  <c r="H19" i="12"/>
  <c r="E19" i="12"/>
  <c r="D19" i="12"/>
  <c r="F19" i="12"/>
  <c r="B18" i="12"/>
  <c r="C18" i="12"/>
  <c r="H18" i="12"/>
  <c r="G18" i="12"/>
  <c r="E18" i="12"/>
  <c r="D18" i="12"/>
  <c r="F18" i="12"/>
  <c r="B17" i="12"/>
  <c r="C17" i="12"/>
  <c r="H17" i="12"/>
  <c r="G17" i="12"/>
  <c r="F17" i="12"/>
  <c r="D17" i="12"/>
  <c r="E17" i="12"/>
  <c r="CH104" i="1"/>
  <c r="B16" i="12"/>
  <c r="B15" i="12"/>
  <c r="C16" i="12"/>
  <c r="C15" i="12"/>
  <c r="G16" i="12"/>
  <c r="H16" i="12"/>
  <c r="F16" i="12"/>
  <c r="D16" i="12"/>
  <c r="E16" i="12"/>
  <c r="G15" i="12"/>
  <c r="H15" i="12"/>
  <c r="F15" i="12"/>
  <c r="E15" i="12"/>
  <c r="D15" i="12"/>
  <c r="CG106" i="1"/>
  <c r="CF106" i="1" s="1"/>
  <c r="CV108" i="1"/>
  <c r="CV109" i="1" s="1"/>
  <c r="CV110" i="1" s="1"/>
  <c r="CV111" i="1" s="1"/>
  <c r="CV112" i="1" s="1"/>
  <c r="CV113" i="1" s="1"/>
  <c r="CV114" i="1" s="1"/>
  <c r="CV115" i="1" s="1"/>
  <c r="CV116" i="1" s="1"/>
  <c r="CV117" i="1" s="1"/>
  <c r="CV118" i="1" s="1"/>
  <c r="CV119" i="1" s="1"/>
  <c r="CV120" i="1" s="1"/>
  <c r="CV121" i="1" s="1"/>
  <c r="CV122" i="1" s="1"/>
  <c r="CV123" i="1" s="1"/>
  <c r="CV124" i="1" s="1"/>
  <c r="CV125" i="1" s="1"/>
  <c r="CV126" i="1" s="1"/>
  <c r="CV127" i="1" s="1"/>
  <c r="CG103" i="1"/>
  <c r="CF103" i="1" s="1"/>
  <c r="CH103" i="1"/>
  <c r="CU108" i="1"/>
  <c r="CU109" i="1" s="1"/>
  <c r="CU110" i="1" s="1"/>
  <c r="CU111" i="1" s="1"/>
  <c r="CU112" i="1" s="1"/>
  <c r="CU113" i="1" s="1"/>
  <c r="CU114" i="1" s="1"/>
  <c r="CU115" i="1" s="1"/>
  <c r="CU116" i="1" s="1"/>
  <c r="CU117" i="1" s="1"/>
  <c r="CU118" i="1" s="1"/>
  <c r="CU119" i="1" s="1"/>
  <c r="CU120" i="1" s="1"/>
  <c r="CU121" i="1" s="1"/>
  <c r="CU122" i="1" s="1"/>
  <c r="CU123" i="1" s="1"/>
  <c r="CU124" i="1" s="1"/>
  <c r="CU125" i="1" s="1"/>
  <c r="CU126" i="1" s="1"/>
  <c r="CU127" i="1" s="1"/>
  <c r="CL108" i="1"/>
  <c r="CL109" i="1" s="1"/>
  <c r="CL110" i="1" s="1"/>
  <c r="CL111" i="1" s="1"/>
  <c r="CL112" i="1" s="1"/>
  <c r="CL113" i="1" s="1"/>
  <c r="CL114" i="1" s="1"/>
  <c r="CL115" i="1" s="1"/>
  <c r="CL116" i="1" s="1"/>
  <c r="CL117" i="1" s="1"/>
  <c r="CL118" i="1" s="1"/>
  <c r="CL119" i="1" s="1"/>
  <c r="CL120" i="1" s="1"/>
  <c r="CL121" i="1" s="1"/>
  <c r="CL122" i="1" s="1"/>
  <c r="CL123" i="1" s="1"/>
  <c r="CL124" i="1" s="1"/>
  <c r="CL125" i="1" s="1"/>
  <c r="CL126" i="1" s="1"/>
  <c r="CL127" i="1" s="1"/>
  <c r="B13" i="12"/>
  <c r="B14" i="12"/>
  <c r="B11" i="12"/>
  <c r="B12" i="12"/>
  <c r="C14" i="12"/>
  <c r="C13" i="12"/>
  <c r="H14" i="12"/>
  <c r="G14" i="12"/>
  <c r="C12" i="12"/>
  <c r="E14" i="12"/>
  <c r="F14" i="12"/>
  <c r="D14" i="12"/>
  <c r="H13" i="12"/>
  <c r="G13" i="12"/>
  <c r="D13" i="12"/>
  <c r="E13" i="12"/>
  <c r="F13" i="12"/>
  <c r="CG105" i="1"/>
  <c r="CF105" i="1" s="1"/>
  <c r="CG102" i="1"/>
  <c r="CF102" i="1" s="1"/>
  <c r="CH106" i="1"/>
  <c r="CH105" i="1"/>
  <c r="CO108" i="1"/>
  <c r="CO109" i="1" s="1"/>
  <c r="CO110" i="1" s="1"/>
  <c r="CO111" i="1" s="1"/>
  <c r="CO112" i="1" s="1"/>
  <c r="CO113" i="1" s="1"/>
  <c r="CO114" i="1" s="1"/>
  <c r="CO115" i="1" s="1"/>
  <c r="CO116" i="1" s="1"/>
  <c r="CO117" i="1" s="1"/>
  <c r="CO118" i="1" s="1"/>
  <c r="CO119" i="1" s="1"/>
  <c r="CO120" i="1" s="1"/>
  <c r="CO121" i="1" s="1"/>
  <c r="CO122" i="1" s="1"/>
  <c r="CO123" i="1" s="1"/>
  <c r="CO124" i="1" s="1"/>
  <c r="CO125" i="1" s="1"/>
  <c r="CO126" i="1" s="1"/>
  <c r="CO127" i="1" s="1"/>
  <c r="CN108" i="1"/>
  <c r="CN109" i="1" s="1"/>
  <c r="CN110" i="1" s="1"/>
  <c r="CN111" i="1" s="1"/>
  <c r="CN112" i="1" s="1"/>
  <c r="CN113" i="1" s="1"/>
  <c r="CN114" i="1" s="1"/>
  <c r="CN115" i="1" s="1"/>
  <c r="CN116" i="1" s="1"/>
  <c r="CN117" i="1" s="1"/>
  <c r="CN118" i="1" s="1"/>
  <c r="CN119" i="1" s="1"/>
  <c r="CN120" i="1" s="1"/>
  <c r="CN121" i="1" s="1"/>
  <c r="CN122" i="1" s="1"/>
  <c r="CN123" i="1" s="1"/>
  <c r="CN124" i="1" s="1"/>
  <c r="CN125" i="1" s="1"/>
  <c r="CN126" i="1" s="1"/>
  <c r="CN127" i="1" s="1"/>
  <c r="CC107" i="1"/>
  <c r="C11" i="12" s="1"/>
  <c r="CG101" i="1"/>
  <c r="CF101" i="1" s="1"/>
  <c r="CH101" i="1"/>
  <c r="CW108" i="1"/>
  <c r="CW109" i="1" s="1"/>
  <c r="CW110" i="1" s="1"/>
  <c r="CW111" i="1" s="1"/>
  <c r="CW112" i="1" s="1"/>
  <c r="CW113" i="1" s="1"/>
  <c r="CW114" i="1" s="1"/>
  <c r="CW115" i="1" s="1"/>
  <c r="CW116" i="1" s="1"/>
  <c r="CW117" i="1" s="1"/>
  <c r="CW118" i="1" s="1"/>
  <c r="CW119" i="1" s="1"/>
  <c r="CW120" i="1" s="1"/>
  <c r="CW121" i="1" s="1"/>
  <c r="CW122" i="1" s="1"/>
  <c r="CW123" i="1" s="1"/>
  <c r="CW124" i="1" s="1"/>
  <c r="CW125" i="1" s="1"/>
  <c r="CW126" i="1" s="1"/>
  <c r="CW127" i="1" s="1"/>
  <c r="CT108" i="1"/>
  <c r="CT109" i="1" s="1"/>
  <c r="CT110" i="1" s="1"/>
  <c r="CT111" i="1" s="1"/>
  <c r="CT112" i="1" s="1"/>
  <c r="CT113" i="1" s="1"/>
  <c r="CT114" i="1" s="1"/>
  <c r="CT115" i="1" s="1"/>
  <c r="CT116" i="1" s="1"/>
  <c r="CT117" i="1" s="1"/>
  <c r="CT118" i="1" s="1"/>
  <c r="CT119" i="1" s="1"/>
  <c r="CT120" i="1" s="1"/>
  <c r="CT121" i="1" s="1"/>
  <c r="CT122" i="1" s="1"/>
  <c r="CT123" i="1" s="1"/>
  <c r="CT124" i="1" s="1"/>
  <c r="CT125" i="1" s="1"/>
  <c r="CT126" i="1" s="1"/>
  <c r="CT127" i="1" s="1"/>
  <c r="CB32" i="1"/>
  <c r="CL33" i="1" s="1"/>
  <c r="CJ33" i="1"/>
  <c r="CJ34" i="1" s="1"/>
  <c r="CJ35" i="1" s="1"/>
  <c r="CJ36" i="1" s="1"/>
  <c r="CJ37" i="1" s="1"/>
  <c r="CJ38" i="1" s="1"/>
  <c r="CJ39" i="1" s="1"/>
  <c r="CJ40" i="1" s="1"/>
  <c r="CJ41" i="1" s="1"/>
  <c r="CJ42" i="1" s="1"/>
  <c r="CJ43" i="1" s="1"/>
  <c r="CJ44" i="1" s="1"/>
  <c r="CJ45" i="1" s="1"/>
  <c r="CJ46" i="1" s="1"/>
  <c r="CI46" i="1" s="1"/>
  <c r="CB28" i="1"/>
  <c r="CC28" i="1" s="1"/>
  <c r="CI28" i="1"/>
  <c r="CB24" i="1"/>
  <c r="CC24" i="1" s="1"/>
  <c r="CI24" i="1"/>
  <c r="CB20" i="1"/>
  <c r="CC20" i="1" s="1"/>
  <c r="CI20" i="1"/>
  <c r="CB16" i="1"/>
  <c r="CC16" i="1" s="1"/>
  <c r="CI16" i="1"/>
  <c r="CB14" i="1"/>
  <c r="CC14" i="1" s="1"/>
  <c r="CI14" i="1"/>
  <c r="CB10" i="1"/>
  <c r="CC10" i="1" s="1"/>
  <c r="CI10" i="1"/>
  <c r="CB55" i="1"/>
  <c r="CY56" i="1" s="1"/>
  <c r="CJ56" i="1"/>
  <c r="CJ57" i="1" s="1"/>
  <c r="CJ58" i="1" s="1"/>
  <c r="CJ59" i="1" s="1"/>
  <c r="CJ60" i="1" s="1"/>
  <c r="CJ61" i="1" s="1"/>
  <c r="CJ62" i="1" s="1"/>
  <c r="CJ63" i="1" s="1"/>
  <c r="CJ64" i="1" s="1"/>
  <c r="CJ65" i="1" s="1"/>
  <c r="CJ66" i="1" s="1"/>
  <c r="CJ67" i="1" s="1"/>
  <c r="CJ68" i="1" s="1"/>
  <c r="CJ69" i="1" s="1"/>
  <c r="CJ70" i="1" s="1"/>
  <c r="CJ71" i="1" s="1"/>
  <c r="CJ72" i="1" s="1"/>
  <c r="CJ73" i="1" s="1"/>
  <c r="CJ74" i="1" s="1"/>
  <c r="CJ75" i="1" s="1"/>
  <c r="CJ76" i="1" s="1"/>
  <c r="CJ77" i="1" s="1"/>
  <c r="CJ78" i="1" s="1"/>
  <c r="CJ79" i="1" s="1"/>
  <c r="CJ80" i="1" s="1"/>
  <c r="CJ81" i="1" s="1"/>
  <c r="CJ82" i="1" s="1"/>
  <c r="CJ83" i="1" s="1"/>
  <c r="CI83" i="1" s="1"/>
  <c r="CB51" i="1"/>
  <c r="CC51" i="1" s="1"/>
  <c r="CI51" i="1"/>
  <c r="CB47" i="1"/>
  <c r="CC47" i="1" s="1"/>
  <c r="CI47" i="1"/>
  <c r="CB43" i="1"/>
  <c r="CC43" i="1" s="1"/>
  <c r="CI43" i="1"/>
  <c r="CB39" i="1"/>
  <c r="CC39" i="1" s="1"/>
  <c r="CI39" i="1"/>
  <c r="CB37" i="1"/>
  <c r="CC37" i="1" s="1"/>
  <c r="CI37" i="1"/>
  <c r="CB97" i="1"/>
  <c r="CC97" i="1" s="1"/>
  <c r="CI97" i="1"/>
  <c r="CB89" i="1"/>
  <c r="CC89" i="1" s="1"/>
  <c r="CI89" i="1"/>
  <c r="CB85" i="1"/>
  <c r="CC85" i="1" s="1"/>
  <c r="CI85" i="1"/>
  <c r="CB81" i="1"/>
  <c r="CC81" i="1" s="1"/>
  <c r="CI81" i="1"/>
  <c r="CB77" i="1"/>
  <c r="CC77" i="1" s="1"/>
  <c r="CI77" i="1"/>
  <c r="CB75" i="1"/>
  <c r="CC75" i="1" s="1"/>
  <c r="CI75" i="1"/>
  <c r="CB71" i="1"/>
  <c r="CC71" i="1" s="1"/>
  <c r="CI71" i="1"/>
  <c r="CB67" i="1"/>
  <c r="CC67" i="1" s="1"/>
  <c r="CI67" i="1"/>
  <c r="CB63" i="1"/>
  <c r="CC63" i="1" s="1"/>
  <c r="CI63" i="1"/>
  <c r="CB59" i="1"/>
  <c r="CC59" i="1" s="1"/>
  <c r="CI59" i="1"/>
  <c r="CB33" i="1"/>
  <c r="CH33" i="1" s="1"/>
  <c r="CI33" i="1"/>
  <c r="CB31" i="1"/>
  <c r="CC31" i="1" s="1"/>
  <c r="CI31" i="1"/>
  <c r="CB29" i="1"/>
  <c r="CC29" i="1" s="1"/>
  <c r="CI29" i="1"/>
  <c r="CB27" i="1"/>
  <c r="CC27" i="1" s="1"/>
  <c r="CI27" i="1"/>
  <c r="CB25" i="1"/>
  <c r="CC25" i="1" s="1"/>
  <c r="CI25" i="1"/>
  <c r="CB23" i="1"/>
  <c r="CC23" i="1" s="1"/>
  <c r="CI23" i="1"/>
  <c r="CB21" i="1"/>
  <c r="CC21" i="1" s="1"/>
  <c r="CI21" i="1"/>
  <c r="CB19" i="1"/>
  <c r="CY20" i="1" s="1"/>
  <c r="CJ20" i="1"/>
  <c r="CJ21" i="1" s="1"/>
  <c r="CJ22" i="1" s="1"/>
  <c r="CJ23" i="1" s="1"/>
  <c r="CJ24" i="1" s="1"/>
  <c r="CJ25" i="1" s="1"/>
  <c r="CJ26" i="1" s="1"/>
  <c r="CJ27" i="1" s="1"/>
  <c r="CJ28" i="1" s="1"/>
  <c r="CJ29" i="1" s="1"/>
  <c r="CJ30" i="1" s="1"/>
  <c r="CJ31" i="1" s="1"/>
  <c r="CJ32" i="1" s="1"/>
  <c r="CI32" i="1" s="1"/>
  <c r="CB17" i="1"/>
  <c r="CC17" i="1" s="1"/>
  <c r="CI17" i="1"/>
  <c r="CB15" i="1"/>
  <c r="CC15" i="1" s="1"/>
  <c r="CI15" i="1"/>
  <c r="CB13" i="1"/>
  <c r="CC13" i="1" s="1"/>
  <c r="CI13" i="1"/>
  <c r="CB11" i="1"/>
  <c r="CC11" i="1" s="1"/>
  <c r="CI11" i="1"/>
  <c r="CB9" i="1"/>
  <c r="CC9" i="1" s="1"/>
  <c r="CI9" i="1"/>
  <c r="CI7" i="1"/>
  <c r="CJ8" i="1"/>
  <c r="CJ9" i="1" s="1"/>
  <c r="CJ10" i="1" s="1"/>
  <c r="CJ11" i="1" s="1"/>
  <c r="CJ12" i="1" s="1"/>
  <c r="CJ13" i="1" s="1"/>
  <c r="CJ14" i="1" s="1"/>
  <c r="CJ15" i="1" s="1"/>
  <c r="CJ16" i="1" s="1"/>
  <c r="CJ17" i="1" s="1"/>
  <c r="CJ18" i="1" s="1"/>
  <c r="CJ19" i="1" s="1"/>
  <c r="CI19" i="1" s="1"/>
  <c r="CB54" i="1"/>
  <c r="CC54" i="1" s="1"/>
  <c r="CI54" i="1"/>
  <c r="CB52" i="1"/>
  <c r="CC52" i="1" s="1"/>
  <c r="CI52" i="1"/>
  <c r="CB50" i="1"/>
  <c r="CC50" i="1" s="1"/>
  <c r="CI50" i="1"/>
  <c r="CB48" i="1"/>
  <c r="CC48" i="1" s="1"/>
  <c r="CI48" i="1"/>
  <c r="CB46" i="1"/>
  <c r="CY47" i="1" s="1"/>
  <c r="CJ47" i="1"/>
  <c r="CJ48" i="1" s="1"/>
  <c r="CJ49" i="1" s="1"/>
  <c r="CJ50" i="1" s="1"/>
  <c r="CJ51" i="1" s="1"/>
  <c r="CJ52" i="1" s="1"/>
  <c r="CJ53" i="1" s="1"/>
  <c r="CJ54" i="1" s="1"/>
  <c r="CJ55" i="1" s="1"/>
  <c r="CI55" i="1" s="1"/>
  <c r="CB44" i="1"/>
  <c r="CC44" i="1" s="1"/>
  <c r="CI44" i="1"/>
  <c r="CB42" i="1"/>
  <c r="CC42" i="1" s="1"/>
  <c r="CI42" i="1"/>
  <c r="CB40" i="1"/>
  <c r="CC40" i="1" s="1"/>
  <c r="CI40" i="1"/>
  <c r="CB38" i="1"/>
  <c r="CC38" i="1" s="1"/>
  <c r="CI38" i="1"/>
  <c r="CB36" i="1"/>
  <c r="CC36" i="1" s="1"/>
  <c r="CI36" i="1"/>
  <c r="CB34" i="1"/>
  <c r="CC34" i="1" s="1"/>
  <c r="CI34" i="1"/>
  <c r="CB98" i="1"/>
  <c r="CC98" i="1" s="1"/>
  <c r="CI98" i="1"/>
  <c r="CB96" i="1"/>
  <c r="CC96" i="1" s="1"/>
  <c r="CI96" i="1"/>
  <c r="CB94" i="1"/>
  <c r="CY95" i="1" s="1"/>
  <c r="CJ95" i="1"/>
  <c r="CJ96" i="1" s="1"/>
  <c r="CJ97" i="1" s="1"/>
  <c r="CJ98" i="1" s="1"/>
  <c r="CJ99" i="1" s="1"/>
  <c r="CI99" i="1" s="1"/>
  <c r="CB92" i="1"/>
  <c r="CC92" i="1" s="1"/>
  <c r="CI92" i="1"/>
  <c r="CB90" i="1"/>
  <c r="CC90" i="1" s="1"/>
  <c r="CI90" i="1"/>
  <c r="CB88" i="1"/>
  <c r="CC88" i="1" s="1"/>
  <c r="CI88" i="1"/>
  <c r="CB86" i="1"/>
  <c r="CC86" i="1" s="1"/>
  <c r="CI86" i="1"/>
  <c r="CB84" i="1"/>
  <c r="CC84" i="1" s="1"/>
  <c r="CI84" i="1"/>
  <c r="CB82" i="1"/>
  <c r="CC82" i="1" s="1"/>
  <c r="CI82" i="1"/>
  <c r="CB80" i="1"/>
  <c r="CC80" i="1" s="1"/>
  <c r="CI80" i="1"/>
  <c r="CB78" i="1"/>
  <c r="CC78" i="1" s="1"/>
  <c r="CI78" i="1"/>
  <c r="CB76" i="1"/>
  <c r="CC76" i="1" s="1"/>
  <c r="CI76" i="1"/>
  <c r="CB74" i="1"/>
  <c r="CC74" i="1" s="1"/>
  <c r="CI74" i="1"/>
  <c r="CB72" i="1"/>
  <c r="CC72" i="1" s="1"/>
  <c r="CI72" i="1"/>
  <c r="CB70" i="1"/>
  <c r="CC70" i="1" s="1"/>
  <c r="CI70" i="1"/>
  <c r="CB68" i="1"/>
  <c r="CC68" i="1" s="1"/>
  <c r="CI68" i="1"/>
  <c r="CB66" i="1"/>
  <c r="CC66" i="1" s="1"/>
  <c r="CI66" i="1"/>
  <c r="CB64" i="1"/>
  <c r="CC64" i="1" s="1"/>
  <c r="CI64" i="1"/>
  <c r="CB62" i="1"/>
  <c r="CC62" i="1" s="1"/>
  <c r="CI62" i="1"/>
  <c r="CB60" i="1"/>
  <c r="CC60" i="1" s="1"/>
  <c r="CI60" i="1"/>
  <c r="CB58" i="1"/>
  <c r="CC58" i="1" s="1"/>
  <c r="CI58" i="1"/>
  <c r="CB56" i="1"/>
  <c r="CC56" i="1" s="1"/>
  <c r="CI56" i="1"/>
  <c r="CG100" i="1"/>
  <c r="CF100" i="1" s="1"/>
  <c r="CG104" i="1"/>
  <c r="CF104" i="1" s="1"/>
  <c r="CH100" i="1"/>
  <c r="CH102" i="1"/>
  <c r="CQ108" i="1"/>
  <c r="CQ109" i="1" s="1"/>
  <c r="CQ110" i="1" s="1"/>
  <c r="CQ111" i="1" s="1"/>
  <c r="CQ112" i="1" s="1"/>
  <c r="CQ113" i="1" s="1"/>
  <c r="CQ114" i="1" s="1"/>
  <c r="CQ115" i="1" s="1"/>
  <c r="CQ116" i="1" s="1"/>
  <c r="CQ117" i="1" s="1"/>
  <c r="CQ118" i="1" s="1"/>
  <c r="CQ119" i="1" s="1"/>
  <c r="CQ120" i="1" s="1"/>
  <c r="CQ121" i="1" s="1"/>
  <c r="CQ122" i="1" s="1"/>
  <c r="CQ123" i="1" s="1"/>
  <c r="CQ124" i="1" s="1"/>
  <c r="CQ125" i="1" s="1"/>
  <c r="CQ126" i="1" s="1"/>
  <c r="CQ127" i="1" s="1"/>
  <c r="CS108" i="1"/>
  <c r="CS109" i="1" s="1"/>
  <c r="CS110" i="1" s="1"/>
  <c r="CS111" i="1" s="1"/>
  <c r="CS112" i="1" s="1"/>
  <c r="CS113" i="1" s="1"/>
  <c r="CS114" i="1" s="1"/>
  <c r="CS115" i="1" s="1"/>
  <c r="CS116" i="1" s="1"/>
  <c r="CS117" i="1" s="1"/>
  <c r="CS118" i="1" s="1"/>
  <c r="CS119" i="1" s="1"/>
  <c r="CS120" i="1" s="1"/>
  <c r="CS121" i="1" s="1"/>
  <c r="CS122" i="1" s="1"/>
  <c r="CS123" i="1" s="1"/>
  <c r="CS124" i="1" s="1"/>
  <c r="CS125" i="1" s="1"/>
  <c r="CS126" i="1" s="1"/>
  <c r="CS127" i="1" s="1"/>
  <c r="CK108" i="1"/>
  <c r="CK109" i="1" s="1"/>
  <c r="CK110" i="1" s="1"/>
  <c r="CK111" i="1" s="1"/>
  <c r="CK112" i="1" s="1"/>
  <c r="CK113" i="1" s="1"/>
  <c r="CK114" i="1" s="1"/>
  <c r="CK115" i="1" s="1"/>
  <c r="CK116" i="1" s="1"/>
  <c r="CK117" i="1" s="1"/>
  <c r="CK118" i="1" s="1"/>
  <c r="CK119" i="1" s="1"/>
  <c r="CK120" i="1" s="1"/>
  <c r="CK121" i="1" s="1"/>
  <c r="CK122" i="1" s="1"/>
  <c r="CK123" i="1" s="1"/>
  <c r="CK124" i="1" s="1"/>
  <c r="CK125" i="1" s="1"/>
  <c r="CK126" i="1" s="1"/>
  <c r="CK127" i="1" s="1"/>
  <c r="CR108" i="1"/>
  <c r="CR109" i="1" s="1"/>
  <c r="CR110" i="1" s="1"/>
  <c r="CR111" i="1" s="1"/>
  <c r="CR112" i="1" s="1"/>
  <c r="CR113" i="1" s="1"/>
  <c r="CR114" i="1" s="1"/>
  <c r="CR115" i="1" s="1"/>
  <c r="CR116" i="1" s="1"/>
  <c r="CR117" i="1" s="1"/>
  <c r="CR118" i="1" s="1"/>
  <c r="CR119" i="1" s="1"/>
  <c r="CR120" i="1" s="1"/>
  <c r="CR121" i="1" s="1"/>
  <c r="CR122" i="1" s="1"/>
  <c r="CR123" i="1" s="1"/>
  <c r="CR124" i="1" s="1"/>
  <c r="CR125" i="1" s="1"/>
  <c r="CR126" i="1" s="1"/>
  <c r="CR127" i="1" s="1"/>
  <c r="CM108" i="1"/>
  <c r="CM109" i="1" s="1"/>
  <c r="CM110" i="1" s="1"/>
  <c r="CM111" i="1" s="1"/>
  <c r="CM112" i="1" s="1"/>
  <c r="CM113" i="1" s="1"/>
  <c r="CM114" i="1" s="1"/>
  <c r="CM115" i="1" s="1"/>
  <c r="CM116" i="1" s="1"/>
  <c r="CM117" i="1" s="1"/>
  <c r="CM118" i="1" s="1"/>
  <c r="CM119" i="1" s="1"/>
  <c r="CM120" i="1" s="1"/>
  <c r="CM121" i="1" s="1"/>
  <c r="CM122" i="1" s="1"/>
  <c r="CM123" i="1" s="1"/>
  <c r="CM124" i="1" s="1"/>
  <c r="CM125" i="1" s="1"/>
  <c r="CM126" i="1" s="1"/>
  <c r="CM127" i="1" s="1"/>
  <c r="CP108" i="1"/>
  <c r="CP109" i="1" s="1"/>
  <c r="CP110" i="1" s="1"/>
  <c r="CP111" i="1" s="1"/>
  <c r="CP112" i="1" s="1"/>
  <c r="CP113" i="1" s="1"/>
  <c r="CP114" i="1" s="1"/>
  <c r="CP115" i="1" s="1"/>
  <c r="CP116" i="1" s="1"/>
  <c r="CP117" i="1" s="1"/>
  <c r="CP118" i="1" s="1"/>
  <c r="CP119" i="1" s="1"/>
  <c r="CP120" i="1" s="1"/>
  <c r="CP121" i="1" s="1"/>
  <c r="CP122" i="1" s="1"/>
  <c r="CP123" i="1" s="1"/>
  <c r="CP124" i="1" s="1"/>
  <c r="CP125" i="1" s="1"/>
  <c r="CP126" i="1" s="1"/>
  <c r="CP127" i="1" s="1"/>
  <c r="CX108" i="1"/>
  <c r="CX109" i="1" s="1"/>
  <c r="CX110" i="1" s="1"/>
  <c r="CX111" i="1" s="1"/>
  <c r="CX112" i="1" s="1"/>
  <c r="CX113" i="1" s="1"/>
  <c r="CX114" i="1" s="1"/>
  <c r="CX115" i="1" s="1"/>
  <c r="CX116" i="1" s="1"/>
  <c r="CX117" i="1" s="1"/>
  <c r="CX118" i="1" s="1"/>
  <c r="CX119" i="1" s="1"/>
  <c r="CX120" i="1" s="1"/>
  <c r="CX121" i="1" s="1"/>
  <c r="CX122" i="1" s="1"/>
  <c r="CX123" i="1" s="1"/>
  <c r="CX124" i="1" s="1"/>
  <c r="CX125" i="1" s="1"/>
  <c r="CX126" i="1" s="1"/>
  <c r="CX127" i="1" s="1"/>
  <c r="CB30" i="1"/>
  <c r="CC30" i="1" s="1"/>
  <c r="CI30" i="1"/>
  <c r="CB26" i="1"/>
  <c r="CC26" i="1" s="1"/>
  <c r="CI26" i="1"/>
  <c r="CB22" i="1"/>
  <c r="CC22" i="1" s="1"/>
  <c r="CI22" i="1"/>
  <c r="CB18" i="1"/>
  <c r="CC18" i="1" s="1"/>
  <c r="CI18" i="1"/>
  <c r="CB12" i="1"/>
  <c r="CC12" i="1" s="1"/>
  <c r="CI12" i="1"/>
  <c r="CB8" i="1"/>
  <c r="CC8" i="1" s="1"/>
  <c r="CI8" i="1"/>
  <c r="CB53" i="1"/>
  <c r="CC53" i="1" s="1"/>
  <c r="CI53" i="1"/>
  <c r="CB49" i="1"/>
  <c r="CC49" i="1" s="1"/>
  <c r="CI49" i="1"/>
  <c r="CB45" i="1"/>
  <c r="CC45" i="1" s="1"/>
  <c r="CI45" i="1"/>
  <c r="CB41" i="1"/>
  <c r="CC41" i="1" s="1"/>
  <c r="CI41" i="1"/>
  <c r="CB35" i="1"/>
  <c r="CC35" i="1" s="1"/>
  <c r="CI35" i="1"/>
  <c r="CB99" i="1"/>
  <c r="CY100" i="1" s="1"/>
  <c r="CY101" i="1" s="1"/>
  <c r="CY102" i="1" s="1"/>
  <c r="CY103" i="1" s="1"/>
  <c r="CY104" i="1" s="1"/>
  <c r="CY105" i="1" s="1"/>
  <c r="CY106" i="1" s="1"/>
  <c r="CY107" i="1" s="1"/>
  <c r="CJ100" i="1"/>
  <c r="CJ101" i="1" s="1"/>
  <c r="CJ102" i="1" s="1"/>
  <c r="CJ103" i="1" s="1"/>
  <c r="CJ104" i="1" s="1"/>
  <c r="CJ105" i="1" s="1"/>
  <c r="CJ106" i="1" s="1"/>
  <c r="CJ107" i="1" s="1"/>
  <c r="CI107" i="1" s="1"/>
  <c r="CB95" i="1"/>
  <c r="CC95" i="1" s="1"/>
  <c r="CI95" i="1"/>
  <c r="CB93" i="1"/>
  <c r="CC93" i="1" s="1"/>
  <c r="CI93" i="1"/>
  <c r="CB87" i="1"/>
  <c r="CC87" i="1" s="1"/>
  <c r="CI87" i="1"/>
  <c r="CB83" i="1"/>
  <c r="CY84" i="1" s="1"/>
  <c r="CJ84" i="1"/>
  <c r="CJ85" i="1" s="1"/>
  <c r="CJ86" i="1" s="1"/>
  <c r="CJ87" i="1" s="1"/>
  <c r="CJ88" i="1" s="1"/>
  <c r="CJ89" i="1" s="1"/>
  <c r="CJ90" i="1" s="1"/>
  <c r="CJ91" i="1" s="1"/>
  <c r="CJ92" i="1" s="1"/>
  <c r="CJ93" i="1" s="1"/>
  <c r="CJ94" i="1" s="1"/>
  <c r="CI94" i="1" s="1"/>
  <c r="CB79" i="1"/>
  <c r="CC79" i="1" s="1"/>
  <c r="CI79" i="1"/>
  <c r="CB73" i="1"/>
  <c r="CC73" i="1" s="1"/>
  <c r="CI73" i="1"/>
  <c r="CB69" i="1"/>
  <c r="CC69" i="1" s="1"/>
  <c r="CI69" i="1"/>
  <c r="CB65" i="1"/>
  <c r="CC65" i="1" s="1"/>
  <c r="CI65" i="1"/>
  <c r="CB61" i="1"/>
  <c r="CC61" i="1" s="1"/>
  <c r="CI61" i="1"/>
  <c r="CB57" i="1"/>
  <c r="CC57" i="1" s="1"/>
  <c r="CI57" i="1"/>
  <c r="CC19" i="1"/>
  <c r="CB91" i="1"/>
  <c r="CC91" i="1" s="1"/>
  <c r="CG16" i="1"/>
  <c r="CF16" i="1" s="1"/>
  <c r="CE105" i="1"/>
  <c r="CB7" i="1"/>
  <c r="CW8" i="1" s="1"/>
  <c r="CE104" i="1"/>
  <c r="CG26" i="1"/>
  <c r="CF26" i="1" s="1"/>
  <c r="CH14" i="1"/>
  <c r="CH97" i="1"/>
  <c r="CG81" i="1"/>
  <c r="CF81" i="1" s="1"/>
  <c r="CG31" i="1"/>
  <c r="CF31" i="1" s="1"/>
  <c r="CH11" i="1"/>
  <c r="CH82" i="1"/>
  <c r="CG68" i="1"/>
  <c r="CF68" i="1" s="1"/>
  <c r="CO33" i="1"/>
  <c r="CU33" i="1"/>
  <c r="CK20" i="1"/>
  <c r="CG40" i="1"/>
  <c r="CF40" i="1" s="1"/>
  <c r="CQ84" i="1"/>
  <c r="BW92" i="1"/>
  <c r="AN91" i="17" s="1"/>
  <c r="BW7" i="1"/>
  <c r="AN6" i="17" s="1"/>
  <c r="BW8" i="1"/>
  <c r="AN7" i="17" s="1"/>
  <c r="BW9" i="1"/>
  <c r="AN8" i="17" s="1"/>
  <c r="BW10" i="1"/>
  <c r="AN9" i="17" s="1"/>
  <c r="BW11" i="1"/>
  <c r="AN10" i="17" s="1"/>
  <c r="BW12" i="1"/>
  <c r="AN11" i="17" s="1"/>
  <c r="BW13" i="1"/>
  <c r="AN12" i="17" s="1"/>
  <c r="BW14" i="1"/>
  <c r="AN13" i="17" s="1"/>
  <c r="BW15" i="1"/>
  <c r="AN14" i="17" s="1"/>
  <c r="BW16" i="1"/>
  <c r="AN15" i="17" s="1"/>
  <c r="BW17" i="1"/>
  <c r="AN16" i="17" s="1"/>
  <c r="BW18" i="1"/>
  <c r="AN17" i="17" s="1"/>
  <c r="BW19" i="1"/>
  <c r="AN18" i="17" s="1"/>
  <c r="BW20" i="1"/>
  <c r="AN19" i="17" s="1"/>
  <c r="BW21" i="1"/>
  <c r="AN20" i="17" s="1"/>
  <c r="BW22" i="1"/>
  <c r="AN21" i="17" s="1"/>
  <c r="BW23" i="1"/>
  <c r="AN22" i="17" s="1"/>
  <c r="BW24" i="1"/>
  <c r="AN23" i="17" s="1"/>
  <c r="BW25" i="1"/>
  <c r="AN24" i="17" s="1"/>
  <c r="BW26" i="1"/>
  <c r="AN25" i="17" s="1"/>
  <c r="BW27" i="1"/>
  <c r="AN26" i="17" s="1"/>
  <c r="BW28" i="1"/>
  <c r="AN27" i="17" s="1"/>
  <c r="BW29" i="1"/>
  <c r="AN28" i="17" s="1"/>
  <c r="BW30" i="1"/>
  <c r="AN29" i="17" s="1"/>
  <c r="BW31" i="1"/>
  <c r="AN30" i="17" s="1"/>
  <c r="BW32" i="1"/>
  <c r="AN31" i="17" s="1"/>
  <c r="BW33" i="1"/>
  <c r="AN32" i="17" s="1"/>
  <c r="BW34" i="1"/>
  <c r="AN33" i="17" s="1"/>
  <c r="BW35" i="1"/>
  <c r="AN34" i="17" s="1"/>
  <c r="BW36" i="1"/>
  <c r="AN35" i="17" s="1"/>
  <c r="BW37" i="1"/>
  <c r="AN36" i="17" s="1"/>
  <c r="BW38" i="1"/>
  <c r="AN37" i="17" s="1"/>
  <c r="BW39" i="1"/>
  <c r="AN38" i="17" s="1"/>
  <c r="BW40" i="1"/>
  <c r="AN39" i="17" s="1"/>
  <c r="BW41" i="1"/>
  <c r="AN40" i="17" s="1"/>
  <c r="BW42" i="1"/>
  <c r="AN41" i="17" s="1"/>
  <c r="BW43" i="1"/>
  <c r="AN42" i="17" s="1"/>
  <c r="BW44" i="1"/>
  <c r="AN43" i="17" s="1"/>
  <c r="BW45" i="1"/>
  <c r="AN44" i="17" s="1"/>
  <c r="BW46" i="1"/>
  <c r="AN45" i="17" s="1"/>
  <c r="BW47" i="1"/>
  <c r="AN46" i="17" s="1"/>
  <c r="BW48" i="1"/>
  <c r="AN47" i="17" s="1"/>
  <c r="BW49" i="1"/>
  <c r="AN48" i="17" s="1"/>
  <c r="BW50" i="1"/>
  <c r="AN49" i="17" s="1"/>
  <c r="BW51" i="1"/>
  <c r="AN50" i="17" s="1"/>
  <c r="BW53" i="1"/>
  <c r="AN52" i="17" s="1"/>
  <c r="BW54" i="1"/>
  <c r="AN53" i="17" s="1"/>
  <c r="BW55" i="1"/>
  <c r="AN54" i="17" s="1"/>
  <c r="BW56" i="1"/>
  <c r="AN55" i="17" s="1"/>
  <c r="BW57" i="1"/>
  <c r="AN56" i="17" s="1"/>
  <c r="BW58" i="1"/>
  <c r="AN57" i="17" s="1"/>
  <c r="BW59" i="1"/>
  <c r="AN58" i="17" s="1"/>
  <c r="BW60" i="1"/>
  <c r="AN59" i="17" s="1"/>
  <c r="BW61" i="1"/>
  <c r="AN60" i="17" s="1"/>
  <c r="BW62" i="1"/>
  <c r="AN61" i="17" s="1"/>
  <c r="BW63" i="1"/>
  <c r="AN62" i="17" s="1"/>
  <c r="BW64" i="1"/>
  <c r="AN63" i="17" s="1"/>
  <c r="BW65" i="1"/>
  <c r="AN64" i="17" s="1"/>
  <c r="BW66" i="1"/>
  <c r="AN65" i="17" s="1"/>
  <c r="BW67" i="1"/>
  <c r="AN66" i="17" s="1"/>
  <c r="BW68" i="1"/>
  <c r="AN67" i="17" s="1"/>
  <c r="BW69" i="1"/>
  <c r="AN68" i="17" s="1"/>
  <c r="BW70" i="1"/>
  <c r="AN69" i="17" s="1"/>
  <c r="BW71" i="1"/>
  <c r="AN70" i="17" s="1"/>
  <c r="BW72" i="1"/>
  <c r="AN71" i="17" s="1"/>
  <c r="BW73" i="1"/>
  <c r="AN72" i="17" s="1"/>
  <c r="BW74" i="1"/>
  <c r="AN73" i="17" s="1"/>
  <c r="BW75" i="1"/>
  <c r="AN74" i="17" s="1"/>
  <c r="BW76" i="1"/>
  <c r="AN75" i="17" s="1"/>
  <c r="BW77" i="1"/>
  <c r="AN76" i="17" s="1"/>
  <c r="BW78" i="1"/>
  <c r="AN77" i="17" s="1"/>
  <c r="BW79" i="1"/>
  <c r="AN78" i="17" s="1"/>
  <c r="BW80" i="1"/>
  <c r="AN79" i="17" s="1"/>
  <c r="BW81" i="1"/>
  <c r="AN80" i="17" s="1"/>
  <c r="BW82" i="1"/>
  <c r="AN81" i="17" s="1"/>
  <c r="BW83" i="1"/>
  <c r="AN82" i="17" s="1"/>
  <c r="BW84" i="1"/>
  <c r="AN83" i="17" s="1"/>
  <c r="BW85" i="1"/>
  <c r="AN84" i="17" s="1"/>
  <c r="BW86" i="1"/>
  <c r="AN85" i="17" s="1"/>
  <c r="BW87" i="1"/>
  <c r="AN86" i="17" s="1"/>
  <c r="BW88" i="1"/>
  <c r="AN87" i="17" s="1"/>
  <c r="BW89" i="1"/>
  <c r="AN88" i="17" s="1"/>
  <c r="BW90" i="1"/>
  <c r="AN89" i="17" s="1"/>
  <c r="BW91" i="1"/>
  <c r="AN90" i="17" s="1"/>
  <c r="BW93" i="1"/>
  <c r="AN92" i="17" s="1"/>
  <c r="BW94" i="1"/>
  <c r="AN93" i="17" s="1"/>
  <c r="BW95" i="1"/>
  <c r="AN94" i="17" s="1"/>
  <c r="BW96" i="1"/>
  <c r="AN95" i="17" s="1"/>
  <c r="BW97" i="1"/>
  <c r="AN96" i="17" s="1"/>
  <c r="BW98" i="1"/>
  <c r="AN97" i="17" s="1"/>
  <c r="BW99" i="1"/>
  <c r="AN98" i="17" s="1"/>
  <c r="I21" i="12" l="1"/>
  <c r="CQ85" i="1"/>
  <c r="CG76" i="1"/>
  <c r="CF76" i="1" s="1"/>
  <c r="CG39" i="1"/>
  <c r="CF39" i="1" s="1"/>
  <c r="CG56" i="1"/>
  <c r="CF56" i="1" s="1"/>
  <c r="CG71" i="1"/>
  <c r="CF71" i="1" s="1"/>
  <c r="CR56" i="1"/>
  <c r="CR57" i="1" s="1"/>
  <c r="CR58" i="1" s="1"/>
  <c r="CR59" i="1" s="1"/>
  <c r="CR60" i="1" s="1"/>
  <c r="CR61" i="1" s="1"/>
  <c r="CR62" i="1" s="1"/>
  <c r="CR63" i="1" s="1"/>
  <c r="CR64" i="1" s="1"/>
  <c r="CR65" i="1" s="1"/>
  <c r="CR66" i="1" s="1"/>
  <c r="CR67" i="1" s="1"/>
  <c r="CR68" i="1" s="1"/>
  <c r="CR69" i="1" s="1"/>
  <c r="CR70" i="1" s="1"/>
  <c r="CR71" i="1" s="1"/>
  <c r="CR72" i="1" s="1"/>
  <c r="CR73" i="1" s="1"/>
  <c r="CR74" i="1" s="1"/>
  <c r="CR75" i="1" s="1"/>
  <c r="CR76" i="1" s="1"/>
  <c r="CR77" i="1" s="1"/>
  <c r="CR78" i="1" s="1"/>
  <c r="CR79" i="1" s="1"/>
  <c r="CR80" i="1" s="1"/>
  <c r="CR81" i="1" s="1"/>
  <c r="CR82" i="1" s="1"/>
  <c r="CR83" i="1" s="1"/>
  <c r="CN47" i="1"/>
  <c r="CN48" i="1" s="1"/>
  <c r="CG92" i="1"/>
  <c r="CF92" i="1" s="1"/>
  <c r="CO56" i="1"/>
  <c r="CG33" i="1"/>
  <c r="CF33" i="1" s="1"/>
  <c r="CR20" i="1"/>
  <c r="CR21" i="1" s="1"/>
  <c r="CR22" i="1" s="1"/>
  <c r="CR23" i="1" s="1"/>
  <c r="CR24" i="1" s="1"/>
  <c r="CR25" i="1" s="1"/>
  <c r="CR26" i="1" s="1"/>
  <c r="CR27" i="1" s="1"/>
  <c r="CR28" i="1" s="1"/>
  <c r="CR29" i="1" s="1"/>
  <c r="CR30" i="1" s="1"/>
  <c r="CR31" i="1" s="1"/>
  <c r="CR32" i="1" s="1"/>
  <c r="CM33" i="1"/>
  <c r="CM34" i="1" s="1"/>
  <c r="CM35" i="1" s="1"/>
  <c r="CM36" i="1" s="1"/>
  <c r="CM37" i="1" s="1"/>
  <c r="CM38" i="1" s="1"/>
  <c r="CM39" i="1" s="1"/>
  <c r="CM40" i="1" s="1"/>
  <c r="CM41" i="1" s="1"/>
  <c r="CM42" i="1" s="1"/>
  <c r="CM43" i="1" s="1"/>
  <c r="CM44" i="1" s="1"/>
  <c r="CM45" i="1" s="1"/>
  <c r="CM46" i="1" s="1"/>
  <c r="CG38" i="1"/>
  <c r="CF38" i="1" s="1"/>
  <c r="CH72" i="1"/>
  <c r="CG88" i="1"/>
  <c r="CF88" i="1" s="1"/>
  <c r="CW20" i="1"/>
  <c r="CW21" i="1" s="1"/>
  <c r="CG75" i="1"/>
  <c r="CF75" i="1" s="1"/>
  <c r="CG37" i="1"/>
  <c r="CF37" i="1" s="1"/>
  <c r="CW56" i="1"/>
  <c r="CW57" i="1" s="1"/>
  <c r="CW58" i="1" s="1"/>
  <c r="CW59" i="1" s="1"/>
  <c r="CW60" i="1" s="1"/>
  <c r="CW61" i="1" s="1"/>
  <c r="CW62" i="1" s="1"/>
  <c r="CW63" i="1" s="1"/>
  <c r="CW64" i="1" s="1"/>
  <c r="CW65" i="1" s="1"/>
  <c r="CW66" i="1" s="1"/>
  <c r="CW67" i="1" s="1"/>
  <c r="CW68" i="1" s="1"/>
  <c r="CW69" i="1" s="1"/>
  <c r="CW70" i="1" s="1"/>
  <c r="CW71" i="1" s="1"/>
  <c r="CW72" i="1" s="1"/>
  <c r="CW73" i="1" s="1"/>
  <c r="CW74" i="1" s="1"/>
  <c r="CW75" i="1" s="1"/>
  <c r="CW76" i="1" s="1"/>
  <c r="CW77" i="1" s="1"/>
  <c r="CW78" i="1" s="1"/>
  <c r="CW79" i="1" s="1"/>
  <c r="CW80" i="1" s="1"/>
  <c r="CW81" i="1" s="1"/>
  <c r="CW82" i="1" s="1"/>
  <c r="CW83" i="1" s="1"/>
  <c r="CH16" i="1"/>
  <c r="CH38" i="1"/>
  <c r="CV95" i="1"/>
  <c r="CQ20" i="1"/>
  <c r="CG34" i="1"/>
  <c r="CF34" i="1" s="1"/>
  <c r="CG60" i="1"/>
  <c r="CF60" i="1" s="1"/>
  <c r="CH80" i="1"/>
  <c r="CG96" i="1"/>
  <c r="CF96" i="1" s="1"/>
  <c r="CG67" i="1"/>
  <c r="CF67" i="1" s="1"/>
  <c r="CG89" i="1"/>
  <c r="CF89" i="1" s="1"/>
  <c r="CG43" i="1"/>
  <c r="CF43" i="1" s="1"/>
  <c r="CH10" i="1"/>
  <c r="CH28" i="1"/>
  <c r="CY33" i="1"/>
  <c r="CY34" i="1" s="1"/>
  <c r="CY35" i="1" s="1"/>
  <c r="CY36" i="1" s="1"/>
  <c r="CY37" i="1" s="1"/>
  <c r="CY38" i="1" s="1"/>
  <c r="CY39" i="1" s="1"/>
  <c r="CY40" i="1" s="1"/>
  <c r="CY41" i="1" s="1"/>
  <c r="CY42" i="1" s="1"/>
  <c r="CY43" i="1" s="1"/>
  <c r="CY44" i="1" s="1"/>
  <c r="CY45" i="1" s="1"/>
  <c r="CY46" i="1" s="1"/>
  <c r="CH58" i="1"/>
  <c r="CH64" i="1"/>
  <c r="CY85" i="1"/>
  <c r="CK84" i="1"/>
  <c r="CK85" i="1" s="1"/>
  <c r="CM84" i="1"/>
  <c r="CM85" i="1" s="1"/>
  <c r="CM86" i="1" s="1"/>
  <c r="CM87" i="1" s="1"/>
  <c r="CM88" i="1" s="1"/>
  <c r="CM89" i="1" s="1"/>
  <c r="CM90" i="1" s="1"/>
  <c r="CM91" i="1" s="1"/>
  <c r="CM92" i="1" s="1"/>
  <c r="CM93" i="1" s="1"/>
  <c r="CM94" i="1" s="1"/>
  <c r="CG20" i="1"/>
  <c r="CF20" i="1" s="1"/>
  <c r="CH50" i="1"/>
  <c r="CH85" i="1"/>
  <c r="CG97" i="1"/>
  <c r="CF97" i="1" s="1"/>
  <c r="CU56" i="1"/>
  <c r="CU57" i="1" s="1"/>
  <c r="CG14" i="1"/>
  <c r="CF14" i="1" s="1"/>
  <c r="CH21" i="1"/>
  <c r="CH47" i="1"/>
  <c r="CX56" i="1"/>
  <c r="CX57" i="1" s="1"/>
  <c r="CX58" i="1" s="1"/>
  <c r="CX59" i="1" s="1"/>
  <c r="CX60" i="1" s="1"/>
  <c r="CX61" i="1" s="1"/>
  <c r="CX62" i="1" s="1"/>
  <c r="CX63" i="1" s="1"/>
  <c r="CX64" i="1" s="1"/>
  <c r="CX65" i="1" s="1"/>
  <c r="CX66" i="1" s="1"/>
  <c r="CX67" i="1" s="1"/>
  <c r="CX68" i="1" s="1"/>
  <c r="CX69" i="1" s="1"/>
  <c r="CX70" i="1" s="1"/>
  <c r="CX71" i="1" s="1"/>
  <c r="CX72" i="1" s="1"/>
  <c r="CX73" i="1" s="1"/>
  <c r="CX74" i="1" s="1"/>
  <c r="CX75" i="1" s="1"/>
  <c r="CX76" i="1" s="1"/>
  <c r="CX77" i="1" s="1"/>
  <c r="CX78" i="1" s="1"/>
  <c r="CX79" i="1" s="1"/>
  <c r="CX80" i="1" s="1"/>
  <c r="CX81" i="1" s="1"/>
  <c r="CX82" i="1" s="1"/>
  <c r="CX83" i="1" s="1"/>
  <c r="CY86" i="1"/>
  <c r="CY87" i="1" s="1"/>
  <c r="CC33" i="1"/>
  <c r="CG47" i="1"/>
  <c r="CF47" i="1" s="1"/>
  <c r="CM47" i="1"/>
  <c r="CM48" i="1" s="1"/>
  <c r="CH74" i="1"/>
  <c r="CH54" i="1"/>
  <c r="CH77" i="1"/>
  <c r="CG85" i="1"/>
  <c r="CF85" i="1" s="1"/>
  <c r="CV56" i="1"/>
  <c r="CV57" i="1" s="1"/>
  <c r="CV58" i="1" s="1"/>
  <c r="CV59" i="1" s="1"/>
  <c r="CV60" i="1" s="1"/>
  <c r="CV61" i="1" s="1"/>
  <c r="CV62" i="1" s="1"/>
  <c r="CV63" i="1" s="1"/>
  <c r="CV64" i="1" s="1"/>
  <c r="CV65" i="1" s="1"/>
  <c r="CV66" i="1" s="1"/>
  <c r="CV67" i="1" s="1"/>
  <c r="CV68" i="1" s="1"/>
  <c r="CV69" i="1" s="1"/>
  <c r="CV70" i="1" s="1"/>
  <c r="CV71" i="1" s="1"/>
  <c r="CV72" i="1" s="1"/>
  <c r="CV73" i="1" s="1"/>
  <c r="CV74" i="1" s="1"/>
  <c r="CV75" i="1" s="1"/>
  <c r="CV76" i="1" s="1"/>
  <c r="CV77" i="1" s="1"/>
  <c r="CV78" i="1" s="1"/>
  <c r="CV79" i="1" s="1"/>
  <c r="CV80" i="1" s="1"/>
  <c r="CV81" i="1" s="1"/>
  <c r="CV82" i="1" s="1"/>
  <c r="CV83" i="1" s="1"/>
  <c r="CN56" i="1"/>
  <c r="CN57" i="1" s="1"/>
  <c r="CN58" i="1" s="1"/>
  <c r="CN59" i="1" s="1"/>
  <c r="CN60" i="1" s="1"/>
  <c r="CN61" i="1" s="1"/>
  <c r="CN62" i="1" s="1"/>
  <c r="CN63" i="1" s="1"/>
  <c r="CN64" i="1" s="1"/>
  <c r="CN65" i="1" s="1"/>
  <c r="CN66" i="1" s="1"/>
  <c r="CN67" i="1" s="1"/>
  <c r="CN68" i="1" s="1"/>
  <c r="CN69" i="1" s="1"/>
  <c r="CN70" i="1" s="1"/>
  <c r="CN71" i="1" s="1"/>
  <c r="CN72" i="1" s="1"/>
  <c r="CN73" i="1" s="1"/>
  <c r="CN74" i="1" s="1"/>
  <c r="CN75" i="1" s="1"/>
  <c r="CN76" i="1" s="1"/>
  <c r="CN77" i="1" s="1"/>
  <c r="CN78" i="1" s="1"/>
  <c r="CN79" i="1" s="1"/>
  <c r="CN80" i="1" s="1"/>
  <c r="CN81" i="1" s="1"/>
  <c r="CN82" i="1" s="1"/>
  <c r="CN83" i="1" s="1"/>
  <c r="CS56" i="1"/>
  <c r="CK56" i="1"/>
  <c r="CG17" i="1"/>
  <c r="CF17" i="1" s="1"/>
  <c r="B9" i="12"/>
  <c r="I9" i="12" s="1"/>
  <c r="CD102" i="1"/>
  <c r="CC55" i="1"/>
  <c r="CY48" i="1"/>
  <c r="CY49" i="1" s="1"/>
  <c r="CY50" i="1" s="1"/>
  <c r="CY51" i="1" s="1"/>
  <c r="CY52" i="1" s="1"/>
  <c r="CY53" i="1" s="1"/>
  <c r="CY54" i="1" s="1"/>
  <c r="CY55" i="1" s="1"/>
  <c r="CR47" i="1"/>
  <c r="CR48" i="1" s="1"/>
  <c r="CR49" i="1" s="1"/>
  <c r="CR50" i="1" s="1"/>
  <c r="CR51" i="1" s="1"/>
  <c r="CR52" i="1" s="1"/>
  <c r="CR53" i="1" s="1"/>
  <c r="CR54" i="1" s="1"/>
  <c r="CR55" i="1" s="1"/>
  <c r="CP56" i="1"/>
  <c r="CP57" i="1" s="1"/>
  <c r="CM56" i="1"/>
  <c r="CM57" i="1" s="1"/>
  <c r="CG28" i="1"/>
  <c r="CF28" i="1" s="1"/>
  <c r="CQ86" i="1"/>
  <c r="CQ87" i="1" s="1"/>
  <c r="CQ88" i="1" s="1"/>
  <c r="CQ89" i="1" s="1"/>
  <c r="CQ90" i="1" s="1"/>
  <c r="CQ91" i="1" s="1"/>
  <c r="CQ92" i="1" s="1"/>
  <c r="CQ93" i="1" s="1"/>
  <c r="CQ94" i="1" s="1"/>
  <c r="CH66" i="1"/>
  <c r="CH71" i="1"/>
  <c r="CG77" i="1"/>
  <c r="CF77" i="1" s="1"/>
  <c r="CH39" i="1"/>
  <c r="CT56" i="1"/>
  <c r="CT57" i="1" s="1"/>
  <c r="CT58" i="1" s="1"/>
  <c r="CT59" i="1" s="1"/>
  <c r="CT60" i="1" s="1"/>
  <c r="CT61" i="1" s="1"/>
  <c r="CT62" i="1" s="1"/>
  <c r="CT63" i="1" s="1"/>
  <c r="CT64" i="1" s="1"/>
  <c r="CT65" i="1" s="1"/>
  <c r="CT66" i="1" s="1"/>
  <c r="CT67" i="1" s="1"/>
  <c r="CT68" i="1" s="1"/>
  <c r="CT69" i="1" s="1"/>
  <c r="CT70" i="1" s="1"/>
  <c r="CT71" i="1" s="1"/>
  <c r="CT72" i="1" s="1"/>
  <c r="CT73" i="1" s="1"/>
  <c r="CT74" i="1" s="1"/>
  <c r="CT75" i="1" s="1"/>
  <c r="CT76" i="1" s="1"/>
  <c r="CT77" i="1" s="1"/>
  <c r="CT78" i="1" s="1"/>
  <c r="CT79" i="1" s="1"/>
  <c r="CT80" i="1" s="1"/>
  <c r="CT81" i="1" s="1"/>
  <c r="CT82" i="1" s="1"/>
  <c r="CT83" i="1" s="1"/>
  <c r="CL56" i="1"/>
  <c r="CL57" i="1" s="1"/>
  <c r="CL58" i="1" s="1"/>
  <c r="CL59" i="1" s="1"/>
  <c r="CL60" i="1" s="1"/>
  <c r="CL61" i="1" s="1"/>
  <c r="CL62" i="1" s="1"/>
  <c r="CL63" i="1" s="1"/>
  <c r="CL64" i="1" s="1"/>
  <c r="CL65" i="1" s="1"/>
  <c r="CL66" i="1" s="1"/>
  <c r="CL67" i="1" s="1"/>
  <c r="CL68" i="1" s="1"/>
  <c r="CL69" i="1" s="1"/>
  <c r="CL70" i="1" s="1"/>
  <c r="CL71" i="1" s="1"/>
  <c r="CL72" i="1" s="1"/>
  <c r="CL73" i="1" s="1"/>
  <c r="CL74" i="1" s="1"/>
  <c r="CL75" i="1" s="1"/>
  <c r="CL76" i="1" s="1"/>
  <c r="CL77" i="1" s="1"/>
  <c r="CL78" i="1" s="1"/>
  <c r="CL79" i="1" s="1"/>
  <c r="CL80" i="1" s="1"/>
  <c r="CL81" i="1" s="1"/>
  <c r="CL82" i="1" s="1"/>
  <c r="CL83" i="1" s="1"/>
  <c r="CQ56" i="1"/>
  <c r="CQ57" i="1" s="1"/>
  <c r="CQ58" i="1" s="1"/>
  <c r="CQ59" i="1" s="1"/>
  <c r="CQ60" i="1" s="1"/>
  <c r="CQ61" i="1" s="1"/>
  <c r="CQ62" i="1" s="1"/>
  <c r="CQ63" i="1" s="1"/>
  <c r="CQ64" i="1" s="1"/>
  <c r="CQ65" i="1" s="1"/>
  <c r="CQ66" i="1" s="1"/>
  <c r="CQ67" i="1" s="1"/>
  <c r="CQ68" i="1" s="1"/>
  <c r="CQ69" i="1" s="1"/>
  <c r="CQ70" i="1" s="1"/>
  <c r="CQ71" i="1" s="1"/>
  <c r="CQ72" i="1" s="1"/>
  <c r="CQ73" i="1" s="1"/>
  <c r="CQ74" i="1" s="1"/>
  <c r="CQ75" i="1" s="1"/>
  <c r="CQ76" i="1" s="1"/>
  <c r="CQ77" i="1" s="1"/>
  <c r="CQ78" i="1" s="1"/>
  <c r="CQ79" i="1" s="1"/>
  <c r="CQ80" i="1" s="1"/>
  <c r="CQ81" i="1" s="1"/>
  <c r="CQ82" i="1" s="1"/>
  <c r="CQ83" i="1" s="1"/>
  <c r="CG29" i="1"/>
  <c r="CF29" i="1" s="1"/>
  <c r="B7" i="12"/>
  <c r="I7" i="12" s="1"/>
  <c r="CD106" i="1"/>
  <c r="CH20" i="1"/>
  <c r="CC46" i="1"/>
  <c r="I20" i="12"/>
  <c r="CY21" i="1"/>
  <c r="CY22" i="1" s="1"/>
  <c r="CY23" i="1" s="1"/>
  <c r="CY24" i="1" s="1"/>
  <c r="CY25" i="1" s="1"/>
  <c r="CY26" i="1" s="1"/>
  <c r="CY27" i="1" s="1"/>
  <c r="CY28" i="1" s="1"/>
  <c r="CY29" i="1" s="1"/>
  <c r="CY30" i="1" s="1"/>
  <c r="CY31" i="1" s="1"/>
  <c r="CY32" i="1" s="1"/>
  <c r="CL34" i="1"/>
  <c r="CL35" i="1" s="1"/>
  <c r="CL36" i="1" s="1"/>
  <c r="CL37" i="1" s="1"/>
  <c r="CL38" i="1" s="1"/>
  <c r="CL39" i="1" s="1"/>
  <c r="CL40" i="1" s="1"/>
  <c r="CL41" i="1" s="1"/>
  <c r="CL42" i="1" s="1"/>
  <c r="CL43" i="1" s="1"/>
  <c r="CL44" i="1" s="1"/>
  <c r="CL45" i="1" s="1"/>
  <c r="CL46" i="1" s="1"/>
  <c r="I19" i="12"/>
  <c r="CM20" i="1"/>
  <c r="CM21" i="1" s="1"/>
  <c r="CM22" i="1" s="1"/>
  <c r="CM23" i="1" s="1"/>
  <c r="CM24" i="1" s="1"/>
  <c r="CM25" i="1" s="1"/>
  <c r="CM26" i="1" s="1"/>
  <c r="CM27" i="1" s="1"/>
  <c r="CM28" i="1" s="1"/>
  <c r="CM29" i="1" s="1"/>
  <c r="CM30" i="1" s="1"/>
  <c r="CM31" i="1" s="1"/>
  <c r="CM32" i="1" s="1"/>
  <c r="CL20" i="1"/>
  <c r="CS20" i="1"/>
  <c r="CS21" i="1" s="1"/>
  <c r="CS22" i="1" s="1"/>
  <c r="CS23" i="1" s="1"/>
  <c r="CS24" i="1" s="1"/>
  <c r="CS25" i="1" s="1"/>
  <c r="CS26" i="1" s="1"/>
  <c r="CS27" i="1" s="1"/>
  <c r="CS28" i="1" s="1"/>
  <c r="CS29" i="1" s="1"/>
  <c r="CS30" i="1" s="1"/>
  <c r="CS31" i="1" s="1"/>
  <c r="CS32" i="1" s="1"/>
  <c r="CK33" i="1"/>
  <c r="CK34" i="1" s="1"/>
  <c r="CP33" i="1"/>
  <c r="CT33" i="1"/>
  <c r="CT34" i="1" s="1"/>
  <c r="CT35" i="1" s="1"/>
  <c r="CT36" i="1" s="1"/>
  <c r="CT37" i="1" s="1"/>
  <c r="CT38" i="1" s="1"/>
  <c r="CT39" i="1" s="1"/>
  <c r="CT40" i="1" s="1"/>
  <c r="CT41" i="1" s="1"/>
  <c r="CT42" i="1" s="1"/>
  <c r="CT43" i="1" s="1"/>
  <c r="CT44" i="1" s="1"/>
  <c r="CT45" i="1" s="1"/>
  <c r="CT46" i="1" s="1"/>
  <c r="CN49" i="1"/>
  <c r="CN50" i="1" s="1"/>
  <c r="CN51" i="1" s="1"/>
  <c r="CN52" i="1" s="1"/>
  <c r="CN53" i="1" s="1"/>
  <c r="CN54" i="1" s="1"/>
  <c r="CN55" i="1" s="1"/>
  <c r="CH52" i="1"/>
  <c r="CG11" i="1"/>
  <c r="CE11" i="1" s="1"/>
  <c r="CH27" i="1"/>
  <c r="CH59" i="1"/>
  <c r="CH51" i="1"/>
  <c r="CG10" i="1"/>
  <c r="CE10" i="1" s="1"/>
  <c r="CH24" i="1"/>
  <c r="CX33" i="1"/>
  <c r="CX34" i="1" s="1"/>
  <c r="CX35" i="1" s="1"/>
  <c r="CX36" i="1" s="1"/>
  <c r="CX37" i="1" s="1"/>
  <c r="CX38" i="1" s="1"/>
  <c r="CX39" i="1" s="1"/>
  <c r="CX40" i="1" s="1"/>
  <c r="CX41" i="1" s="1"/>
  <c r="CX42" i="1" s="1"/>
  <c r="CX43" i="1" s="1"/>
  <c r="CX44" i="1" s="1"/>
  <c r="CX45" i="1" s="1"/>
  <c r="CX46" i="1" s="1"/>
  <c r="CG23" i="1"/>
  <c r="CF23" i="1" s="1"/>
  <c r="CP20" i="1"/>
  <c r="CP21" i="1" s="1"/>
  <c r="CP22" i="1" s="1"/>
  <c r="CP23" i="1" s="1"/>
  <c r="CP24" i="1" s="1"/>
  <c r="CP25" i="1" s="1"/>
  <c r="CP26" i="1" s="1"/>
  <c r="CP27" i="1" s="1"/>
  <c r="CP28" i="1" s="1"/>
  <c r="CP29" i="1" s="1"/>
  <c r="CP30" i="1" s="1"/>
  <c r="CP31" i="1" s="1"/>
  <c r="CP32" i="1" s="1"/>
  <c r="CO20" i="1"/>
  <c r="CN20" i="1"/>
  <c r="CN21" i="1" s="1"/>
  <c r="CN22" i="1" s="1"/>
  <c r="CN23" i="1" s="1"/>
  <c r="CN24" i="1" s="1"/>
  <c r="CN25" i="1" s="1"/>
  <c r="CN26" i="1" s="1"/>
  <c r="CN27" i="1" s="1"/>
  <c r="CN28" i="1" s="1"/>
  <c r="CN29" i="1" s="1"/>
  <c r="CN30" i="1" s="1"/>
  <c r="CN31" i="1" s="1"/>
  <c r="CN32" i="1" s="1"/>
  <c r="CN33" i="1"/>
  <c r="CN34" i="1" s="1"/>
  <c r="CN35" i="1" s="1"/>
  <c r="CN36" i="1" s="1"/>
  <c r="CN37" i="1" s="1"/>
  <c r="CN38" i="1" s="1"/>
  <c r="CN39" i="1" s="1"/>
  <c r="CN40" i="1" s="1"/>
  <c r="CN41" i="1" s="1"/>
  <c r="CN42" i="1" s="1"/>
  <c r="CN43" i="1" s="1"/>
  <c r="CN44" i="1" s="1"/>
  <c r="CN45" i="1" s="1"/>
  <c r="CN46" i="1" s="1"/>
  <c r="CS33" i="1"/>
  <c r="CS34" i="1" s="1"/>
  <c r="CS35" i="1" s="1"/>
  <c r="CS36" i="1" s="1"/>
  <c r="CS37" i="1" s="1"/>
  <c r="CS38" i="1" s="1"/>
  <c r="CS39" i="1" s="1"/>
  <c r="CS40" i="1" s="1"/>
  <c r="CS41" i="1" s="1"/>
  <c r="CS42" i="1" s="1"/>
  <c r="CS43" i="1" s="1"/>
  <c r="CS44" i="1" s="1"/>
  <c r="CS45" i="1" s="1"/>
  <c r="CS46" i="1" s="1"/>
  <c r="CR33" i="1"/>
  <c r="CR34" i="1" s="1"/>
  <c r="CR35" i="1" s="1"/>
  <c r="CR36" i="1" s="1"/>
  <c r="CR37" i="1" s="1"/>
  <c r="CR38" i="1" s="1"/>
  <c r="CR39" i="1" s="1"/>
  <c r="CR40" i="1" s="1"/>
  <c r="CR41" i="1" s="1"/>
  <c r="CR42" i="1" s="1"/>
  <c r="CR43" i="1" s="1"/>
  <c r="CR44" i="1" s="1"/>
  <c r="CR45" i="1" s="1"/>
  <c r="CR46" i="1" s="1"/>
  <c r="CH48" i="1"/>
  <c r="CG52" i="1"/>
  <c r="CF52" i="1" s="1"/>
  <c r="CH15" i="1"/>
  <c r="CG27" i="1"/>
  <c r="CF27" i="1" s="1"/>
  <c r="CG59" i="1"/>
  <c r="CF59" i="1" s="1"/>
  <c r="CG51" i="1"/>
  <c r="CF51" i="1" s="1"/>
  <c r="CG24" i="1"/>
  <c r="CF24" i="1" s="1"/>
  <c r="CW33" i="1"/>
  <c r="CW34" i="1" s="1"/>
  <c r="CW35" i="1" s="1"/>
  <c r="CW36" i="1" s="1"/>
  <c r="CW37" i="1" s="1"/>
  <c r="CW38" i="1" s="1"/>
  <c r="CW39" i="1" s="1"/>
  <c r="CE101" i="1"/>
  <c r="B5" i="12"/>
  <c r="I5" i="12" s="1"/>
  <c r="CH23" i="1"/>
  <c r="CD103" i="1"/>
  <c r="CC32" i="1"/>
  <c r="C5" i="12" s="1"/>
  <c r="CT20" i="1"/>
  <c r="CT21" i="1" s="1"/>
  <c r="CT22" i="1" s="1"/>
  <c r="CT23" i="1" s="1"/>
  <c r="CT24" i="1" s="1"/>
  <c r="CT25" i="1" s="1"/>
  <c r="CT26" i="1" s="1"/>
  <c r="CT27" i="1" s="1"/>
  <c r="CT28" i="1" s="1"/>
  <c r="CT29" i="1" s="1"/>
  <c r="CT30" i="1" s="1"/>
  <c r="CT31" i="1" s="1"/>
  <c r="CT32" i="1" s="1"/>
  <c r="CU20" i="1"/>
  <c r="CU21" i="1" s="1"/>
  <c r="CU22" i="1" s="1"/>
  <c r="CU23" i="1" s="1"/>
  <c r="CU24" i="1" s="1"/>
  <c r="CU25" i="1" s="1"/>
  <c r="CU26" i="1" s="1"/>
  <c r="CU27" i="1" s="1"/>
  <c r="CU28" i="1" s="1"/>
  <c r="CU29" i="1" s="1"/>
  <c r="CU30" i="1" s="1"/>
  <c r="CU31" i="1" s="1"/>
  <c r="CU32" i="1" s="1"/>
  <c r="CV20" i="1"/>
  <c r="CV21" i="1" s="1"/>
  <c r="CV22" i="1" s="1"/>
  <c r="CV23" i="1" s="1"/>
  <c r="CV24" i="1" s="1"/>
  <c r="CV25" i="1" s="1"/>
  <c r="CV26" i="1" s="1"/>
  <c r="CV27" i="1" s="1"/>
  <c r="CV28" i="1" s="1"/>
  <c r="CV29" i="1" s="1"/>
  <c r="CV30" i="1" s="1"/>
  <c r="CV31" i="1" s="1"/>
  <c r="CV32" i="1" s="1"/>
  <c r="CV33" i="1"/>
  <c r="CV34" i="1" s="1"/>
  <c r="CV35" i="1" s="1"/>
  <c r="CV36" i="1" s="1"/>
  <c r="CV37" i="1" s="1"/>
  <c r="CV38" i="1" s="1"/>
  <c r="CV39" i="1" s="1"/>
  <c r="CV40" i="1" s="1"/>
  <c r="CV41" i="1" s="1"/>
  <c r="CV42" i="1" s="1"/>
  <c r="CV43" i="1" s="1"/>
  <c r="CV44" i="1" s="1"/>
  <c r="CV45" i="1" s="1"/>
  <c r="CV46" i="1" s="1"/>
  <c r="CQ33" i="1"/>
  <c r="CQ34" i="1" s="1"/>
  <c r="CQ35" i="1" s="1"/>
  <c r="CQ36" i="1" s="1"/>
  <c r="CQ37" i="1" s="1"/>
  <c r="CQ38" i="1" s="1"/>
  <c r="CQ39" i="1" s="1"/>
  <c r="CQ40" i="1" s="1"/>
  <c r="CQ41" i="1" s="1"/>
  <c r="CQ42" i="1" s="1"/>
  <c r="CQ43" i="1" s="1"/>
  <c r="CQ44" i="1" s="1"/>
  <c r="CQ45" i="1" s="1"/>
  <c r="CQ46" i="1" s="1"/>
  <c r="CM49" i="1"/>
  <c r="CM50" i="1" s="1"/>
  <c r="CM51" i="1" s="1"/>
  <c r="CM52" i="1" s="1"/>
  <c r="CM53" i="1" s="1"/>
  <c r="CM54" i="1" s="1"/>
  <c r="CM55" i="1" s="1"/>
  <c r="CG48" i="1"/>
  <c r="CF48" i="1" s="1"/>
  <c r="CG15" i="1"/>
  <c r="CF15" i="1" s="1"/>
  <c r="CH31" i="1"/>
  <c r="CH67" i="1"/>
  <c r="CH75" i="1"/>
  <c r="CH81" i="1"/>
  <c r="CH89" i="1"/>
  <c r="CH37" i="1"/>
  <c r="CH43" i="1"/>
  <c r="B4" i="12"/>
  <c r="I4" i="12" s="1"/>
  <c r="CX20" i="1"/>
  <c r="CX21" i="1" s="1"/>
  <c r="CX22" i="1" s="1"/>
  <c r="CX23" i="1" s="1"/>
  <c r="CX24" i="1" s="1"/>
  <c r="CX25" i="1" s="1"/>
  <c r="CX26" i="1" s="1"/>
  <c r="CX27" i="1" s="1"/>
  <c r="CX28" i="1" s="1"/>
  <c r="CX29" i="1" s="1"/>
  <c r="CX30" i="1" s="1"/>
  <c r="CX31" i="1" s="1"/>
  <c r="CX32" i="1" s="1"/>
  <c r="CU84" i="1"/>
  <c r="CU85" i="1" s="1"/>
  <c r="CU86" i="1" s="1"/>
  <c r="CU87" i="1" s="1"/>
  <c r="CU88" i="1" s="1"/>
  <c r="CU89" i="1" s="1"/>
  <c r="CU90" i="1" s="1"/>
  <c r="CU91" i="1" s="1"/>
  <c r="CU92" i="1" s="1"/>
  <c r="CU93" i="1" s="1"/>
  <c r="CU94" i="1" s="1"/>
  <c r="CK8" i="1"/>
  <c r="CK9" i="1" s="1"/>
  <c r="CD101" i="1"/>
  <c r="CE102" i="1"/>
  <c r="CE106" i="1"/>
  <c r="CE103" i="1"/>
  <c r="I18" i="12"/>
  <c r="CU8" i="1"/>
  <c r="CU9" i="1" s="1"/>
  <c r="CU10" i="1" s="1"/>
  <c r="CU11" i="1" s="1"/>
  <c r="CU12" i="1" s="1"/>
  <c r="CU13" i="1" s="1"/>
  <c r="CU14" i="1" s="1"/>
  <c r="CU15" i="1" s="1"/>
  <c r="CU16" i="1" s="1"/>
  <c r="CU17" i="1" s="1"/>
  <c r="CU18" i="1" s="1"/>
  <c r="CU19" i="1" s="1"/>
  <c r="CP8" i="1"/>
  <c r="CP9" i="1" s="1"/>
  <c r="CP10" i="1" s="1"/>
  <c r="CP11" i="1" s="1"/>
  <c r="CP12" i="1" s="1"/>
  <c r="CO8" i="1"/>
  <c r="CO9" i="1" s="1"/>
  <c r="CO10" i="1" s="1"/>
  <c r="CO11" i="1" s="1"/>
  <c r="CO12" i="1" s="1"/>
  <c r="CO13" i="1" s="1"/>
  <c r="CO14" i="1" s="1"/>
  <c r="CO15" i="1" s="1"/>
  <c r="CO16" i="1" s="1"/>
  <c r="CO17" i="1" s="1"/>
  <c r="CO18" i="1" s="1"/>
  <c r="CO19" i="1" s="1"/>
  <c r="CL8" i="1"/>
  <c r="CL9" i="1" s="1"/>
  <c r="CL10" i="1" s="1"/>
  <c r="CL11" i="1" s="1"/>
  <c r="CL12" i="1" s="1"/>
  <c r="CL13" i="1" s="1"/>
  <c r="CL14" i="1" s="1"/>
  <c r="CL15" i="1" s="1"/>
  <c r="CL16" i="1" s="1"/>
  <c r="CL17" i="1" s="1"/>
  <c r="CL18" i="1" s="1"/>
  <c r="CL19" i="1" s="1"/>
  <c r="CV8" i="1"/>
  <c r="CV9" i="1" s="1"/>
  <c r="CV10" i="1" s="1"/>
  <c r="CV11" i="1" s="1"/>
  <c r="CV12" i="1" s="1"/>
  <c r="CV13" i="1" s="1"/>
  <c r="CV14" i="1" s="1"/>
  <c r="CV15" i="1" s="1"/>
  <c r="CV16" i="1" s="1"/>
  <c r="CV17" i="1" s="1"/>
  <c r="CV18" i="1" s="1"/>
  <c r="CV19" i="1" s="1"/>
  <c r="CL84" i="1"/>
  <c r="CL85" i="1" s="1"/>
  <c r="CL86" i="1" s="1"/>
  <c r="CL87" i="1" s="1"/>
  <c r="CL88" i="1" s="1"/>
  <c r="CL89" i="1" s="1"/>
  <c r="CL90" i="1" s="1"/>
  <c r="CL91" i="1" s="1"/>
  <c r="CL92" i="1" s="1"/>
  <c r="CL93" i="1" s="1"/>
  <c r="CL94" i="1" s="1"/>
  <c r="CU100" i="1"/>
  <c r="CU101" i="1" s="1"/>
  <c r="CU102" i="1" s="1"/>
  <c r="CU103" i="1" s="1"/>
  <c r="CU104" i="1" s="1"/>
  <c r="CU105" i="1" s="1"/>
  <c r="CU106" i="1" s="1"/>
  <c r="CU107" i="1" s="1"/>
  <c r="CL100" i="1"/>
  <c r="CL101" i="1" s="1"/>
  <c r="CL102" i="1" s="1"/>
  <c r="CL103" i="1" s="1"/>
  <c r="CL104" i="1" s="1"/>
  <c r="CL105" i="1" s="1"/>
  <c r="CL106" i="1" s="1"/>
  <c r="CL107" i="1" s="1"/>
  <c r="CT8" i="1"/>
  <c r="CT9" i="1" s="1"/>
  <c r="CT10" i="1" s="1"/>
  <c r="CT11" i="1" s="1"/>
  <c r="CT12" i="1" s="1"/>
  <c r="CT13" i="1" s="1"/>
  <c r="CT14" i="1" s="1"/>
  <c r="CT15" i="1" s="1"/>
  <c r="CT16" i="1" s="1"/>
  <c r="CT17" i="1" s="1"/>
  <c r="CT18" i="1" s="1"/>
  <c r="CT19" i="1" s="1"/>
  <c r="CN8" i="1"/>
  <c r="CN9" i="1" s="1"/>
  <c r="CN10" i="1" s="1"/>
  <c r="CN11" i="1" s="1"/>
  <c r="CN12" i="1" s="1"/>
  <c r="CN13" i="1" s="1"/>
  <c r="CN14" i="1" s="1"/>
  <c r="CN15" i="1" s="1"/>
  <c r="CN16" i="1" s="1"/>
  <c r="CN17" i="1" s="1"/>
  <c r="CN18" i="1" s="1"/>
  <c r="CN19" i="1" s="1"/>
  <c r="CR8" i="1"/>
  <c r="CR9" i="1" s="1"/>
  <c r="CR10" i="1" s="1"/>
  <c r="CR11" i="1" s="1"/>
  <c r="CR12" i="1" s="1"/>
  <c r="CR13" i="1" s="1"/>
  <c r="CR14" i="1" s="1"/>
  <c r="CR15" i="1" s="1"/>
  <c r="CR16" i="1" s="1"/>
  <c r="CR17" i="1" s="1"/>
  <c r="CR18" i="1" s="1"/>
  <c r="CR19" i="1" s="1"/>
  <c r="CM8" i="1"/>
  <c r="CM9" i="1" s="1"/>
  <c r="CM10" i="1" s="1"/>
  <c r="CM11" i="1" s="1"/>
  <c r="CM12" i="1" s="1"/>
  <c r="CM13" i="1" s="1"/>
  <c r="CM14" i="1" s="1"/>
  <c r="CM15" i="1" s="1"/>
  <c r="CM16" i="1" s="1"/>
  <c r="CM17" i="1" s="1"/>
  <c r="CM18" i="1" s="1"/>
  <c r="CM19" i="1" s="1"/>
  <c r="CO84" i="1"/>
  <c r="CO85" i="1" s="1"/>
  <c r="CO86" i="1" s="1"/>
  <c r="CO87" i="1" s="1"/>
  <c r="CO88" i="1" s="1"/>
  <c r="CO89" i="1" s="1"/>
  <c r="CO90" i="1" s="1"/>
  <c r="CO91" i="1" s="1"/>
  <c r="CO92" i="1" s="1"/>
  <c r="CO93" i="1" s="1"/>
  <c r="CO94" i="1" s="1"/>
  <c r="CN84" i="1"/>
  <c r="CN85" i="1" s="1"/>
  <c r="CN86" i="1" s="1"/>
  <c r="CN87" i="1" s="1"/>
  <c r="CN88" i="1" s="1"/>
  <c r="CN89" i="1" s="1"/>
  <c r="CN90" i="1" s="1"/>
  <c r="CN91" i="1" s="1"/>
  <c r="CN92" i="1" s="1"/>
  <c r="CN93" i="1" s="1"/>
  <c r="CN94" i="1" s="1"/>
  <c r="CG95" i="1"/>
  <c r="CF95" i="1" s="1"/>
  <c r="CQ8" i="1"/>
  <c r="CQ9" i="1" s="1"/>
  <c r="CQ10" i="1" s="1"/>
  <c r="CQ11" i="1" s="1"/>
  <c r="CQ12" i="1" s="1"/>
  <c r="CQ13" i="1" s="1"/>
  <c r="CQ14" i="1" s="1"/>
  <c r="CQ15" i="1" s="1"/>
  <c r="CQ16" i="1" s="1"/>
  <c r="CQ17" i="1" s="1"/>
  <c r="CQ18" i="1" s="1"/>
  <c r="CQ19" i="1" s="1"/>
  <c r="CS8" i="1"/>
  <c r="CS9" i="1" s="1"/>
  <c r="CS10" i="1" s="1"/>
  <c r="CS11" i="1" s="1"/>
  <c r="CS12" i="1" s="1"/>
  <c r="CS13" i="1" s="1"/>
  <c r="CS14" i="1" s="1"/>
  <c r="CS15" i="1" s="1"/>
  <c r="CS16" i="1" s="1"/>
  <c r="CS17" i="1" s="1"/>
  <c r="CS18" i="1" s="1"/>
  <c r="CS19" i="1" s="1"/>
  <c r="CG7" i="1"/>
  <c r="CE7" i="1" s="1"/>
  <c r="CV96" i="1"/>
  <c r="CV97" i="1" s="1"/>
  <c r="CV98" i="1" s="1"/>
  <c r="CV99" i="1" s="1"/>
  <c r="CG65" i="1"/>
  <c r="CF65" i="1" s="1"/>
  <c r="CK100" i="1"/>
  <c r="CK101" i="1" s="1"/>
  <c r="CK102" i="1" s="1"/>
  <c r="CK103" i="1" s="1"/>
  <c r="CH49" i="1"/>
  <c r="CG87" i="1"/>
  <c r="CF87" i="1" s="1"/>
  <c r="B8" i="12"/>
  <c r="I8" i="12" s="1"/>
  <c r="CS84" i="1"/>
  <c r="CS85" i="1" s="1"/>
  <c r="CS86" i="1" s="1"/>
  <c r="CS87" i="1" s="1"/>
  <c r="CS88" i="1" s="1"/>
  <c r="CS89" i="1" s="1"/>
  <c r="CS90" i="1" s="1"/>
  <c r="CS91" i="1" s="1"/>
  <c r="CS92" i="1" s="1"/>
  <c r="CS93" i="1" s="1"/>
  <c r="CS94" i="1" s="1"/>
  <c r="CT84" i="1"/>
  <c r="CT85" i="1" s="1"/>
  <c r="CT86" i="1" s="1"/>
  <c r="CT87" i="1" s="1"/>
  <c r="CT88" i="1" s="1"/>
  <c r="CT89" i="1" s="1"/>
  <c r="CT90" i="1" s="1"/>
  <c r="CT91" i="1" s="1"/>
  <c r="CT92" i="1" s="1"/>
  <c r="CT93" i="1" s="1"/>
  <c r="CT94" i="1" s="1"/>
  <c r="CR84" i="1"/>
  <c r="CR85" i="1" s="1"/>
  <c r="CR86" i="1" s="1"/>
  <c r="CR87" i="1" s="1"/>
  <c r="CR88" i="1" s="1"/>
  <c r="CR89" i="1" s="1"/>
  <c r="CR90" i="1" s="1"/>
  <c r="CR91" i="1" s="1"/>
  <c r="CR92" i="1" s="1"/>
  <c r="CR93" i="1" s="1"/>
  <c r="CR94" i="1" s="1"/>
  <c r="CP84" i="1"/>
  <c r="CP85" i="1" s="1"/>
  <c r="CP86" i="1" s="1"/>
  <c r="CP87" i="1" s="1"/>
  <c r="CP88" i="1" s="1"/>
  <c r="CP89" i="1" s="1"/>
  <c r="CP90" i="1" s="1"/>
  <c r="CP91" i="1" s="1"/>
  <c r="CP92" i="1" s="1"/>
  <c r="CP93" i="1" s="1"/>
  <c r="CP94" i="1" s="1"/>
  <c r="CQ95" i="1"/>
  <c r="CQ96" i="1" s="1"/>
  <c r="CQ97" i="1" s="1"/>
  <c r="CQ98" i="1" s="1"/>
  <c r="CQ99" i="1" s="1"/>
  <c r="CM95" i="1"/>
  <c r="CM96" i="1" s="1"/>
  <c r="CM97" i="1" s="1"/>
  <c r="CM98" i="1" s="1"/>
  <c r="CM99" i="1" s="1"/>
  <c r="CG42" i="1"/>
  <c r="CF42" i="1" s="1"/>
  <c r="CG84" i="1"/>
  <c r="CF84" i="1" s="1"/>
  <c r="CH56" i="1"/>
  <c r="CH60" i="1"/>
  <c r="CH62" i="1"/>
  <c r="CG64" i="1"/>
  <c r="CF64" i="1" s="1"/>
  <c r="CH68" i="1"/>
  <c r="CH70" i="1"/>
  <c r="CG72" i="1"/>
  <c r="CF72" i="1" s="1"/>
  <c r="CH76" i="1"/>
  <c r="CH78" i="1"/>
  <c r="CG80" i="1"/>
  <c r="CF80" i="1" s="1"/>
  <c r="CH88" i="1"/>
  <c r="CH92" i="1"/>
  <c r="CH96" i="1"/>
  <c r="CH34" i="1"/>
  <c r="CH61" i="1"/>
  <c r="CV84" i="1"/>
  <c r="CV85" i="1" s="1"/>
  <c r="CV86" i="1" s="1"/>
  <c r="CV87" i="1" s="1"/>
  <c r="CV88" i="1" s="1"/>
  <c r="CV89" i="1" s="1"/>
  <c r="CV90" i="1" s="1"/>
  <c r="CV91" i="1" s="1"/>
  <c r="CV92" i="1" s="1"/>
  <c r="CV93" i="1" s="1"/>
  <c r="CV94" i="1" s="1"/>
  <c r="CH93" i="1"/>
  <c r="CO100" i="1"/>
  <c r="CO101" i="1" s="1"/>
  <c r="CO102" i="1" s="1"/>
  <c r="CO103" i="1" s="1"/>
  <c r="CO104" i="1" s="1"/>
  <c r="CO105" i="1" s="1"/>
  <c r="CO106" i="1" s="1"/>
  <c r="CO107" i="1" s="1"/>
  <c r="CR100" i="1"/>
  <c r="CR101" i="1" s="1"/>
  <c r="CR102" i="1" s="1"/>
  <c r="CR103" i="1" s="1"/>
  <c r="CR104" i="1" s="1"/>
  <c r="CR105" i="1" s="1"/>
  <c r="CR106" i="1" s="1"/>
  <c r="CR107" i="1" s="1"/>
  <c r="CH41" i="1"/>
  <c r="CS57" i="1"/>
  <c r="CS58" i="1" s="1"/>
  <c r="CS59" i="1" s="1"/>
  <c r="CS60" i="1" s="1"/>
  <c r="CS61" i="1" s="1"/>
  <c r="CS62" i="1" s="1"/>
  <c r="CS63" i="1" s="1"/>
  <c r="CS64" i="1" s="1"/>
  <c r="CS65" i="1" s="1"/>
  <c r="CS66" i="1" s="1"/>
  <c r="CS67" i="1" s="1"/>
  <c r="CS68" i="1" s="1"/>
  <c r="CS69" i="1" s="1"/>
  <c r="CS70" i="1" s="1"/>
  <c r="CS71" i="1" s="1"/>
  <c r="CS72" i="1" s="1"/>
  <c r="CS73" i="1" s="1"/>
  <c r="CS74" i="1" s="1"/>
  <c r="CS75" i="1" s="1"/>
  <c r="CS76" i="1" s="1"/>
  <c r="CS77" i="1" s="1"/>
  <c r="CS78" i="1" s="1"/>
  <c r="CS79" i="1" s="1"/>
  <c r="CS80" i="1" s="1"/>
  <c r="CS81" i="1" s="1"/>
  <c r="CS82" i="1" s="1"/>
  <c r="CS83" i="1" s="1"/>
  <c r="CO57" i="1"/>
  <c r="CO58" i="1" s="1"/>
  <c r="CO59" i="1" s="1"/>
  <c r="CO60" i="1" s="1"/>
  <c r="CO61" i="1" s="1"/>
  <c r="CO62" i="1" s="1"/>
  <c r="CO63" i="1" s="1"/>
  <c r="CO64" i="1" s="1"/>
  <c r="CO65" i="1" s="1"/>
  <c r="CO66" i="1" s="1"/>
  <c r="CO67" i="1" s="1"/>
  <c r="CO68" i="1" s="1"/>
  <c r="CO69" i="1" s="1"/>
  <c r="CO70" i="1" s="1"/>
  <c r="CO71" i="1" s="1"/>
  <c r="CO72" i="1" s="1"/>
  <c r="CO73" i="1" s="1"/>
  <c r="CO74" i="1" s="1"/>
  <c r="CO75" i="1" s="1"/>
  <c r="CO76" i="1" s="1"/>
  <c r="CO77" i="1" s="1"/>
  <c r="CO78" i="1" s="1"/>
  <c r="CO79" i="1" s="1"/>
  <c r="CO80" i="1" s="1"/>
  <c r="CO81" i="1" s="1"/>
  <c r="CO82" i="1" s="1"/>
  <c r="CO83" i="1" s="1"/>
  <c r="CK57" i="1"/>
  <c r="CK58" i="1" s="1"/>
  <c r="CK59" i="1" s="1"/>
  <c r="CK60" i="1" s="1"/>
  <c r="CK61" i="1" s="1"/>
  <c r="CK62" i="1" s="1"/>
  <c r="CG18" i="1"/>
  <c r="CF18" i="1" s="1"/>
  <c r="CH84" i="1"/>
  <c r="CH42" i="1"/>
  <c r="CD105" i="1"/>
  <c r="J15" i="12"/>
  <c r="J16" i="12"/>
  <c r="J14" i="12"/>
  <c r="J12" i="12"/>
  <c r="J13" i="12"/>
  <c r="I17" i="12"/>
  <c r="CW9" i="1"/>
  <c r="CW10" i="1" s="1"/>
  <c r="CW11" i="1" s="1"/>
  <c r="CW12" i="1" s="1"/>
  <c r="CW13" i="1" s="1"/>
  <c r="CU34" i="1"/>
  <c r="CU35" i="1" s="1"/>
  <c r="CU36" i="1" s="1"/>
  <c r="CU37" i="1" s="1"/>
  <c r="CU38" i="1" s="1"/>
  <c r="CU39" i="1" s="1"/>
  <c r="CU40" i="1" s="1"/>
  <c r="CU41" i="1" s="1"/>
  <c r="CU42" i="1" s="1"/>
  <c r="CU43" i="1" s="1"/>
  <c r="CU44" i="1" s="1"/>
  <c r="CU45" i="1" s="1"/>
  <c r="CU46" i="1" s="1"/>
  <c r="CO34" i="1"/>
  <c r="CO35" i="1" s="1"/>
  <c r="CO36" i="1" s="1"/>
  <c r="CO37" i="1" s="1"/>
  <c r="CO38" i="1" s="1"/>
  <c r="CO39" i="1" s="1"/>
  <c r="CO40" i="1" s="1"/>
  <c r="CO41" i="1" s="1"/>
  <c r="CO42" i="1" s="1"/>
  <c r="CO43" i="1" s="1"/>
  <c r="CO44" i="1" s="1"/>
  <c r="CO45" i="1" s="1"/>
  <c r="CO46" i="1" s="1"/>
  <c r="CT47" i="1"/>
  <c r="CT48" i="1" s="1"/>
  <c r="CT49" i="1" s="1"/>
  <c r="CT50" i="1" s="1"/>
  <c r="CT51" i="1" s="1"/>
  <c r="CT52" i="1" s="1"/>
  <c r="CT53" i="1" s="1"/>
  <c r="CT54" i="1" s="1"/>
  <c r="CT55" i="1" s="1"/>
  <c r="CO47" i="1"/>
  <c r="CO48" i="1" s="1"/>
  <c r="CO49" i="1" s="1"/>
  <c r="CO50" i="1" s="1"/>
  <c r="CO51" i="1" s="1"/>
  <c r="CO52" i="1" s="1"/>
  <c r="CO53" i="1" s="1"/>
  <c r="CO54" i="1" s="1"/>
  <c r="CO55" i="1" s="1"/>
  <c r="CP47" i="1"/>
  <c r="CP48" i="1" s="1"/>
  <c r="CP49" i="1" s="1"/>
  <c r="CP50" i="1" s="1"/>
  <c r="CP51" i="1" s="1"/>
  <c r="CP52" i="1" s="1"/>
  <c r="CP53" i="1" s="1"/>
  <c r="CP54" i="1" s="1"/>
  <c r="CP55" i="1" s="1"/>
  <c r="CW47" i="1"/>
  <c r="CW48" i="1" s="1"/>
  <c r="CW49" i="1" s="1"/>
  <c r="CW50" i="1" s="1"/>
  <c r="CW51" i="1" s="1"/>
  <c r="CW52" i="1" s="1"/>
  <c r="CW53" i="1" s="1"/>
  <c r="CG50" i="1"/>
  <c r="CF50" i="1" s="1"/>
  <c r="CG54" i="1"/>
  <c r="CF54" i="1" s="1"/>
  <c r="CH25" i="1"/>
  <c r="CP34" i="1"/>
  <c r="CP35" i="1" s="1"/>
  <c r="CP36" i="1" s="1"/>
  <c r="CP37" i="1" s="1"/>
  <c r="CP38" i="1" s="1"/>
  <c r="CP39" i="1" s="1"/>
  <c r="CP40" i="1" s="1"/>
  <c r="CP41" i="1" s="1"/>
  <c r="CP42" i="1" s="1"/>
  <c r="CP43" i="1" s="1"/>
  <c r="CP44" i="1" s="1"/>
  <c r="CP45" i="1" s="1"/>
  <c r="CP46" i="1" s="1"/>
  <c r="CK47" i="1"/>
  <c r="CK48" i="1" s="1"/>
  <c r="CK49" i="1" s="1"/>
  <c r="CS47" i="1"/>
  <c r="CS48" i="1" s="1"/>
  <c r="CS49" i="1" s="1"/>
  <c r="CS50" i="1" s="1"/>
  <c r="CS51" i="1" s="1"/>
  <c r="CS52" i="1" s="1"/>
  <c r="CS53" i="1" s="1"/>
  <c r="CS54" i="1" s="1"/>
  <c r="CS55" i="1" s="1"/>
  <c r="CV47" i="1"/>
  <c r="CV48" i="1" s="1"/>
  <c r="CV49" i="1" s="1"/>
  <c r="CV50" i="1" s="1"/>
  <c r="CV51" i="1" s="1"/>
  <c r="CV52" i="1" s="1"/>
  <c r="CV53" i="1" s="1"/>
  <c r="CV54" i="1" s="1"/>
  <c r="CV55" i="1" s="1"/>
  <c r="CH9" i="1"/>
  <c r="CH13" i="1"/>
  <c r="CW22" i="1"/>
  <c r="CW23" i="1" s="1"/>
  <c r="CW24" i="1" s="1"/>
  <c r="CW25" i="1" s="1"/>
  <c r="CW26" i="1" s="1"/>
  <c r="CW27" i="1" s="1"/>
  <c r="CH63" i="1"/>
  <c r="CG79" i="1"/>
  <c r="CF79" i="1" s="1"/>
  <c r="CG25" i="1"/>
  <c r="CF25" i="1" s="1"/>
  <c r="CD100" i="1"/>
  <c r="B6" i="12"/>
  <c r="I6" i="12" s="1"/>
  <c r="CG21" i="1"/>
  <c r="CF21" i="1" s="1"/>
  <c r="CL47" i="1"/>
  <c r="CL48" i="1" s="1"/>
  <c r="CL49" i="1" s="1"/>
  <c r="CL50" i="1" s="1"/>
  <c r="CL51" i="1" s="1"/>
  <c r="CL52" i="1" s="1"/>
  <c r="CL53" i="1" s="1"/>
  <c r="CL54" i="1" s="1"/>
  <c r="CL55" i="1" s="1"/>
  <c r="CU47" i="1"/>
  <c r="CU48" i="1" s="1"/>
  <c r="CU49" i="1" s="1"/>
  <c r="CU50" i="1" s="1"/>
  <c r="CU51" i="1" s="1"/>
  <c r="CU52" i="1" s="1"/>
  <c r="CU53" i="1" s="1"/>
  <c r="CU54" i="1" s="1"/>
  <c r="CU55" i="1" s="1"/>
  <c r="CQ47" i="1"/>
  <c r="CQ48" i="1" s="1"/>
  <c r="CQ49" i="1" s="1"/>
  <c r="CQ50" i="1" s="1"/>
  <c r="CQ51" i="1" s="1"/>
  <c r="CQ52" i="1" s="1"/>
  <c r="CQ53" i="1" s="1"/>
  <c r="CQ54" i="1" s="1"/>
  <c r="CQ55" i="1" s="1"/>
  <c r="CG9" i="1"/>
  <c r="CD9" i="1" s="1"/>
  <c r="CG13" i="1"/>
  <c r="CE13" i="1" s="1"/>
  <c r="CG63" i="1"/>
  <c r="CF63" i="1" s="1"/>
  <c r="CG69" i="1"/>
  <c r="CF69" i="1" s="1"/>
  <c r="CG91" i="1"/>
  <c r="CF91" i="1" s="1"/>
  <c r="CH17" i="1"/>
  <c r="CH29" i="1"/>
  <c r="CE100" i="1"/>
  <c r="CH95" i="1"/>
  <c r="CX47" i="1"/>
  <c r="CX48" i="1" s="1"/>
  <c r="CX49" i="1" s="1"/>
  <c r="CX50" i="1" s="1"/>
  <c r="CX51" i="1" s="1"/>
  <c r="CX52" i="1" s="1"/>
  <c r="CX53" i="1" s="1"/>
  <c r="CX54" i="1" s="1"/>
  <c r="CX55" i="1" s="1"/>
  <c r="CY88" i="1"/>
  <c r="CY89" i="1" s="1"/>
  <c r="CY90" i="1" s="1"/>
  <c r="CY91" i="1" s="1"/>
  <c r="CY92" i="1" s="1"/>
  <c r="CY93" i="1" s="1"/>
  <c r="CY94" i="1" s="1"/>
  <c r="I15" i="12"/>
  <c r="I16" i="12"/>
  <c r="CG57" i="1"/>
  <c r="CF57" i="1" s="1"/>
  <c r="CG61" i="1"/>
  <c r="CF61" i="1" s="1"/>
  <c r="CH69" i="1"/>
  <c r="CG73" i="1"/>
  <c r="CF73" i="1" s="1"/>
  <c r="CW84" i="1"/>
  <c r="CW85" i="1" s="1"/>
  <c r="CW86" i="1" s="1"/>
  <c r="CW87" i="1" s="1"/>
  <c r="CW88" i="1" s="1"/>
  <c r="CW89" i="1" s="1"/>
  <c r="CW90" i="1" s="1"/>
  <c r="CW91" i="1" s="1"/>
  <c r="CW92" i="1" s="1"/>
  <c r="CW93" i="1" s="1"/>
  <c r="CW94" i="1" s="1"/>
  <c r="CH87" i="1"/>
  <c r="CG93" i="1"/>
  <c r="CF93" i="1" s="1"/>
  <c r="CS100" i="1"/>
  <c r="CS101" i="1" s="1"/>
  <c r="CS102" i="1" s="1"/>
  <c r="CS103" i="1" s="1"/>
  <c r="CS104" i="1" s="1"/>
  <c r="CS105" i="1" s="1"/>
  <c r="CS106" i="1" s="1"/>
  <c r="CS107" i="1" s="1"/>
  <c r="CM100" i="1"/>
  <c r="CM101" i="1" s="1"/>
  <c r="CM102" i="1" s="1"/>
  <c r="CM103" i="1" s="1"/>
  <c r="CM104" i="1" s="1"/>
  <c r="CM105" i="1" s="1"/>
  <c r="CM106" i="1" s="1"/>
  <c r="CM107" i="1" s="1"/>
  <c r="CT100" i="1"/>
  <c r="CT101" i="1" s="1"/>
  <c r="CT102" i="1" s="1"/>
  <c r="CT103" i="1" s="1"/>
  <c r="CT104" i="1" s="1"/>
  <c r="CT105" i="1" s="1"/>
  <c r="CT106" i="1" s="1"/>
  <c r="CT107" i="1" s="1"/>
  <c r="CP100" i="1"/>
  <c r="CP101" i="1" s="1"/>
  <c r="CP102" i="1" s="1"/>
  <c r="CP103" i="1" s="1"/>
  <c r="CP104" i="1" s="1"/>
  <c r="CP105" i="1" s="1"/>
  <c r="CP106" i="1" s="1"/>
  <c r="CP107" i="1" s="1"/>
  <c r="CW100" i="1"/>
  <c r="CW101" i="1" s="1"/>
  <c r="CW102" i="1" s="1"/>
  <c r="CW103" i="1" s="1"/>
  <c r="CW104" i="1" s="1"/>
  <c r="CW105" i="1" s="1"/>
  <c r="CW106" i="1" s="1"/>
  <c r="CW107" i="1" s="1"/>
  <c r="CH45" i="1"/>
  <c r="CG49" i="1"/>
  <c r="CF49" i="1" s="1"/>
  <c r="CG8" i="1"/>
  <c r="CE8" i="1" s="1"/>
  <c r="CH18" i="1"/>
  <c r="CH26" i="1"/>
  <c r="CC83" i="1"/>
  <c r="I12" i="12"/>
  <c r="I14" i="12"/>
  <c r="CX84" i="1"/>
  <c r="CX85" i="1" s="1"/>
  <c r="CX86" i="1" s="1"/>
  <c r="CX87" i="1" s="1"/>
  <c r="CX88" i="1" s="1"/>
  <c r="CX89" i="1" s="1"/>
  <c r="CX90" i="1" s="1"/>
  <c r="CX91" i="1" s="1"/>
  <c r="CX92" i="1" s="1"/>
  <c r="CX93" i="1" s="1"/>
  <c r="CX94" i="1" s="1"/>
  <c r="I11" i="12"/>
  <c r="I13" i="12"/>
  <c r="C4" i="12"/>
  <c r="CD104" i="1"/>
  <c r="CH127" i="1"/>
  <c r="H12" i="12" s="1"/>
  <c r="CS95" i="1"/>
  <c r="CS96" i="1" s="1"/>
  <c r="CS97" i="1" s="1"/>
  <c r="CS98" i="1" s="1"/>
  <c r="CS99" i="1" s="1"/>
  <c r="CK95" i="1"/>
  <c r="CK96" i="1" s="1"/>
  <c r="CL95" i="1"/>
  <c r="CL96" i="1" s="1"/>
  <c r="CL97" i="1" s="1"/>
  <c r="CL98" i="1" s="1"/>
  <c r="CL99" i="1" s="1"/>
  <c r="CG36" i="1"/>
  <c r="CF36" i="1" s="1"/>
  <c r="CG86" i="1"/>
  <c r="CF86" i="1" s="1"/>
  <c r="CG90" i="1"/>
  <c r="CF90" i="1" s="1"/>
  <c r="CH57" i="1"/>
  <c r="CH65" i="1"/>
  <c r="CH73" i="1"/>
  <c r="CG53" i="1"/>
  <c r="CF53" i="1" s="1"/>
  <c r="CG30" i="1"/>
  <c r="CF30" i="1" s="1"/>
  <c r="CH36" i="1"/>
  <c r="CH44" i="1"/>
  <c r="CH22" i="1"/>
  <c r="CX100" i="1"/>
  <c r="CX101" i="1" s="1"/>
  <c r="CX102" i="1" s="1"/>
  <c r="CX103" i="1" s="1"/>
  <c r="CX104" i="1" s="1"/>
  <c r="CX105" i="1" s="1"/>
  <c r="CX106" i="1" s="1"/>
  <c r="CX107" i="1" s="1"/>
  <c r="CP13" i="1"/>
  <c r="CP14" i="1" s="1"/>
  <c r="CP15" i="1" s="1"/>
  <c r="CP16" i="1" s="1"/>
  <c r="CP17" i="1" s="1"/>
  <c r="CP18" i="1" s="1"/>
  <c r="CP19" i="1" s="1"/>
  <c r="CN95" i="1"/>
  <c r="CN96" i="1" s="1"/>
  <c r="CN97" i="1" s="1"/>
  <c r="CN98" i="1" s="1"/>
  <c r="CN99" i="1" s="1"/>
  <c r="CO95" i="1"/>
  <c r="CO96" i="1" s="1"/>
  <c r="CO97" i="1" s="1"/>
  <c r="CO98" i="1" s="1"/>
  <c r="CO99" i="1" s="1"/>
  <c r="CP95" i="1"/>
  <c r="CP96" i="1" s="1"/>
  <c r="CP97" i="1" s="1"/>
  <c r="CP98" i="1" s="1"/>
  <c r="CP99" i="1" s="1"/>
  <c r="CG44" i="1"/>
  <c r="CF44" i="1" s="1"/>
  <c r="CG58" i="1"/>
  <c r="CF58" i="1" s="1"/>
  <c r="CG62" i="1"/>
  <c r="CF62" i="1" s="1"/>
  <c r="CG66" i="1"/>
  <c r="CF66" i="1" s="1"/>
  <c r="CG70" i="1"/>
  <c r="CF70" i="1" s="1"/>
  <c r="CG74" i="1"/>
  <c r="CF74" i="1" s="1"/>
  <c r="CG78" i="1"/>
  <c r="CF78" i="1" s="1"/>
  <c r="CG82" i="1"/>
  <c r="CF82" i="1" s="1"/>
  <c r="CH98" i="1"/>
  <c r="CH79" i="1"/>
  <c r="CH91" i="1"/>
  <c r="CQ100" i="1"/>
  <c r="CQ101" i="1" s="1"/>
  <c r="CQ102" i="1" s="1"/>
  <c r="CQ103" i="1" s="1"/>
  <c r="CQ104" i="1" s="1"/>
  <c r="CQ105" i="1" s="1"/>
  <c r="CQ106" i="1" s="1"/>
  <c r="CQ107" i="1" s="1"/>
  <c r="CV100" i="1"/>
  <c r="CV101" i="1" s="1"/>
  <c r="CV102" i="1" s="1"/>
  <c r="CV103" i="1" s="1"/>
  <c r="CV104" i="1" s="1"/>
  <c r="CV105" i="1" s="1"/>
  <c r="CV106" i="1" s="1"/>
  <c r="CV107" i="1" s="1"/>
  <c r="CN100" i="1"/>
  <c r="CN101" i="1" s="1"/>
  <c r="CN102" i="1" s="1"/>
  <c r="CN103" i="1" s="1"/>
  <c r="CN104" i="1" s="1"/>
  <c r="CN105" i="1" s="1"/>
  <c r="CN106" i="1" s="1"/>
  <c r="CN107" i="1" s="1"/>
  <c r="CG41" i="1"/>
  <c r="CF41" i="1" s="1"/>
  <c r="CG45" i="1"/>
  <c r="CF45" i="1" s="1"/>
  <c r="CH8" i="1"/>
  <c r="CH12" i="1"/>
  <c r="CH40" i="1"/>
  <c r="CX95" i="1"/>
  <c r="CX96" i="1" s="1"/>
  <c r="CX97" i="1" s="1"/>
  <c r="CX98" i="1" s="1"/>
  <c r="CX99" i="1" s="1"/>
  <c r="CG22" i="1"/>
  <c r="CF22" i="1" s="1"/>
  <c r="CU95" i="1"/>
  <c r="CU96" i="1" s="1"/>
  <c r="CU97" i="1" s="1"/>
  <c r="CU98" i="1" s="1"/>
  <c r="CU99" i="1" s="1"/>
  <c r="CR95" i="1"/>
  <c r="CR96" i="1" s="1"/>
  <c r="CR97" i="1" s="1"/>
  <c r="CR98" i="1" s="1"/>
  <c r="CR99" i="1" s="1"/>
  <c r="CT95" i="1"/>
  <c r="CT96" i="1" s="1"/>
  <c r="CT97" i="1" s="1"/>
  <c r="CT98" i="1" s="1"/>
  <c r="CT99" i="1" s="1"/>
  <c r="CP58" i="1"/>
  <c r="CP59" i="1" s="1"/>
  <c r="CP60" i="1" s="1"/>
  <c r="CP61" i="1" s="1"/>
  <c r="CP62" i="1" s="1"/>
  <c r="CP63" i="1" s="1"/>
  <c r="CP64" i="1" s="1"/>
  <c r="CP65" i="1" s="1"/>
  <c r="CP66" i="1" s="1"/>
  <c r="CP67" i="1" s="1"/>
  <c r="CP68" i="1" s="1"/>
  <c r="CP69" i="1" s="1"/>
  <c r="CP70" i="1" s="1"/>
  <c r="CP71" i="1" s="1"/>
  <c r="CP72" i="1" s="1"/>
  <c r="CP73" i="1" s="1"/>
  <c r="CP74" i="1" s="1"/>
  <c r="CP75" i="1" s="1"/>
  <c r="CP76" i="1" s="1"/>
  <c r="CP77" i="1" s="1"/>
  <c r="CP78" i="1" s="1"/>
  <c r="CP79" i="1" s="1"/>
  <c r="CP80" i="1" s="1"/>
  <c r="CP81" i="1" s="1"/>
  <c r="CP82" i="1" s="1"/>
  <c r="CP83" i="1" s="1"/>
  <c r="CH86" i="1"/>
  <c r="CH90" i="1"/>
  <c r="CW95" i="1"/>
  <c r="CW96" i="1" s="1"/>
  <c r="CW97" i="1" s="1"/>
  <c r="CW98" i="1" s="1"/>
  <c r="CW99" i="1" s="1"/>
  <c r="CG98" i="1"/>
  <c r="CF98" i="1" s="1"/>
  <c r="CH53" i="1"/>
  <c r="CG12" i="1"/>
  <c r="CF12" i="1" s="1"/>
  <c r="CH30" i="1"/>
  <c r="CC94" i="1"/>
  <c r="C9" i="12" s="1"/>
  <c r="CG127" i="1"/>
  <c r="G12" i="12" s="1"/>
  <c r="CY8" i="1"/>
  <c r="CY9" i="1" s="1"/>
  <c r="CY10" i="1" s="1"/>
  <c r="CY11" i="1" s="1"/>
  <c r="CY12" i="1" s="1"/>
  <c r="CY13" i="1" s="1"/>
  <c r="CY14" i="1" s="1"/>
  <c r="CY15" i="1" s="1"/>
  <c r="CY16" i="1" s="1"/>
  <c r="CY17" i="1" s="1"/>
  <c r="CY18" i="1" s="1"/>
  <c r="CY19" i="1" s="1"/>
  <c r="CY96" i="1"/>
  <c r="CY97" i="1" s="1"/>
  <c r="CY98" i="1" s="1"/>
  <c r="CY99" i="1" s="1"/>
  <c r="CH7" i="1"/>
  <c r="CU58" i="1"/>
  <c r="CU59" i="1" s="1"/>
  <c r="CU60" i="1" s="1"/>
  <c r="CU61" i="1" s="1"/>
  <c r="CU62" i="1" s="1"/>
  <c r="CU63" i="1" s="1"/>
  <c r="CU64" i="1" s="1"/>
  <c r="CU65" i="1" s="1"/>
  <c r="CU66" i="1" s="1"/>
  <c r="CU67" i="1" s="1"/>
  <c r="CU68" i="1" s="1"/>
  <c r="CU69" i="1" s="1"/>
  <c r="CU70" i="1" s="1"/>
  <c r="CU71" i="1" s="1"/>
  <c r="CU72" i="1" s="1"/>
  <c r="CU73" i="1" s="1"/>
  <c r="CU74" i="1" s="1"/>
  <c r="CU75" i="1" s="1"/>
  <c r="CU76" i="1" s="1"/>
  <c r="CU77" i="1" s="1"/>
  <c r="CU78" i="1" s="1"/>
  <c r="CU79" i="1" s="1"/>
  <c r="CU80" i="1" s="1"/>
  <c r="CU81" i="1" s="1"/>
  <c r="CU82" i="1" s="1"/>
  <c r="CU83" i="1" s="1"/>
  <c r="CM58" i="1"/>
  <c r="CM59" i="1" s="1"/>
  <c r="CM60" i="1" s="1"/>
  <c r="CM61" i="1" s="1"/>
  <c r="CM62" i="1" s="1"/>
  <c r="CM63" i="1" s="1"/>
  <c r="CM64" i="1" s="1"/>
  <c r="CM65" i="1" s="1"/>
  <c r="CM66" i="1" s="1"/>
  <c r="CM67" i="1" s="1"/>
  <c r="CM68" i="1" s="1"/>
  <c r="CM69" i="1" s="1"/>
  <c r="CM70" i="1" s="1"/>
  <c r="CM71" i="1" s="1"/>
  <c r="CM72" i="1" s="1"/>
  <c r="CM73" i="1" s="1"/>
  <c r="CM74" i="1" s="1"/>
  <c r="CM75" i="1" s="1"/>
  <c r="CM76" i="1" s="1"/>
  <c r="CM77" i="1" s="1"/>
  <c r="CM78" i="1" s="1"/>
  <c r="CM79" i="1" s="1"/>
  <c r="CM80" i="1" s="1"/>
  <c r="CM81" i="1" s="1"/>
  <c r="CM82" i="1" s="1"/>
  <c r="CM83" i="1" s="1"/>
  <c r="B10" i="12"/>
  <c r="I10" i="12" s="1"/>
  <c r="CC99" i="1"/>
  <c r="C10" i="12" s="1"/>
  <c r="CY57" i="1"/>
  <c r="CY58" i="1" s="1"/>
  <c r="CY59" i="1" s="1"/>
  <c r="CY60" i="1" s="1"/>
  <c r="CY61" i="1" s="1"/>
  <c r="CY62" i="1" s="1"/>
  <c r="CY63" i="1" s="1"/>
  <c r="CY64" i="1" s="1"/>
  <c r="CY65" i="1" s="1"/>
  <c r="CY66" i="1" s="1"/>
  <c r="CY67" i="1" s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C7" i="1"/>
  <c r="CX8" i="1"/>
  <c r="CX9" i="1" s="1"/>
  <c r="CX10" i="1" s="1"/>
  <c r="CX11" i="1" s="1"/>
  <c r="CX12" i="1" s="1"/>
  <c r="CX13" i="1" s="1"/>
  <c r="CX14" i="1" s="1"/>
  <c r="CX15" i="1" s="1"/>
  <c r="CX16" i="1" s="1"/>
  <c r="CX17" i="1" s="1"/>
  <c r="CX18" i="1" s="1"/>
  <c r="CX19" i="1" s="1"/>
  <c r="CE40" i="1"/>
  <c r="CD40" i="1"/>
  <c r="CD20" i="1"/>
  <c r="CE38" i="1"/>
  <c r="CE60" i="1"/>
  <c r="CE68" i="1"/>
  <c r="CD68" i="1"/>
  <c r="CE72" i="1"/>
  <c r="CD76" i="1"/>
  <c r="CD80" i="1"/>
  <c r="CE88" i="1"/>
  <c r="CD48" i="1"/>
  <c r="CE52" i="1"/>
  <c r="CF11" i="1"/>
  <c r="CD11" i="1"/>
  <c r="CE37" i="1"/>
  <c r="CD39" i="1"/>
  <c r="CE39" i="1"/>
  <c r="CD43" i="1"/>
  <c r="CD51" i="1"/>
  <c r="CD18" i="1"/>
  <c r="CE24" i="1"/>
  <c r="CE26" i="1"/>
  <c r="CD26" i="1"/>
  <c r="CD28" i="1"/>
  <c r="CE33" i="1"/>
  <c r="CD33" i="1"/>
  <c r="CE47" i="1"/>
  <c r="CE96" i="1"/>
  <c r="CE31" i="1"/>
  <c r="CD31" i="1"/>
  <c r="CE65" i="1"/>
  <c r="CE69" i="1"/>
  <c r="CD71" i="1"/>
  <c r="CE71" i="1"/>
  <c r="CD73" i="1"/>
  <c r="CD75" i="1"/>
  <c r="CD77" i="1"/>
  <c r="CD81" i="1"/>
  <c r="CE81" i="1"/>
  <c r="CD85" i="1"/>
  <c r="CE89" i="1"/>
  <c r="CF10" i="1"/>
  <c r="CD10" i="1"/>
  <c r="CE17" i="1"/>
  <c r="CE25" i="1"/>
  <c r="CE16" i="1"/>
  <c r="CD16" i="1"/>
  <c r="CO21" i="1"/>
  <c r="CO22" i="1" s="1"/>
  <c r="CO23" i="1" s="1"/>
  <c r="CO24" i="1" s="1"/>
  <c r="CO25" i="1" s="1"/>
  <c r="CO26" i="1" s="1"/>
  <c r="CO27" i="1" s="1"/>
  <c r="CO28" i="1" s="1"/>
  <c r="CO29" i="1" s="1"/>
  <c r="CO30" i="1" s="1"/>
  <c r="CO31" i="1" s="1"/>
  <c r="CO32" i="1" s="1"/>
  <c r="CK21" i="1"/>
  <c r="CL21" i="1"/>
  <c r="CL22" i="1" s="1"/>
  <c r="CL23" i="1" s="1"/>
  <c r="CL24" i="1" s="1"/>
  <c r="CL25" i="1" s="1"/>
  <c r="CL26" i="1" s="1"/>
  <c r="CL27" i="1" s="1"/>
  <c r="CL28" i="1" s="1"/>
  <c r="CL29" i="1" s="1"/>
  <c r="CL30" i="1" s="1"/>
  <c r="CL31" i="1" s="1"/>
  <c r="CL32" i="1" s="1"/>
  <c r="CQ21" i="1"/>
  <c r="CQ22" i="1" s="1"/>
  <c r="CQ23" i="1" s="1"/>
  <c r="CQ24" i="1" s="1"/>
  <c r="CQ25" i="1" s="1"/>
  <c r="CQ26" i="1" s="1"/>
  <c r="CQ27" i="1" s="1"/>
  <c r="CQ28" i="1" s="1"/>
  <c r="CQ29" i="1" s="1"/>
  <c r="CQ30" i="1" s="1"/>
  <c r="CQ31" i="1" s="1"/>
  <c r="CQ32" i="1" s="1"/>
  <c r="BX100" i="1"/>
  <c r="BY100" i="1"/>
  <c r="CD14" i="1" l="1"/>
  <c r="CE63" i="1"/>
  <c r="CD84" i="1"/>
  <c r="CD92" i="1"/>
  <c r="CD56" i="1"/>
  <c r="CE14" i="1"/>
  <c r="CE67" i="1"/>
  <c r="CD34" i="1"/>
  <c r="CE92" i="1"/>
  <c r="CE56" i="1"/>
  <c r="CD95" i="1"/>
  <c r="CD17" i="1"/>
  <c r="CD87" i="1"/>
  <c r="CE77" i="1"/>
  <c r="CD67" i="1"/>
  <c r="CE34" i="1"/>
  <c r="CD21" i="1"/>
  <c r="CD24" i="1"/>
  <c r="CE43" i="1"/>
  <c r="CD37" i="1"/>
  <c r="CE90" i="1"/>
  <c r="CE76" i="1"/>
  <c r="CD25" i="1"/>
  <c r="CE85" i="1"/>
  <c r="CE73" i="1"/>
  <c r="CD65" i="1"/>
  <c r="CD96" i="1"/>
  <c r="CD15" i="1"/>
  <c r="CD38" i="1"/>
  <c r="CD42" i="1"/>
  <c r="CD36" i="1"/>
  <c r="CE15" i="1"/>
  <c r="CE42" i="1"/>
  <c r="CD89" i="1"/>
  <c r="CE75" i="1"/>
  <c r="CE21" i="1"/>
  <c r="CD88" i="1"/>
  <c r="CD60" i="1"/>
  <c r="CE20" i="1"/>
  <c r="CE36" i="1"/>
  <c r="CE97" i="1"/>
  <c r="CD29" i="1"/>
  <c r="CD97" i="1"/>
  <c r="CE59" i="1"/>
  <c r="CD27" i="1"/>
  <c r="CD23" i="1"/>
  <c r="CE28" i="1"/>
  <c r="CD54" i="1"/>
  <c r="CF7" i="1"/>
  <c r="CD47" i="1"/>
  <c r="CD7" i="1"/>
  <c r="CE29" i="1"/>
  <c r="CE91" i="1"/>
  <c r="CE79" i="1"/>
  <c r="CD59" i="1"/>
  <c r="CE23" i="1"/>
  <c r="CD13" i="1"/>
  <c r="CE54" i="1"/>
  <c r="CF8" i="1"/>
  <c r="CD63" i="1"/>
  <c r="CE66" i="1"/>
  <c r="CD8" i="1"/>
  <c r="CD93" i="1"/>
  <c r="CE87" i="1"/>
  <c r="CD57" i="1"/>
  <c r="CE27" i="1"/>
  <c r="CE84" i="1"/>
  <c r="CE51" i="1"/>
  <c r="CF13" i="1"/>
  <c r="CD52" i="1"/>
  <c r="CE50" i="1"/>
  <c r="CE48" i="1"/>
  <c r="CE82" i="1"/>
  <c r="CD64" i="1"/>
  <c r="CE95" i="1"/>
  <c r="CD41" i="1"/>
  <c r="CE49" i="1"/>
  <c r="CE9" i="1"/>
  <c r="CD79" i="1"/>
  <c r="CE61" i="1"/>
  <c r="CD30" i="1"/>
  <c r="CE53" i="1"/>
  <c r="CE74" i="1"/>
  <c r="CE12" i="1"/>
  <c r="CD72" i="1"/>
  <c r="CE58" i="1"/>
  <c r="CE93" i="1"/>
  <c r="CD69" i="1"/>
  <c r="CE57" i="1"/>
  <c r="CE18" i="1"/>
  <c r="CD53" i="1"/>
  <c r="CE45" i="1"/>
  <c r="CD50" i="1"/>
  <c r="CD90" i="1"/>
  <c r="CE80" i="1"/>
  <c r="CE64" i="1"/>
  <c r="CE44" i="1"/>
  <c r="CE41" i="1"/>
  <c r="CD82" i="1"/>
  <c r="CD74" i="1"/>
  <c r="CD66" i="1"/>
  <c r="CD58" i="1"/>
  <c r="CD12" i="1"/>
  <c r="CE70" i="1"/>
  <c r="CD22" i="1"/>
  <c r="CE86" i="1"/>
  <c r="CE22" i="1"/>
  <c r="CE127" i="1"/>
  <c r="E12" i="12" s="1"/>
  <c r="CE30" i="1"/>
  <c r="CD45" i="1"/>
  <c r="CF9" i="1"/>
  <c r="CD78" i="1"/>
  <c r="CD70" i="1"/>
  <c r="CD62" i="1"/>
  <c r="CE78" i="1"/>
  <c r="CE62" i="1"/>
  <c r="CD91" i="1"/>
  <c r="CD61" i="1"/>
  <c r="CD49" i="1"/>
  <c r="CD44" i="1"/>
  <c r="CE98" i="1"/>
  <c r="CD86" i="1"/>
  <c r="CD98" i="1"/>
  <c r="C6" i="12"/>
  <c r="C8" i="12"/>
  <c r="C7" i="12"/>
  <c r="CF127" i="1"/>
  <c r="F12" i="12" s="1"/>
  <c r="CD127" i="1"/>
  <c r="D12" i="12" s="1"/>
  <c r="CK22" i="1"/>
  <c r="CK10" i="1"/>
  <c r="CK104" i="1"/>
  <c r="CK63" i="1"/>
  <c r="CK86" i="1"/>
  <c r="CK97" i="1"/>
  <c r="CK35" i="1"/>
  <c r="CK50" i="1"/>
  <c r="CW40" i="1"/>
  <c r="CW28" i="1"/>
  <c r="CW54" i="1"/>
  <c r="CW14" i="1"/>
  <c r="BZ100" i="1"/>
  <c r="BY96" i="1"/>
  <c r="BY97" i="1"/>
  <c r="BY98" i="1"/>
  <c r="BY99" i="1"/>
  <c r="BX96" i="1"/>
  <c r="BX97" i="1"/>
  <c r="BZ97" i="1" s="1"/>
  <c r="BX98" i="1"/>
  <c r="BZ98" i="1" s="1"/>
  <c r="BX99" i="1"/>
  <c r="BZ99" i="1" s="1"/>
  <c r="AD97" i="1"/>
  <c r="AD98" i="1"/>
  <c r="AD99" i="1"/>
  <c r="AD96" i="1"/>
  <c r="AC97" i="1"/>
  <c r="AC98" i="1"/>
  <c r="AC99" i="1"/>
  <c r="AC96" i="1"/>
  <c r="AA97" i="1"/>
  <c r="AA98" i="1"/>
  <c r="AA99" i="1"/>
  <c r="AA96" i="1"/>
  <c r="F96" i="1"/>
  <c r="F97" i="1"/>
  <c r="F98" i="1"/>
  <c r="F99" i="1"/>
  <c r="BZ96" i="1" l="1"/>
  <c r="J11" i="12"/>
  <c r="CG35" i="1"/>
  <c r="CH35" i="1"/>
  <c r="CK23" i="1"/>
  <c r="CK11" i="1"/>
  <c r="CK87" i="1"/>
  <c r="CK105" i="1"/>
  <c r="CK98" i="1"/>
  <c r="CK36" i="1"/>
  <c r="CK51" i="1"/>
  <c r="CW15" i="1"/>
  <c r="CW55" i="1"/>
  <c r="CW29" i="1"/>
  <c r="CW41" i="1"/>
  <c r="BY84" i="1"/>
  <c r="BY85" i="1"/>
  <c r="BY86" i="1"/>
  <c r="BY87" i="1"/>
  <c r="BY88" i="1"/>
  <c r="BY89" i="1"/>
  <c r="BY90" i="1"/>
  <c r="BY91" i="1"/>
  <c r="BY92" i="1"/>
  <c r="BY93" i="1"/>
  <c r="BY94" i="1"/>
  <c r="BY95" i="1"/>
  <c r="BX84" i="1"/>
  <c r="BX85" i="1"/>
  <c r="BZ85" i="1" s="1"/>
  <c r="BX86" i="1"/>
  <c r="BX87" i="1"/>
  <c r="BZ87" i="1" s="1"/>
  <c r="BX88" i="1"/>
  <c r="BX89" i="1"/>
  <c r="BZ89" i="1" s="1"/>
  <c r="BX90" i="1"/>
  <c r="BZ90" i="1" s="1"/>
  <c r="BX91" i="1"/>
  <c r="BZ91" i="1" s="1"/>
  <c r="BX92" i="1"/>
  <c r="BZ92" i="1" s="1"/>
  <c r="BX93" i="1"/>
  <c r="BZ93" i="1" s="1"/>
  <c r="BX94" i="1"/>
  <c r="BZ94" i="1" s="1"/>
  <c r="BX95" i="1"/>
  <c r="BZ86" i="1" l="1"/>
  <c r="BZ88" i="1"/>
  <c r="BZ84" i="1"/>
  <c r="CF35" i="1"/>
  <c r="CD35" i="1"/>
  <c r="CE35" i="1"/>
  <c r="CK12" i="1"/>
  <c r="CK24" i="1"/>
  <c r="CK99" i="1"/>
  <c r="CH99" i="1" s="1"/>
  <c r="H10" i="12" s="1"/>
  <c r="CK106" i="1"/>
  <c r="CK88" i="1"/>
  <c r="CK52" i="1"/>
  <c r="CK37" i="1"/>
  <c r="CW42" i="1"/>
  <c r="CW30" i="1"/>
  <c r="CW16" i="1"/>
  <c r="BZ95" i="1"/>
  <c r="F95" i="1"/>
  <c r="CK25" i="1" l="1"/>
  <c r="CK13" i="1"/>
  <c r="CK107" i="1"/>
  <c r="CH107" i="1" s="1"/>
  <c r="H11" i="12" s="1"/>
  <c r="CK89" i="1"/>
  <c r="CG99" i="1"/>
  <c r="CK38" i="1"/>
  <c r="CK53" i="1"/>
  <c r="CW43" i="1"/>
  <c r="CW17" i="1"/>
  <c r="CW31" i="1"/>
  <c r="AM2" i="17"/>
  <c r="AL2" i="17"/>
  <c r="AK2" i="17"/>
  <c r="AJ2" i="17"/>
  <c r="AI2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O2" i="17"/>
  <c r="L2" i="17"/>
  <c r="K2" i="17"/>
  <c r="AN2" i="17"/>
  <c r="D2" i="17"/>
  <c r="I2" i="17"/>
  <c r="H2" i="17"/>
  <c r="C2" i="17"/>
  <c r="B2" i="17"/>
  <c r="A2" i="17"/>
  <c r="G10" i="12" l="1"/>
  <c r="CF99" i="1"/>
  <c r="F10" i="12" s="1"/>
  <c r="CD99" i="1"/>
  <c r="D10" i="12" s="1"/>
  <c r="CE99" i="1"/>
  <c r="E10" i="12" s="1"/>
  <c r="CK26" i="1"/>
  <c r="CK14" i="1"/>
  <c r="CK90" i="1"/>
  <c r="CG107" i="1"/>
  <c r="G11" i="12" s="1"/>
  <c r="CK54" i="1"/>
  <c r="CK39" i="1"/>
  <c r="CW32" i="1"/>
  <c r="CW18" i="1"/>
  <c r="CW44" i="1"/>
  <c r="CK64" i="1"/>
  <c r="F92" i="1"/>
  <c r="F93" i="1"/>
  <c r="F94" i="1"/>
  <c r="J9" i="12" l="1"/>
  <c r="CF107" i="1"/>
  <c r="F11" i="12" s="1"/>
  <c r="CD107" i="1"/>
  <c r="D11" i="12" s="1"/>
  <c r="CE107" i="1"/>
  <c r="E11" i="12" s="1"/>
  <c r="CK27" i="1"/>
  <c r="CK15" i="1"/>
  <c r="CK91" i="1"/>
  <c r="CK40" i="1"/>
  <c r="CK55" i="1"/>
  <c r="CH55" i="1" s="1"/>
  <c r="H7" i="12" s="1"/>
  <c r="CW45" i="1"/>
  <c r="CW19" i="1"/>
  <c r="CK65" i="1"/>
  <c r="AF84" i="1"/>
  <c r="AF85" i="1"/>
  <c r="AF86" i="1"/>
  <c r="AF87" i="1"/>
  <c r="AF88" i="1"/>
  <c r="AF89" i="1"/>
  <c r="AF90" i="1"/>
  <c r="AF91" i="1"/>
  <c r="AE91" i="1"/>
  <c r="AE90" i="1"/>
  <c r="AE89" i="1"/>
  <c r="AE88" i="1"/>
  <c r="AE87" i="1"/>
  <c r="AE86" i="1"/>
  <c r="AE85" i="1"/>
  <c r="AE84" i="1"/>
  <c r="AE82" i="1"/>
  <c r="AD84" i="1"/>
  <c r="AD85" i="1"/>
  <c r="AD86" i="1"/>
  <c r="AD87" i="1"/>
  <c r="AD88" i="1"/>
  <c r="AD89" i="1"/>
  <c r="AD90" i="1"/>
  <c r="AD91" i="1"/>
  <c r="AD92" i="1"/>
  <c r="AC84" i="1"/>
  <c r="AC85" i="1"/>
  <c r="AC86" i="1"/>
  <c r="AC87" i="1"/>
  <c r="AC88" i="1"/>
  <c r="AC89" i="1"/>
  <c r="AC90" i="1"/>
  <c r="AC91" i="1"/>
  <c r="AA84" i="1"/>
  <c r="AA85" i="1"/>
  <c r="AA86" i="1"/>
  <c r="AA87" i="1"/>
  <c r="AA88" i="1"/>
  <c r="AA89" i="1"/>
  <c r="AA90" i="1"/>
  <c r="AA91" i="1"/>
  <c r="F84" i="1"/>
  <c r="F85" i="1"/>
  <c r="F86" i="1"/>
  <c r="F87" i="1"/>
  <c r="F88" i="1"/>
  <c r="F89" i="1"/>
  <c r="F90" i="1"/>
  <c r="F91" i="1"/>
  <c r="J10" i="12" l="1"/>
  <c r="CK28" i="1"/>
  <c r="CK16" i="1"/>
  <c r="CK92" i="1"/>
  <c r="CG55" i="1"/>
  <c r="CK41" i="1"/>
  <c r="CW46" i="1"/>
  <c r="CK66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3" i="1"/>
  <c r="G7" i="12" l="1"/>
  <c r="CF55" i="1"/>
  <c r="F7" i="12" s="1"/>
  <c r="CD55" i="1"/>
  <c r="D7" i="12" s="1"/>
  <c r="CE55" i="1"/>
  <c r="E7" i="12" s="1"/>
  <c r="CK29" i="1"/>
  <c r="CK17" i="1"/>
  <c r="CK93" i="1"/>
  <c r="CK42" i="1"/>
  <c r="CK67" i="1"/>
  <c r="AA57" i="1"/>
  <c r="AA58" i="1"/>
  <c r="AA59" i="1"/>
  <c r="AA60" i="1"/>
  <c r="AA61" i="1"/>
  <c r="AA62" i="1"/>
  <c r="AA63" i="1"/>
  <c r="AA69" i="1"/>
  <c r="AA71" i="1"/>
  <c r="AA72" i="1"/>
  <c r="AA74" i="1"/>
  <c r="AA75" i="1"/>
  <c r="AA76" i="1"/>
  <c r="AA77" i="1"/>
  <c r="AA78" i="1"/>
  <c r="AA79" i="1"/>
  <c r="AA81" i="1"/>
  <c r="AA64" i="1"/>
  <c r="J6" i="12" l="1"/>
  <c r="CK30" i="1"/>
  <c r="CK18" i="1"/>
  <c r="CK94" i="1"/>
  <c r="CH94" i="1" s="1"/>
  <c r="H9" i="12" s="1"/>
  <c r="CK43" i="1"/>
  <c r="CK68" i="1"/>
  <c r="AD83" i="1"/>
  <c r="BX83" i="1"/>
  <c r="BY83" i="1"/>
  <c r="CK31" i="1" l="1"/>
  <c r="CK19" i="1"/>
  <c r="CH19" i="1" s="1"/>
  <c r="H4" i="12" s="1"/>
  <c r="CG94" i="1"/>
  <c r="G9" i="12" s="1"/>
  <c r="CK44" i="1"/>
  <c r="CK69" i="1"/>
  <c r="BZ83" i="1"/>
  <c r="N1" i="1"/>
  <c r="BY56" i="1"/>
  <c r="BY57" i="1"/>
  <c r="BY58" i="1"/>
  <c r="BY59" i="1"/>
  <c r="BY60" i="1"/>
  <c r="BY61" i="1"/>
  <c r="BY62" i="1"/>
  <c r="BY63" i="1"/>
  <c r="BY64" i="1"/>
  <c r="BY65" i="1"/>
  <c r="BY66" i="1"/>
  <c r="BY67" i="1"/>
  <c r="BY68" i="1"/>
  <c r="BY69" i="1"/>
  <c r="BY70" i="1"/>
  <c r="BY71" i="1"/>
  <c r="BY72" i="1"/>
  <c r="BY73" i="1"/>
  <c r="BY74" i="1"/>
  <c r="BY75" i="1"/>
  <c r="BY76" i="1"/>
  <c r="BY77" i="1"/>
  <c r="BY78" i="1"/>
  <c r="BY79" i="1"/>
  <c r="BY80" i="1"/>
  <c r="BY81" i="1"/>
  <c r="BY82" i="1"/>
  <c r="BX56" i="1"/>
  <c r="BX57" i="1"/>
  <c r="BX58" i="1"/>
  <c r="BX59" i="1"/>
  <c r="BX60" i="1"/>
  <c r="BX61" i="1"/>
  <c r="BX62" i="1"/>
  <c r="BX63" i="1"/>
  <c r="BX64" i="1"/>
  <c r="BX65" i="1"/>
  <c r="BX66" i="1"/>
  <c r="BX67" i="1"/>
  <c r="BX68" i="1"/>
  <c r="BX69" i="1"/>
  <c r="BX70" i="1"/>
  <c r="BX71" i="1"/>
  <c r="BX72" i="1"/>
  <c r="BX73" i="1"/>
  <c r="BX74" i="1"/>
  <c r="BX75" i="1"/>
  <c r="BX76" i="1"/>
  <c r="BX77" i="1"/>
  <c r="BX78" i="1"/>
  <c r="BX79" i="1"/>
  <c r="BX80" i="1"/>
  <c r="BX81" i="1"/>
  <c r="BX82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D56" i="1"/>
  <c r="AD57" i="1"/>
  <c r="AD58" i="1"/>
  <c r="AD59" i="1"/>
  <c r="AD60" i="1"/>
  <c r="AD61" i="1"/>
  <c r="AD62" i="1"/>
  <c r="AD63" i="1"/>
  <c r="AD82" i="1"/>
  <c r="AC56" i="1"/>
  <c r="AC57" i="1"/>
  <c r="AC58" i="1"/>
  <c r="AC59" i="1"/>
  <c r="AC60" i="1"/>
  <c r="AC61" i="1"/>
  <c r="AC62" i="1"/>
  <c r="AC63" i="1"/>
  <c r="AC64" i="1"/>
  <c r="AC67" i="1"/>
  <c r="AC68" i="1"/>
  <c r="AC69" i="1"/>
  <c r="AC71" i="1"/>
  <c r="AC72" i="1"/>
  <c r="AC74" i="1"/>
  <c r="AC75" i="1"/>
  <c r="AC76" i="1"/>
  <c r="AC77" i="1"/>
  <c r="AC78" i="1"/>
  <c r="AC79" i="1"/>
  <c r="AC81" i="1"/>
  <c r="AC82" i="1"/>
  <c r="CF94" i="1" l="1"/>
  <c r="F9" i="12" s="1"/>
  <c r="CE94" i="1"/>
  <c r="E9" i="12" s="1"/>
  <c r="CD94" i="1"/>
  <c r="D9" i="12" s="1"/>
  <c r="CK32" i="1"/>
  <c r="CH32" i="1" s="1"/>
  <c r="H5" i="12" s="1"/>
  <c r="CG19" i="1"/>
  <c r="CK45" i="1"/>
  <c r="CK70" i="1"/>
  <c r="BZ82" i="1"/>
  <c r="BZ80" i="1"/>
  <c r="BZ78" i="1"/>
  <c r="BZ76" i="1"/>
  <c r="BZ74" i="1"/>
  <c r="BZ72" i="1"/>
  <c r="BZ70" i="1"/>
  <c r="BZ68" i="1"/>
  <c r="BZ66" i="1"/>
  <c r="BZ62" i="1"/>
  <c r="BZ60" i="1"/>
  <c r="BZ58" i="1"/>
  <c r="BZ77" i="1"/>
  <c r="BZ64" i="1"/>
  <c r="BZ57" i="1"/>
  <c r="BZ81" i="1"/>
  <c r="BZ79" i="1"/>
  <c r="BZ75" i="1"/>
  <c r="BZ71" i="1"/>
  <c r="BZ69" i="1"/>
  <c r="BZ67" i="1"/>
  <c r="BZ65" i="1"/>
  <c r="BZ63" i="1"/>
  <c r="BZ61" i="1"/>
  <c r="BZ59" i="1"/>
  <c r="BZ56" i="1"/>
  <c r="BZ73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7" i="1"/>
  <c r="BY38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BY55" i="1"/>
  <c r="BY3" i="1"/>
  <c r="BY4" i="1"/>
  <c r="BY5" i="1"/>
  <c r="BY6" i="1"/>
  <c r="BY7" i="1"/>
  <c r="BX4" i="1"/>
  <c r="BZ4" i="1" s="1"/>
  <c r="BX5" i="1"/>
  <c r="BX6" i="1"/>
  <c r="BX7" i="1"/>
  <c r="BZ7" i="1" s="1"/>
  <c r="BX8" i="1"/>
  <c r="BX9" i="1"/>
  <c r="BX10" i="1"/>
  <c r="BX11" i="1"/>
  <c r="BX12" i="1"/>
  <c r="BX13" i="1"/>
  <c r="BX14" i="1"/>
  <c r="BX15" i="1"/>
  <c r="BX16" i="1"/>
  <c r="BX17" i="1"/>
  <c r="BX18" i="1"/>
  <c r="BX19" i="1"/>
  <c r="BX20" i="1"/>
  <c r="BX21" i="1"/>
  <c r="BX22" i="1"/>
  <c r="BX23" i="1"/>
  <c r="BX24" i="1"/>
  <c r="BX25" i="1"/>
  <c r="BX26" i="1"/>
  <c r="BX27" i="1"/>
  <c r="BX28" i="1"/>
  <c r="BX29" i="1"/>
  <c r="BX30" i="1"/>
  <c r="BX31" i="1"/>
  <c r="BX32" i="1"/>
  <c r="BX33" i="1"/>
  <c r="BX34" i="1"/>
  <c r="BX35" i="1"/>
  <c r="BX36" i="1"/>
  <c r="BX37" i="1"/>
  <c r="BX38" i="1"/>
  <c r="BX39" i="1"/>
  <c r="BX40" i="1"/>
  <c r="BX41" i="1"/>
  <c r="BX42" i="1"/>
  <c r="BX43" i="1"/>
  <c r="BX44" i="1"/>
  <c r="BX45" i="1"/>
  <c r="BX46" i="1"/>
  <c r="BX47" i="1"/>
  <c r="BX48" i="1"/>
  <c r="BX49" i="1"/>
  <c r="BX50" i="1"/>
  <c r="BX51" i="1"/>
  <c r="BX52" i="1"/>
  <c r="BX53" i="1"/>
  <c r="BX54" i="1"/>
  <c r="BX55" i="1"/>
  <c r="BX3" i="1"/>
  <c r="J8" i="12" l="1"/>
  <c r="BZ6" i="1"/>
  <c r="G4" i="12"/>
  <c r="CF19" i="1"/>
  <c r="F4" i="12" s="1"/>
  <c r="CE19" i="1"/>
  <c r="E4" i="12" s="1"/>
  <c r="CD19" i="1"/>
  <c r="D4" i="12" s="1"/>
  <c r="CG32" i="1"/>
  <c r="CK46" i="1"/>
  <c r="CH46" i="1" s="1"/>
  <c r="H6" i="12" s="1"/>
  <c r="CK71" i="1"/>
  <c r="BZ55" i="1"/>
  <c r="BZ53" i="1"/>
  <c r="BZ51" i="1"/>
  <c r="BZ49" i="1"/>
  <c r="BZ45" i="1"/>
  <c r="BZ43" i="1"/>
  <c r="BZ39" i="1"/>
  <c r="BZ35" i="1"/>
  <c r="BZ33" i="1"/>
  <c r="BZ31" i="1"/>
  <c r="BZ29" i="1"/>
  <c r="BZ27" i="1"/>
  <c r="BZ25" i="1"/>
  <c r="BZ23" i="1"/>
  <c r="BZ21" i="1"/>
  <c r="BZ19" i="1"/>
  <c r="BZ17" i="1"/>
  <c r="BZ15" i="1"/>
  <c r="BZ13" i="1"/>
  <c r="BZ11" i="1"/>
  <c r="BZ9" i="1"/>
  <c r="BZ3" i="1"/>
  <c r="BZ52" i="1"/>
  <c r="BZ48" i="1"/>
  <c r="BZ24" i="1"/>
  <c r="BZ22" i="1"/>
  <c r="BZ54" i="1"/>
  <c r="BZ41" i="1"/>
  <c r="BZ46" i="1"/>
  <c r="BZ50" i="1"/>
  <c r="BZ37" i="1"/>
  <c r="BZ5" i="1"/>
  <c r="BZ44" i="1"/>
  <c r="BZ42" i="1"/>
  <c r="BZ40" i="1"/>
  <c r="BZ38" i="1"/>
  <c r="BZ36" i="1"/>
  <c r="BZ34" i="1"/>
  <c r="BZ32" i="1"/>
  <c r="BZ30" i="1"/>
  <c r="BZ28" i="1"/>
  <c r="BZ26" i="1"/>
  <c r="BZ20" i="1"/>
  <c r="BZ18" i="1"/>
  <c r="BZ16" i="1"/>
  <c r="BZ14" i="1"/>
  <c r="BZ12" i="1"/>
  <c r="BZ10" i="1"/>
  <c r="BZ47" i="1"/>
  <c r="BZ8" i="1"/>
  <c r="J3" i="12" l="1"/>
  <c r="G5" i="12"/>
  <c r="CF32" i="1"/>
  <c r="F5" i="12" s="1"/>
  <c r="CE32" i="1"/>
  <c r="E5" i="12" s="1"/>
  <c r="CD32" i="1"/>
  <c r="D5" i="12" s="1"/>
  <c r="CG46" i="1"/>
  <c r="CK72" i="1"/>
  <c r="J4" i="12" l="1"/>
  <c r="G6" i="12"/>
  <c r="CF46" i="1"/>
  <c r="F6" i="12" s="1"/>
  <c r="CE46" i="1"/>
  <c r="E6" i="12" s="1"/>
  <c r="CD46" i="1"/>
  <c r="D6" i="12" s="1"/>
  <c r="CK73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34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36" i="1"/>
  <c r="AC34" i="1"/>
  <c r="AC35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36" i="1"/>
  <c r="J5" i="12" l="1"/>
  <c r="CK74" i="1"/>
  <c r="J2" i="3"/>
  <c r="G2" i="3"/>
  <c r="E2" i="3" s="1"/>
  <c r="I2" i="3" s="1"/>
  <c r="J3" i="3"/>
  <c r="G3" i="3"/>
  <c r="K3" i="3" s="1"/>
  <c r="CK75" i="1" l="1"/>
  <c r="F4" i="3"/>
  <c r="E3" i="3"/>
  <c r="I3" i="3" s="1"/>
  <c r="K2" i="3"/>
  <c r="CK76" i="1" l="1"/>
  <c r="G4" i="3"/>
  <c r="J4" i="3"/>
  <c r="CK77" i="1" l="1"/>
  <c r="K4" i="3"/>
  <c r="F5" i="3"/>
  <c r="E4" i="3"/>
  <c r="I4" i="3" s="1"/>
  <c r="CK78" i="1" l="1"/>
  <c r="G5" i="3"/>
  <c r="J5" i="3"/>
  <c r="CK79" i="1" l="1"/>
  <c r="K5" i="3"/>
  <c r="E5" i="3"/>
  <c r="I5" i="3" s="1"/>
  <c r="F6" i="3"/>
  <c r="CK80" i="1" l="1"/>
  <c r="G6" i="3"/>
  <c r="J6" i="3"/>
  <c r="CK81" i="1" l="1"/>
  <c r="K6" i="3"/>
  <c r="F7" i="3"/>
  <c r="E6" i="3"/>
  <c r="I6" i="3" s="1"/>
  <c r="CK82" i="1" l="1"/>
  <c r="G7" i="3"/>
  <c r="J7" i="3"/>
  <c r="CK83" i="1" l="1"/>
  <c r="CH83" i="1" s="1"/>
  <c r="H8" i="12" s="1"/>
  <c r="K7" i="3"/>
  <c r="F8" i="3"/>
  <c r="E7" i="3"/>
  <c r="I7" i="3" s="1"/>
  <c r="CG83" i="1" l="1"/>
  <c r="G8" i="3"/>
  <c r="J8" i="3"/>
  <c r="G8" i="12" l="1"/>
  <c r="CF83" i="1"/>
  <c r="F8" i="12" s="1"/>
  <c r="CD83" i="1"/>
  <c r="D8" i="12" s="1"/>
  <c r="CE83" i="1"/>
  <c r="E8" i="12" s="1"/>
  <c r="K8" i="3"/>
  <c r="F9" i="3"/>
  <c r="E8" i="3"/>
  <c r="I8" i="3" s="1"/>
  <c r="G24" i="12" l="1"/>
  <c r="G23" i="12"/>
  <c r="J7" i="12"/>
  <c r="J19" i="12" s="1"/>
  <c r="G9" i="3"/>
  <c r="J9" i="3"/>
  <c r="K9" i="3" l="1"/>
  <c r="F10" i="3"/>
  <c r="E9" i="3"/>
  <c r="I9" i="3" s="1"/>
  <c r="G10" i="3" l="1"/>
  <c r="J10" i="3"/>
  <c r="K10" i="3" l="1"/>
  <c r="F11" i="3"/>
  <c r="E10" i="3"/>
  <c r="I10" i="3" s="1"/>
  <c r="G11" i="3" l="1"/>
  <c r="J11" i="3"/>
  <c r="K11" i="3" l="1"/>
  <c r="F12" i="3"/>
  <c r="E11" i="3"/>
  <c r="I11" i="3" s="1"/>
  <c r="G12" i="3" l="1"/>
  <c r="J12" i="3"/>
  <c r="K12" i="3" l="1"/>
  <c r="F13" i="3"/>
  <c r="E12" i="3"/>
  <c r="I12" i="3" s="1"/>
  <c r="G13" i="3" l="1"/>
  <c r="J13" i="3"/>
  <c r="K13" i="3" l="1"/>
  <c r="F14" i="3"/>
  <c r="E13" i="3"/>
  <c r="I13" i="3" s="1"/>
  <c r="G14" i="3" l="1"/>
  <c r="J14" i="3"/>
  <c r="K14" i="3" l="1"/>
  <c r="E14" i="3"/>
  <c r="I14" i="3" s="1"/>
  <c r="F15" i="3"/>
  <c r="G15" i="3" l="1"/>
  <c r="J15" i="3"/>
  <c r="K15" i="3" l="1"/>
  <c r="E15" i="3"/>
  <c r="I15" i="3" s="1"/>
  <c r="F16" i="3"/>
  <c r="G16" i="3" l="1"/>
  <c r="J16" i="3"/>
  <c r="K16" i="3" l="1"/>
  <c r="E16" i="3"/>
  <c r="I16" i="3" s="1"/>
  <c r="F17" i="3"/>
  <c r="G17" i="3" l="1"/>
  <c r="J17" i="3"/>
  <c r="K17" i="3" l="1"/>
  <c r="F18" i="3"/>
  <c r="E17" i="3"/>
  <c r="I17" i="3" s="1"/>
  <c r="G18" i="3" l="1"/>
  <c r="J18" i="3"/>
  <c r="K18" i="3" l="1"/>
  <c r="E18" i="3"/>
  <c r="I18" i="3" s="1"/>
  <c r="F19" i="3"/>
  <c r="G19" i="3" l="1"/>
  <c r="J19" i="3"/>
  <c r="K19" i="3" l="1"/>
  <c r="F20" i="3"/>
  <c r="E19" i="3"/>
  <c r="I19" i="3" s="1"/>
  <c r="G20" i="3" l="1"/>
  <c r="J20" i="3"/>
  <c r="K20" i="3" l="1"/>
  <c r="F21" i="3"/>
  <c r="E20" i="3"/>
  <c r="I20" i="3" s="1"/>
  <c r="G21" i="3" l="1"/>
  <c r="J21" i="3"/>
  <c r="K21" i="3" l="1"/>
  <c r="E21" i="3"/>
  <c r="I21" i="3" s="1"/>
  <c r="F22" i="3"/>
  <c r="G22" i="3" l="1"/>
  <c r="J22" i="3"/>
  <c r="K22" i="3" l="1"/>
  <c r="F23" i="3"/>
  <c r="E22" i="3"/>
  <c r="I22" i="3" s="1"/>
  <c r="G23" i="3" l="1"/>
  <c r="J23" i="3"/>
  <c r="K23" i="3" l="1"/>
  <c r="E23" i="3"/>
  <c r="I23" i="3" s="1"/>
  <c r="F24" i="3"/>
  <c r="G24" i="3" l="1"/>
  <c r="J24" i="3"/>
  <c r="K24" i="3" l="1"/>
  <c r="E24" i="3"/>
  <c r="I24" i="3" s="1"/>
  <c r="F25" i="3"/>
  <c r="G25" i="3" l="1"/>
  <c r="J25" i="3"/>
  <c r="K25" i="3" l="1"/>
  <c r="F26" i="3"/>
  <c r="E25" i="3"/>
  <c r="I25" i="3" s="1"/>
  <c r="G26" i="3" l="1"/>
  <c r="J26" i="3"/>
  <c r="E26" i="3" l="1"/>
  <c r="I26" i="3" s="1"/>
  <c r="F27" i="3"/>
  <c r="K26" i="3"/>
  <c r="G27" i="3" l="1"/>
  <c r="J27" i="3"/>
  <c r="E27" i="3" l="1"/>
  <c r="I27" i="3" s="1"/>
  <c r="K27" i="3"/>
</calcChain>
</file>

<file path=xl/comments1.xml><?xml version="1.0" encoding="utf-8"?>
<comments xmlns="http://schemas.openxmlformats.org/spreadsheetml/2006/main">
  <authors>
    <author>psgglobal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psgglobal:</t>
        </r>
        <r>
          <rPr>
            <sz val="9"/>
            <color indexed="81"/>
            <rFont val="Tahoma"/>
            <family val="2"/>
          </rPr>
          <t xml:space="preserve">
Pay out date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psgglobal:</t>
        </r>
        <r>
          <rPr>
            <sz val="9"/>
            <color indexed="81"/>
            <rFont val="Tahoma"/>
            <family val="2"/>
          </rPr>
          <t xml:space="preserve">
Should be based on the Payroll cut off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 xml:space="preserve">Payroll Team: 
</t>
        </r>
        <r>
          <rPr>
            <sz val="9"/>
            <color indexed="81"/>
            <rFont val="Tahoma"/>
            <family val="2"/>
          </rPr>
          <t>For payroll use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psgglobal:</t>
        </r>
        <r>
          <rPr>
            <sz val="9"/>
            <color indexed="81"/>
            <rFont val="Tahoma"/>
            <family val="2"/>
          </rPr>
          <t xml:space="preserve">
indicate if End of Training or Promotion</t>
        </r>
      </text>
    </comment>
  </commentList>
</comments>
</file>

<file path=xl/sharedStrings.xml><?xml version="1.0" encoding="utf-8"?>
<sst xmlns="http://schemas.openxmlformats.org/spreadsheetml/2006/main" count="8880" uniqueCount="3304">
  <si>
    <t>Emp No.</t>
  </si>
  <si>
    <t>Name</t>
  </si>
  <si>
    <t>Info</t>
  </si>
  <si>
    <t>AWOL</t>
  </si>
  <si>
    <t>Hand</t>
  </si>
  <si>
    <t>PHIC</t>
  </si>
  <si>
    <t>SSS</t>
  </si>
  <si>
    <t>HDMF</t>
  </si>
  <si>
    <t>MDR</t>
  </si>
  <si>
    <t>#</t>
  </si>
  <si>
    <t>NBI</t>
  </si>
  <si>
    <t>NSO</t>
  </si>
  <si>
    <t>Marriage</t>
  </si>
  <si>
    <t>Dependent</t>
  </si>
  <si>
    <t>2x2</t>
  </si>
  <si>
    <t>TIN</t>
  </si>
  <si>
    <t>TOR</t>
  </si>
  <si>
    <t>COE</t>
  </si>
  <si>
    <t>Job Offer</t>
  </si>
  <si>
    <t>Contract</t>
  </si>
  <si>
    <t>Hire</t>
  </si>
  <si>
    <t>340-578-2276</t>
  </si>
  <si>
    <t>1210-2414-8040</t>
  </si>
  <si>
    <t>01-051331632-7</t>
  </si>
  <si>
    <t>02-1843096-7</t>
  </si>
  <si>
    <t>06-050054690-8</t>
  </si>
  <si>
    <t>33-7797305-8</t>
  </si>
  <si>
    <t>Waiver</t>
  </si>
  <si>
    <t>220-753-412</t>
  </si>
  <si>
    <t>34-0853831-7</t>
  </si>
  <si>
    <t>1010-0310-7908</t>
  </si>
  <si>
    <t>34-2590376-3</t>
  </si>
  <si>
    <t>1210-881-4239</t>
  </si>
  <si>
    <t>01-051508466-0</t>
  </si>
  <si>
    <t>34-3780942-8</t>
  </si>
  <si>
    <t>34-2131428-8</t>
  </si>
  <si>
    <t>34-3815868-6</t>
  </si>
  <si>
    <t>19-089385156-2</t>
  </si>
  <si>
    <t>1210-1114-0139</t>
  </si>
  <si>
    <t>34-1784632-0</t>
  </si>
  <si>
    <t>33-5448919-6</t>
  </si>
  <si>
    <t>1010-0199-2859</t>
  </si>
  <si>
    <t>34-3384497-9</t>
  </si>
  <si>
    <t>1210-5891-3791</t>
  </si>
  <si>
    <t>283-378-251</t>
  </si>
  <si>
    <t>Remarks</t>
  </si>
  <si>
    <t>ARRE, Jospeh P.</t>
  </si>
  <si>
    <t>Terminated - AWOL</t>
  </si>
  <si>
    <t>IOS-Customer Service Agent</t>
  </si>
  <si>
    <t/>
  </si>
  <si>
    <t>Male</t>
  </si>
  <si>
    <t>BORJA, Jennifer Nicolas</t>
  </si>
  <si>
    <t>Probationary</t>
  </si>
  <si>
    <t>Female</t>
  </si>
  <si>
    <t>34-1922712-5</t>
  </si>
  <si>
    <t>307-993-503</t>
  </si>
  <si>
    <t>01-050889250-6</t>
  </si>
  <si>
    <t>1210-1631-0090</t>
  </si>
  <si>
    <t>DEL ROSARIO, Regina Mae Javelosa</t>
  </si>
  <si>
    <t>33-9036040-2</t>
  </si>
  <si>
    <t>300-548-837</t>
  </si>
  <si>
    <t>1210-8714-3874</t>
  </si>
  <si>
    <t>2316(2014)-1/12/15; 2305-1/15; ER2 - 1/12</t>
  </si>
  <si>
    <t>TOLENTINO, Chrisca Marist Caragay</t>
  </si>
  <si>
    <t>IOS-Operations Supervisor</t>
  </si>
  <si>
    <t>34-0345405-6</t>
  </si>
  <si>
    <t>246-827-383</t>
  </si>
  <si>
    <t>1080-0215-4746</t>
  </si>
  <si>
    <t>2305-1/27;</t>
  </si>
  <si>
    <t>AÑORA, Clark Galupo</t>
  </si>
  <si>
    <t>Level 1</t>
  </si>
  <si>
    <t>clark_fricks551@yahoo.com</t>
  </si>
  <si>
    <t>BUJAWE, Joanna Marie Guitones</t>
  </si>
  <si>
    <t>Senior Recruiter</t>
  </si>
  <si>
    <t>Level 2</t>
  </si>
  <si>
    <t>anne.bujawe@gmail.com</t>
  </si>
  <si>
    <t>DADULLA, Micou Padilla</t>
  </si>
  <si>
    <t>dadulla.micou@gmail.com</t>
  </si>
  <si>
    <t>DELA CRUZ, Bernadette Franco</t>
  </si>
  <si>
    <t>kielmybaby13@yahoo.com</t>
  </si>
  <si>
    <t>DELA CRUZ, Michael</t>
  </si>
  <si>
    <t>DE LOS REYES, Leonard Gianan</t>
  </si>
  <si>
    <t>lenarddelosreyes@yahoo.com</t>
  </si>
  <si>
    <t>LIBUTAN, Bernaliza Vargas</t>
  </si>
  <si>
    <t>berna_92686@yahoo.com</t>
  </si>
  <si>
    <t>LOPEZ, Reiner Cabungcal</t>
  </si>
  <si>
    <t>Discontinuance - Failed Training</t>
  </si>
  <si>
    <t>rheinero8@yahoo.com</t>
  </si>
  <si>
    <t>33-9173161-6</t>
  </si>
  <si>
    <t>MAALA, Cyrelle Cabrera</t>
  </si>
  <si>
    <t>cyrelleannmaala@yahoo.com</t>
  </si>
  <si>
    <t>MARTINEZ, Rosevida Borromeo</t>
  </si>
  <si>
    <t>mrosevida@gmail.com</t>
  </si>
  <si>
    <t>SANTIAGO, Ma. Felice Villanueva</t>
  </si>
  <si>
    <t>felicesantiago@gmail.com</t>
  </si>
  <si>
    <t>TIEMPO, Irvin Lewis III Beltran</t>
  </si>
  <si>
    <t>irvine_tiempoiii@yahoo.com</t>
  </si>
  <si>
    <t>06-2509752-4</t>
  </si>
  <si>
    <t>TOLIONGCO, Maria Karina</t>
  </si>
  <si>
    <t>karinatoliongco@yahoo.com</t>
  </si>
  <si>
    <t>312-875-976</t>
  </si>
  <si>
    <t>AGAPITO, Sandra Joanne M.</t>
  </si>
  <si>
    <t>anotherpoet08@gmail.com</t>
  </si>
  <si>
    <t>01-1524968-8</t>
  </si>
  <si>
    <t>1211-0392-5532</t>
  </si>
  <si>
    <t>ANDAYA, Mary Rose L.</t>
  </si>
  <si>
    <t>mroseandaya@gmail.com</t>
  </si>
  <si>
    <t>BONIFACIO, Aljon S.</t>
  </si>
  <si>
    <t>ajbjcj123@gmail.com</t>
  </si>
  <si>
    <t>CRUZ, Rafha Ralf P.</t>
  </si>
  <si>
    <t>01-051241640-9</t>
  </si>
  <si>
    <t>DE VERA, Kristine Margaret M.</t>
  </si>
  <si>
    <t>34-3287312-9</t>
  </si>
  <si>
    <t>311-600-443</t>
  </si>
  <si>
    <t>01-051822901-5</t>
  </si>
  <si>
    <t>FABROA, Jamee Marie Calaguian</t>
  </si>
  <si>
    <t>meefabroa@gmail.com</t>
  </si>
  <si>
    <t>309-740-064</t>
  </si>
  <si>
    <t>LIQUE, Mark Jeffrey</t>
  </si>
  <si>
    <t>SARTE, Paul Vincent</t>
  </si>
  <si>
    <t>aulvin_paulvincent@yahoo.com</t>
  </si>
  <si>
    <t>SUMAIT, Abigael Lumapas</t>
  </si>
  <si>
    <t>abigael_maristela05@yahoo.com</t>
  </si>
  <si>
    <t>TARROZA, Christopher Pascua</t>
  </si>
  <si>
    <t>chris.tarroza@yahoo.com</t>
  </si>
  <si>
    <t>Urdabe, Gayzle</t>
  </si>
  <si>
    <t>REGALADO, Voltaire John Celles</t>
  </si>
  <si>
    <t>Communication and Culture Trainer</t>
  </si>
  <si>
    <t>N/A</t>
  </si>
  <si>
    <t>wasabesyrup@gmail.com</t>
  </si>
  <si>
    <t>01-050219039-9</t>
  </si>
  <si>
    <t>DOQUENIA, Veronica Cheng</t>
  </si>
  <si>
    <t>veronica_0823@yahoo.com</t>
  </si>
  <si>
    <t>PITTS, Joseph</t>
  </si>
  <si>
    <t>YCASAS, Phoebus Apollo Manuel</t>
  </si>
  <si>
    <t>Internal Recruiter</t>
  </si>
  <si>
    <t>apollo.ycasas@yahoo.com</t>
  </si>
  <si>
    <t>ROGELIO, Earl Nazario</t>
  </si>
  <si>
    <t>HR Generalist</t>
  </si>
  <si>
    <t>navigator_earl@yahoo.com</t>
  </si>
  <si>
    <t>33-8364165-9</t>
  </si>
  <si>
    <t>ASPI Jr., Melanio Primavera</t>
  </si>
  <si>
    <t>Sr. Recruiter</t>
  </si>
  <si>
    <t>melanio.primavera.aspi@gmail.com</t>
  </si>
  <si>
    <t>33-9641152-0</t>
  </si>
  <si>
    <t>239-554-463</t>
  </si>
  <si>
    <t>01-025266018-1</t>
  </si>
  <si>
    <t>1211-3601-6281</t>
  </si>
  <si>
    <t>BASCO, Eileen Zamudio</t>
  </si>
  <si>
    <t>babylhai@yahoo.com</t>
  </si>
  <si>
    <t>Blk 5 L65 Ambrosia Dr. Robinsons Homes East, Antipolo City</t>
  </si>
  <si>
    <t>34-0097363-7</t>
  </si>
  <si>
    <t>307-995-784</t>
  </si>
  <si>
    <t>01-050501975-5</t>
  </si>
  <si>
    <t>1210-4082-4823</t>
  </si>
  <si>
    <t>CARANDANG, Jomel Cortez</t>
  </si>
  <si>
    <t>clipe101@gmail.com</t>
  </si>
  <si>
    <t>7276 J Victor St. Brgy. Pio Del Pilar Makati City, 1230</t>
  </si>
  <si>
    <t>34-2622018-6</t>
  </si>
  <si>
    <t>309-393-231</t>
  </si>
  <si>
    <t>01-051262925-9</t>
  </si>
  <si>
    <t>1210-3556-5318</t>
  </si>
  <si>
    <t>CORDOVA Jr., Henry Sagun</t>
  </si>
  <si>
    <t>#37 Mapagbigay St. Brgy. Pinyahan Quezon City</t>
  </si>
  <si>
    <t>02-3415278-2</t>
  </si>
  <si>
    <t>01-051570834-6</t>
  </si>
  <si>
    <t>1210-7750-0002</t>
  </si>
  <si>
    <t>NABLE, Ramon Christopher Amago</t>
  </si>
  <si>
    <t>arcienable@gmail.com</t>
  </si>
  <si>
    <t>PAZ, Mary Joy Guerrero</t>
  </si>
  <si>
    <t>mjgpaz@yahoo.com</t>
  </si>
  <si>
    <t>01-2055590-1</t>
  </si>
  <si>
    <t>286-381-333</t>
  </si>
  <si>
    <t>04-050130173-8</t>
  </si>
  <si>
    <t>1210-3510-5199</t>
  </si>
  <si>
    <t>RITEZA, Rochelle Ann Celeste</t>
  </si>
  <si>
    <t>ritezarac@yahoo.com</t>
  </si>
  <si>
    <t>10 B Kaingin Rd. Brgy. Apolonio Samson Q.C.</t>
  </si>
  <si>
    <t>34-3214879-9</t>
  </si>
  <si>
    <t>315-551-004</t>
  </si>
  <si>
    <t>03-050967560-7</t>
  </si>
  <si>
    <t>1211-2086-7257</t>
  </si>
  <si>
    <t>SANTOS, Bianca Bolaños</t>
  </si>
  <si>
    <t>santosbianca.md@gmail.com</t>
  </si>
  <si>
    <t>34-1288461-7</t>
  </si>
  <si>
    <t>SANTOS, Richard Dean Olmida</t>
  </si>
  <si>
    <t>ardietran24@gmail.com</t>
  </si>
  <si>
    <t>Lot 2 Blk 2 Green Acres Subd. San Isidro Balanti Cainta Rizal</t>
  </si>
  <si>
    <t>34-3343998-6</t>
  </si>
  <si>
    <t>312-170-925</t>
  </si>
  <si>
    <t>01-051501674-6</t>
  </si>
  <si>
    <t>1210-7722-1216</t>
  </si>
  <si>
    <t>TIMAJO, Myra Plaza</t>
  </si>
  <si>
    <t>timajom@gmail.com</t>
  </si>
  <si>
    <t>33-8892298-8</t>
  </si>
  <si>
    <t>420-049-147</t>
  </si>
  <si>
    <t>VALENCIA, Marienne Pandaan</t>
  </si>
  <si>
    <t>mariennevalencia@gmail.com</t>
  </si>
  <si>
    <t>Blk 22 Lot 24 Upehco Salawag, Dasmariñas Cavite</t>
  </si>
  <si>
    <t>34-1572595-1</t>
  </si>
  <si>
    <t>274-963-888</t>
  </si>
  <si>
    <t>02-050586993-2</t>
  </si>
  <si>
    <t>Last Name</t>
  </si>
  <si>
    <t>First Name</t>
  </si>
  <si>
    <t>Middle Name</t>
  </si>
  <si>
    <t>Bday</t>
  </si>
  <si>
    <t>Lvl</t>
  </si>
  <si>
    <t>Sal/mo</t>
  </si>
  <si>
    <t>Sal/day</t>
  </si>
  <si>
    <t>Email</t>
  </si>
  <si>
    <t>Gender</t>
  </si>
  <si>
    <t>Mobile</t>
  </si>
  <si>
    <t>Title</t>
  </si>
  <si>
    <t>Status</t>
  </si>
  <si>
    <t>3rd Floor Rabago Residences, Bohol St. CAA, Las Piñas City</t>
  </si>
  <si>
    <t>2b Alley 01 Tindalo Street, Feria Road Old Balara Diliman, Quezon City</t>
  </si>
  <si>
    <t># 27 Malipajo Champaca Street Marikina Heights, Marikina City</t>
  </si>
  <si>
    <t>Blk. 31 Lot 2 J.Reyas St., Katarungan Village, Muntinlupa City</t>
  </si>
  <si>
    <t>8990 Hormiga St., Brgy. Valenzuela, Makati City</t>
  </si>
  <si>
    <t>Blk-10 Lt-13 Villa Pangarap, Talon V, Las Piñas City</t>
  </si>
  <si>
    <t>1916 Franco St. Tondo Manila</t>
  </si>
  <si>
    <t>6938 A. Bonifacio St. San Dionisio Parañaque City</t>
  </si>
  <si>
    <t>Blk 4 Lot 12 Lucky Homes Subd. Pulanglupa, Las Piñas City</t>
  </si>
  <si>
    <t>#1850 Phase 3B Blk 5 Area A Camarin Caloocan City 1428</t>
  </si>
  <si>
    <t>2627 Manor Dorm Vito Cruz Taft Avenue</t>
  </si>
  <si>
    <t>144 Sta. Lucia Calumpit Bulacan</t>
  </si>
  <si>
    <t>#219 Road 1 Brgy. Pag-asa Quezon City</t>
  </si>
  <si>
    <t>8778-B Santol Street, San Antonio Village, Makati City</t>
  </si>
  <si>
    <t>M. Calixto Street, Wawang Pulo, Valenzuela City</t>
  </si>
  <si>
    <t>87 Masikap Street, Bagong Barrio Caloocan City</t>
  </si>
  <si>
    <t>54 Marigold St., Rivera Village, Pasay City</t>
  </si>
  <si>
    <t>E51a Gueventille II, Libertad St., Mandaluyon City</t>
  </si>
  <si>
    <t>#8 B San Jose St. Brgy. Batis San Juan City</t>
  </si>
  <si>
    <t>46 G Felipe St. San Francisco Del Monte Quezon City</t>
  </si>
  <si>
    <t>1280 Gana Compound, Balintawak, Quezon City</t>
  </si>
  <si>
    <t>Bldg 13-14 BLPC Road 3 Brgy. Bagong Pagasa, Quezon City</t>
  </si>
  <si>
    <t>56 Celso T. Catambay Street Barangay Mag-Ampon, Tanay, Rizal 1980</t>
  </si>
  <si>
    <t>Block 2 Lot 4 Sapphire St. palmera Homes 2 , Taytay, Rizal</t>
  </si>
  <si>
    <t>#1 National Rd. Country Homes Putatan Munitnlupa City</t>
  </si>
  <si>
    <t>Critical Requirement Summary</t>
  </si>
  <si>
    <t>Same RDO</t>
  </si>
  <si>
    <t>Source</t>
  </si>
  <si>
    <t>IR</t>
  </si>
  <si>
    <t>Rachelle Anne</t>
  </si>
  <si>
    <t>Menguito</t>
  </si>
  <si>
    <t>Alcantara</t>
  </si>
  <si>
    <t>maxsim_rama@yahoo.com</t>
  </si>
  <si>
    <t>Frances</t>
  </si>
  <si>
    <t>Gab Virata</t>
  </si>
  <si>
    <t>Saturnino</t>
  </si>
  <si>
    <t>Lastrilla</t>
  </si>
  <si>
    <t>De Vera</t>
  </si>
  <si>
    <t>saturn220523@gmail.com</t>
  </si>
  <si>
    <t>Jobstreet</t>
  </si>
  <si>
    <t>Alianne</t>
  </si>
  <si>
    <t>Mervin</t>
  </si>
  <si>
    <t>Fernandez</t>
  </si>
  <si>
    <t>Evangelista</t>
  </si>
  <si>
    <t>mervinevangelista32@yahoo.com</t>
  </si>
  <si>
    <t>Denise</t>
  </si>
  <si>
    <t>Christopher</t>
  </si>
  <si>
    <t>Catausan</t>
  </si>
  <si>
    <t>Gaela</t>
  </si>
  <si>
    <t>christophergaela@gmail.com</t>
  </si>
  <si>
    <t>Facebook</t>
  </si>
  <si>
    <t>Quennie</t>
  </si>
  <si>
    <t>Cabarroguis</t>
  </si>
  <si>
    <t>Guevara</t>
  </si>
  <si>
    <t>febielouguevara@yahoo.com</t>
  </si>
  <si>
    <t>Louella Jane</t>
  </si>
  <si>
    <t>Escamillas</t>
  </si>
  <si>
    <t>Penus</t>
  </si>
  <si>
    <t>ljpenus@gmail.com</t>
  </si>
  <si>
    <t>Andrew</t>
  </si>
  <si>
    <t>Angulo</t>
  </si>
  <si>
    <t>Santos</t>
  </si>
  <si>
    <t>andrewsantos3231@gmail.com</t>
  </si>
  <si>
    <t>Jorelle Jave</t>
  </si>
  <si>
    <t>Mores</t>
  </si>
  <si>
    <t>Soriano</t>
  </si>
  <si>
    <t>jjmoressoriano@yahoo.com</t>
  </si>
  <si>
    <t>Excel Asia</t>
  </si>
  <si>
    <t>Au</t>
  </si>
  <si>
    <t>Erick</t>
  </si>
  <si>
    <t>Torres</t>
  </si>
  <si>
    <t>Valiente</t>
  </si>
  <si>
    <t>valiente_erick@yahoo.com</t>
  </si>
  <si>
    <t>Alcantara, Rachelle Anne Menguito</t>
  </si>
  <si>
    <t>De Vera, Saturnino Lastrilla</t>
  </si>
  <si>
    <t>Evangelista, Mervin Fernandez</t>
  </si>
  <si>
    <t>Gaela, Christopher Catausan</t>
  </si>
  <si>
    <t>Penus, Louella Jane Escamillas</t>
  </si>
  <si>
    <t>Santos, Andrew Angulo</t>
  </si>
  <si>
    <t>Soriano, Jorelle Jave Mores</t>
  </si>
  <si>
    <t>Valiente, Erick Torres</t>
  </si>
  <si>
    <t>Final Interviewer</t>
  </si>
  <si>
    <t>Non-critical Requirement Summary</t>
  </si>
  <si>
    <t>Email Lvl</t>
  </si>
  <si>
    <t>n</t>
  </si>
  <si>
    <t>07-2452079-8</t>
  </si>
  <si>
    <t>268-740-645</t>
  </si>
  <si>
    <t>s</t>
  </si>
  <si>
    <t>c</t>
  </si>
  <si>
    <t>Melanio</t>
  </si>
  <si>
    <t>Primavera</t>
  </si>
  <si>
    <t>Aspi Jr.</t>
  </si>
  <si>
    <t>Eileen</t>
  </si>
  <si>
    <t>Zamudio</t>
  </si>
  <si>
    <t>Basco</t>
  </si>
  <si>
    <t>Jomel</t>
  </si>
  <si>
    <t>Cortez</t>
  </si>
  <si>
    <t>Carandang</t>
  </si>
  <si>
    <t>Henry</t>
  </si>
  <si>
    <t>Sagun</t>
  </si>
  <si>
    <t>Cordova Jr</t>
  </si>
  <si>
    <t>Ramon Christopher</t>
  </si>
  <si>
    <t>Amago</t>
  </si>
  <si>
    <t>Nable</t>
  </si>
  <si>
    <t>Mary Joy</t>
  </si>
  <si>
    <t>Guerrero</t>
  </si>
  <si>
    <t>Paz</t>
  </si>
  <si>
    <t>Rochelle Ann</t>
  </si>
  <si>
    <t>Celeste</t>
  </si>
  <si>
    <t>Riteza</t>
  </si>
  <si>
    <t>Bianca</t>
  </si>
  <si>
    <t>Bolaños</t>
  </si>
  <si>
    <t>Au for Quennie</t>
  </si>
  <si>
    <t>Richard Dean</t>
  </si>
  <si>
    <t>Olmida</t>
  </si>
  <si>
    <t>Myra</t>
  </si>
  <si>
    <t>Plaza</t>
  </si>
  <si>
    <t>Timajo</t>
  </si>
  <si>
    <t>Marienne</t>
  </si>
  <si>
    <t>Pandaan</t>
  </si>
  <si>
    <t>Valencia</t>
  </si>
  <si>
    <t>Phoebus Apollo</t>
  </si>
  <si>
    <t>Manuel</t>
  </si>
  <si>
    <t>Ycasas</t>
  </si>
  <si>
    <t>ERP</t>
  </si>
  <si>
    <t>Abi</t>
  </si>
  <si>
    <t>PG Vergara</t>
  </si>
  <si>
    <t>Earl</t>
  </si>
  <si>
    <t>Nazario</t>
  </si>
  <si>
    <t>Rogelio</t>
  </si>
  <si>
    <t>Kriska Pineda</t>
  </si>
  <si>
    <t>Trans BIR</t>
  </si>
  <si>
    <t>TRANSMITTAL FORM ON TRANSFER TO RDO 050</t>
  </si>
  <si>
    <t>From:</t>
  </si>
  <si>
    <r>
      <t xml:space="preserve">TIN:  </t>
    </r>
    <r>
      <rPr>
        <sz val="10"/>
        <color indexed="59"/>
        <rFont val="Arial"/>
        <family val="2"/>
      </rPr>
      <t>007-175-193-000</t>
    </r>
  </si>
  <si>
    <r>
      <t xml:space="preserve">NAME OF TAXPAYER:  </t>
    </r>
    <r>
      <rPr>
        <sz val="10"/>
        <color indexed="59"/>
        <rFont val="Arial"/>
        <family val="2"/>
      </rPr>
      <t>PSG Global Solutions, Inc.</t>
    </r>
  </si>
  <si>
    <r>
      <t xml:space="preserve">ADDRESS: </t>
    </r>
    <r>
      <rPr>
        <sz val="10"/>
        <color indexed="59"/>
        <rFont val="Arial"/>
        <family val="2"/>
      </rPr>
      <t xml:space="preserve"> 19th Flr. Multinational Bank Corporation Building, 6508 Ayala Ave., Makati City</t>
    </r>
  </si>
  <si>
    <t>To:</t>
  </si>
  <si>
    <t>The Revenue District Officer</t>
  </si>
  <si>
    <r>
      <t xml:space="preserve">RDO No.: </t>
    </r>
    <r>
      <rPr>
        <sz val="10"/>
        <color indexed="59"/>
        <rFont val="Arial"/>
        <family val="2"/>
      </rPr>
      <t xml:space="preserve"> 050</t>
    </r>
  </si>
  <si>
    <t>Date:</t>
  </si>
  <si>
    <t>Sir/Madam:</t>
  </si>
  <si>
    <t xml:space="preserve">Listed below are the names and other pertinent data of our employees for the transfer of their RDO number under PSG Global Solutions (RDO 050). </t>
  </si>
  <si>
    <t>List of Employees</t>
  </si>
  <si>
    <t>EMPLOYEES</t>
  </si>
  <si>
    <t>FOR BIR USE ONLY</t>
  </si>
  <si>
    <t>For Female only</t>
  </si>
  <si>
    <t>SUBMIT (1905)</t>
  </si>
  <si>
    <t>SUBMIT (2305)</t>
  </si>
  <si>
    <t>BIRTH</t>
  </si>
  <si>
    <t>OLD TAX CODE</t>
  </si>
  <si>
    <t>NEW TAX CODE</t>
  </si>
  <si>
    <t>REMARKS</t>
  </si>
  <si>
    <t>EMPLOYEE NUMBER</t>
  </si>
  <si>
    <t>NAME</t>
  </si>
  <si>
    <t>(If Married)Mothers</t>
  </si>
  <si>
    <t>REG FORM</t>
  </si>
  <si>
    <t>CERTIFICATE</t>
  </si>
  <si>
    <t>LAST</t>
  </si>
  <si>
    <t>FIRST</t>
  </si>
  <si>
    <t>MIDDLE</t>
  </si>
  <si>
    <t>MAIDEN NAME</t>
  </si>
  <si>
    <t>2 copies</t>
  </si>
  <si>
    <t>Zero</t>
  </si>
  <si>
    <t>Single</t>
  </si>
  <si>
    <t>TOTAL=</t>
  </si>
  <si>
    <t>Prepared By:</t>
  </si>
  <si>
    <t>07-025546742-3</t>
  </si>
  <si>
    <t>276-307-097</t>
  </si>
  <si>
    <t>34-0004170-5</t>
  </si>
  <si>
    <t>Employee Information Set-up</t>
  </si>
  <si>
    <t>EID</t>
  </si>
  <si>
    <t>LASTNAME</t>
  </si>
  <si>
    <t>FIRSTNAME</t>
  </si>
  <si>
    <t>MIDDLE NAME</t>
  </si>
  <si>
    <t>DATE_HIRED</t>
  </si>
  <si>
    <t>POSITION CODE</t>
  </si>
  <si>
    <t>Level of Employee</t>
  </si>
  <si>
    <t>MONTHLY RATE</t>
  </si>
  <si>
    <t>Daily Rate</t>
  </si>
  <si>
    <t>Tax EXEMPTION</t>
  </si>
  <si>
    <t>TIN NO.</t>
  </si>
  <si>
    <t>SSS NO.</t>
  </si>
  <si>
    <t>BIRTH DATE</t>
  </si>
  <si>
    <t xml:space="preserve">Payroll Template </t>
  </si>
  <si>
    <t>Employee's Recurring Earnings</t>
  </si>
  <si>
    <t>Rice Allow (NT)</t>
  </si>
  <si>
    <t>Meals Allow (NT)</t>
  </si>
  <si>
    <t>Laundry Allow (NT)</t>
  </si>
  <si>
    <t>Transportation Allowance (NT)</t>
  </si>
  <si>
    <t>Perfect Attendance (T)</t>
  </si>
  <si>
    <t>Clothing</t>
  </si>
  <si>
    <t>Medical</t>
  </si>
  <si>
    <t>Payroll</t>
  </si>
  <si>
    <t>Empno</t>
  </si>
  <si>
    <t>Old Position Code</t>
  </si>
  <si>
    <t>New Position Code</t>
  </si>
  <si>
    <t>Effectivity Date</t>
  </si>
  <si>
    <t>Earning Code</t>
  </si>
  <si>
    <t>Old Rate</t>
  </si>
  <si>
    <t>New Rate</t>
  </si>
  <si>
    <t>Nature</t>
  </si>
  <si>
    <t>33-7312963-1</t>
  </si>
  <si>
    <t>223-456-097</t>
  </si>
  <si>
    <t>01-050185249-5</t>
  </si>
  <si>
    <t>111 Sunflower St. Wonderland Townhomes Mandaluyong City</t>
  </si>
  <si>
    <t>COMPLETE</t>
  </si>
  <si>
    <t>SANTIAGO</t>
  </si>
  <si>
    <t>ARIEL L. RAMIREZ JR.</t>
  </si>
  <si>
    <t>PSG Email</t>
  </si>
  <si>
    <t>ralcantara@psgglobalsolutions.com</t>
  </si>
  <si>
    <t>sdevera@psgglobalsolutions.com</t>
  </si>
  <si>
    <t>mevangelista@psgglobalsolutions.com</t>
  </si>
  <si>
    <t>cgaela@psgglobalsolutions.com</t>
  </si>
  <si>
    <t>fguevara@psgglobalsolutions.com</t>
  </si>
  <si>
    <t>lpenus@psgglobalsolutions.com</t>
  </si>
  <si>
    <t>asantos@psgglobalsolutions.com</t>
  </si>
  <si>
    <t>jjsoriano@psgglobalsolutions.com</t>
  </si>
  <si>
    <t>evaliente@psgglobalsolutions.com</t>
  </si>
  <si>
    <t>maspi@psgglobalsolutions.com</t>
  </si>
  <si>
    <t>ebasco@psgglobalsolutions.com</t>
  </si>
  <si>
    <t>jcarandang@psgglobalsolutions.com</t>
  </si>
  <si>
    <t>hcordova@psgglobalsolutions.com</t>
  </si>
  <si>
    <t>rnable@psgglobalsolutions.com</t>
  </si>
  <si>
    <t>mpaz@psgglobalsolutions.com</t>
  </si>
  <si>
    <t>rriteza@psgglobalsolutions.com</t>
  </si>
  <si>
    <t>bsantos@psgglobalsolutions.com</t>
  </si>
  <si>
    <t>rdsantos@psgglobalsolutions.com</t>
  </si>
  <si>
    <t>mtimajo@psgglobalsolutions.com</t>
  </si>
  <si>
    <t>mvalencia@psgglobalsolutions.com</t>
  </si>
  <si>
    <t>pycasas@psgglobalsolutions.com</t>
  </si>
  <si>
    <t>sagapito@psgglobalsolutions.com</t>
  </si>
  <si>
    <t>mandaya@psgglobalsolutions.com</t>
  </si>
  <si>
    <t>abonifacio@psgglobalsolutions.com</t>
  </si>
  <si>
    <t>rfcruz@psgglobalsolutions.com</t>
  </si>
  <si>
    <t>ldelosreyes@psgglobalsolutions.com</t>
  </si>
  <si>
    <t>kdevera@psgglobalsolutions.com</t>
  </si>
  <si>
    <t>vdoquenia@psgglobalsolutions.com</t>
  </si>
  <si>
    <t>jfabroa@psgglobalsolutions.com</t>
  </si>
  <si>
    <t>rmartinez@psgglobalsolutions.com</t>
  </si>
  <si>
    <t>psarte@psgglobalsolutions.com</t>
  </si>
  <si>
    <t>asumait@psgglobalsolutions.com</t>
  </si>
  <si>
    <t>ctarroza@psgglobalsolutions.com</t>
  </si>
  <si>
    <t>vregalado@psgglobalsolutions.com</t>
  </si>
  <si>
    <t>canora@psgglobalsolutions.com</t>
  </si>
  <si>
    <t>blibutan@psgglobalsolutions.com</t>
  </si>
  <si>
    <t>msantiago@psgglobalsolutions.com</t>
  </si>
  <si>
    <t>34-1642444-2</t>
  </si>
  <si>
    <t>02-3128704-5</t>
  </si>
  <si>
    <t>Civil Status</t>
  </si>
  <si>
    <t>Guevara, Febie Lou Cabarroguis</t>
  </si>
  <si>
    <t>Rice All</t>
  </si>
  <si>
    <t>Att Bon</t>
  </si>
  <si>
    <t>410-731-937</t>
  </si>
  <si>
    <t>01-051203934-6</t>
  </si>
  <si>
    <t>34-1912873-2</t>
  </si>
  <si>
    <t>05-0798329-3</t>
  </si>
  <si>
    <t>Trainer</t>
  </si>
  <si>
    <t>Dan</t>
  </si>
  <si>
    <t>Aivee</t>
  </si>
  <si>
    <t>Princess</t>
  </si>
  <si>
    <t>Caz</t>
  </si>
  <si>
    <t>784 S. dela Cuesta St. Brgy Muzon Taytay Rizal</t>
  </si>
  <si>
    <t>Velasquez St. Zapanta Compound Bangiad, Taytay Rizal</t>
  </si>
  <si>
    <t>Permanent Mail Add</t>
  </si>
  <si>
    <t>Res Mail Add</t>
  </si>
  <si>
    <t>01-050854388-9</t>
  </si>
  <si>
    <t>34-1789470-9</t>
  </si>
  <si>
    <t>Febie Lou</t>
  </si>
  <si>
    <t>Complete</t>
  </si>
  <si>
    <t>Incomplete</t>
  </si>
  <si>
    <t xml:space="preserve"> </t>
  </si>
  <si>
    <t>Wave</t>
  </si>
  <si>
    <t>Crediting Date</t>
  </si>
  <si>
    <t>Start of Cutoff</t>
  </si>
  <si>
    <t>End of Cutoff</t>
  </si>
  <si>
    <t>Meal All</t>
  </si>
  <si>
    <t>Laun All</t>
  </si>
  <si>
    <t>1210-2346-3065</t>
  </si>
  <si>
    <t>#11C Sociego Street Tinajeros Malabon City</t>
  </si>
  <si>
    <t>2305 (for processing) 2/3/2015,</t>
  </si>
  <si>
    <t>Married</t>
  </si>
  <si>
    <t>311-899-047</t>
  </si>
  <si>
    <t>ATIENZA</t>
  </si>
  <si>
    <t>Nelia</t>
  </si>
  <si>
    <t>312-119-181</t>
  </si>
  <si>
    <t>LOMIWES</t>
  </si>
  <si>
    <t>Karen</t>
  </si>
  <si>
    <t>Lambayong</t>
  </si>
  <si>
    <t>266-464-532</t>
  </si>
  <si>
    <t>Francis Ian</t>
  </si>
  <si>
    <t>Mediona</t>
  </si>
  <si>
    <t>FABROA</t>
  </si>
  <si>
    <t>Jamee Marie</t>
  </si>
  <si>
    <t>Calaguian</t>
  </si>
  <si>
    <t>311-709-534</t>
  </si>
  <si>
    <t>DE GUCENA</t>
  </si>
  <si>
    <t xml:space="preserve">Richard Dean </t>
  </si>
  <si>
    <t>Baluyot</t>
  </si>
  <si>
    <t>Five (5) employees</t>
  </si>
  <si>
    <t>erogelio@psgglobalsolutions.com</t>
  </si>
  <si>
    <t>Ready BIR</t>
  </si>
  <si>
    <t>1210-3110-9495</t>
  </si>
  <si>
    <t>Php 20,000</t>
  </si>
  <si>
    <t>Php 23,500</t>
  </si>
  <si>
    <t>Percentage</t>
  </si>
  <si>
    <t>Critical count</t>
  </si>
  <si>
    <t>2 = Tin Enroll</t>
  </si>
  <si>
    <t>Total docs</t>
  </si>
  <si>
    <t>1211-3615-1086</t>
  </si>
  <si>
    <t>309-136-188</t>
  </si>
  <si>
    <t>19-089193495-9</t>
  </si>
  <si>
    <t>33-5550176-9</t>
  </si>
  <si>
    <t>1090-0303-6894</t>
  </si>
  <si>
    <t>362 Dr. Sixto Antonio Ave. Caniogan Pasig City</t>
  </si>
  <si>
    <t>Clark</t>
  </si>
  <si>
    <t>Mary Rose</t>
  </si>
  <si>
    <t>AÑORA</t>
  </si>
  <si>
    <t>Joanna Marie</t>
  </si>
  <si>
    <t>Guitones</t>
  </si>
  <si>
    <t>Bujawe</t>
  </si>
  <si>
    <t>Andaya</t>
  </si>
  <si>
    <t>Rafha ralf</t>
  </si>
  <si>
    <t>Cruz</t>
  </si>
  <si>
    <t>Fabroa</t>
  </si>
  <si>
    <t>Paul Vincent</t>
  </si>
  <si>
    <t>Sarte</t>
  </si>
  <si>
    <t>Celles</t>
  </si>
  <si>
    <t>Regalado</t>
  </si>
  <si>
    <t>Voltaire John</t>
  </si>
  <si>
    <t>Date</t>
  </si>
  <si>
    <t>Christel Chloe</t>
  </si>
  <si>
    <t>Godinez</t>
  </si>
  <si>
    <t>Belleza</t>
  </si>
  <si>
    <t>yakmu_ciao@yahoo.com</t>
  </si>
  <si>
    <t>Recruitment Coordinator</t>
  </si>
  <si>
    <t>Ivy</t>
  </si>
  <si>
    <t>Labtic</t>
  </si>
  <si>
    <t>Cabalquinto</t>
  </si>
  <si>
    <t>icabal26@gmail.com</t>
  </si>
  <si>
    <t>Vivelyn</t>
  </si>
  <si>
    <t>Mortera</t>
  </si>
  <si>
    <t>Carolino</t>
  </si>
  <si>
    <t>shalani_1625@yahoo.com</t>
  </si>
  <si>
    <t>Camille</t>
  </si>
  <si>
    <t>Lucay</t>
  </si>
  <si>
    <t>Chen</t>
  </si>
  <si>
    <t>cche0331@yahoo.com</t>
  </si>
  <si>
    <t>Jean Ann</t>
  </si>
  <si>
    <t>De Leon</t>
  </si>
  <si>
    <t>Dy</t>
  </si>
  <si>
    <t>jeananndy@gmail.com</t>
  </si>
  <si>
    <t>Stephanie Angela</t>
  </si>
  <si>
    <t>Singson</t>
  </si>
  <si>
    <t>Francisco</t>
  </si>
  <si>
    <t>sas_francisco@yahoo.com</t>
  </si>
  <si>
    <t>Walk-in</t>
  </si>
  <si>
    <t>Apollo</t>
  </si>
  <si>
    <t>Justine Ann</t>
  </si>
  <si>
    <t>Agorilla</t>
  </si>
  <si>
    <t>Salazar</t>
  </si>
  <si>
    <t>justineann.salazar@yahoo.com</t>
  </si>
  <si>
    <t>Rosita Silvina</t>
  </si>
  <si>
    <t>Gaffud</t>
  </si>
  <si>
    <t>Tomines</t>
  </si>
  <si>
    <t>silvinatomines_27@yahoo.com</t>
  </si>
  <si>
    <t>Jennifer</t>
  </si>
  <si>
    <t>Robles</t>
  </si>
  <si>
    <t>Cancilao</t>
  </si>
  <si>
    <t>cancilaojennifer@yahoo.com</t>
  </si>
  <si>
    <t>Recruiter- Consumer Sales</t>
  </si>
  <si>
    <t>Reiaa</t>
  </si>
  <si>
    <t>Tom Rinel</t>
  </si>
  <si>
    <t>Lumaban</t>
  </si>
  <si>
    <t>De Castro</t>
  </si>
  <si>
    <t>tom.decastro14@yahoo.com</t>
  </si>
  <si>
    <t>Michael Martin</t>
  </si>
  <si>
    <t>Lagumbay</t>
  </si>
  <si>
    <t>Despabiladeras</t>
  </si>
  <si>
    <t>mike_racs@hotmail.com</t>
  </si>
  <si>
    <t>Jeahana</t>
  </si>
  <si>
    <t>Durado</t>
  </si>
  <si>
    <t>Diocolano</t>
  </si>
  <si>
    <t>jeahanadiocolano@yahoo.com</t>
  </si>
  <si>
    <t>Aaron</t>
  </si>
  <si>
    <t>Dela Cruz</t>
  </si>
  <si>
    <t>Gumabao</t>
  </si>
  <si>
    <t>aaron.gumabao@yahoo.com</t>
  </si>
  <si>
    <t>Ma. Lauren</t>
  </si>
  <si>
    <t>Calalay</t>
  </si>
  <si>
    <t>Libao</t>
  </si>
  <si>
    <t>laurenlibao@yahoo.com</t>
  </si>
  <si>
    <t>Steven John Nichole</t>
  </si>
  <si>
    <t>Bautista</t>
  </si>
  <si>
    <t>Lino</t>
  </si>
  <si>
    <t>lino.steven@yahoo.com</t>
  </si>
  <si>
    <t>Edghelyn Stephanie</t>
  </si>
  <si>
    <t>Retrita</t>
  </si>
  <si>
    <t>Manalo</t>
  </si>
  <si>
    <t>stephan1e@live.com</t>
  </si>
  <si>
    <t>Joshua Allen</t>
  </si>
  <si>
    <t>Bernados</t>
  </si>
  <si>
    <t>Mendoza</t>
  </si>
  <si>
    <t>joshua_boogoom@yahoo.com</t>
  </si>
  <si>
    <t>Darlene</t>
  </si>
  <si>
    <t>Asis</t>
  </si>
  <si>
    <t>Molina</t>
  </si>
  <si>
    <t>enelradnilom888@gmail.com</t>
  </si>
  <si>
    <t>Alfie</t>
  </si>
  <si>
    <t>Discotido</t>
  </si>
  <si>
    <t>Nicolas</t>
  </si>
  <si>
    <t>nicolas.alfie@yahoo.com</t>
  </si>
  <si>
    <t>Kristine Bernadette</t>
  </si>
  <si>
    <t>Palma</t>
  </si>
  <si>
    <t>Nitura</t>
  </si>
  <si>
    <t>kristinepalmanitura@yahoo.com</t>
  </si>
  <si>
    <t>9262790662/9066840586</t>
  </si>
  <si>
    <t>Quennie May</t>
  </si>
  <si>
    <t>Valderama</t>
  </si>
  <si>
    <t>Pastrana</t>
  </si>
  <si>
    <t>kwiniemay@gmail.com</t>
  </si>
  <si>
    <t>Valerie Joyce</t>
  </si>
  <si>
    <t>Peralta</t>
  </si>
  <si>
    <t>Ponce</t>
  </si>
  <si>
    <t>vponce42@yahoo.com</t>
  </si>
  <si>
    <t>Francis John</t>
  </si>
  <si>
    <t>Sadaya</t>
  </si>
  <si>
    <t>francissadaya@gmail.com</t>
  </si>
  <si>
    <t>Pattung</t>
  </si>
  <si>
    <t>Pates</t>
  </si>
  <si>
    <t>libra_1271@yahoo.com</t>
  </si>
  <si>
    <t>Jerome Nicko</t>
  </si>
  <si>
    <t>Merilles</t>
  </si>
  <si>
    <t>Tuliao</t>
  </si>
  <si>
    <t>jrmt0290@gmail.com</t>
  </si>
  <si>
    <t>Mary Jane</t>
  </si>
  <si>
    <t>Eugenio</t>
  </si>
  <si>
    <t>Tupalar</t>
  </si>
  <si>
    <t>jaynetupalar@yahoo.com</t>
  </si>
  <si>
    <t>Jasmin</t>
  </si>
  <si>
    <t>Aludo</t>
  </si>
  <si>
    <t>Viente</t>
  </si>
  <si>
    <t>jasminviente@gmail.com</t>
  </si>
  <si>
    <t>Ben Segovia</t>
  </si>
  <si>
    <t>Belleza, Christel Chloe Godinez</t>
  </si>
  <si>
    <t>Cabalquinto, Ivy Labtic</t>
  </si>
  <si>
    <t>Carolino, Vivelyn Mortera</t>
  </si>
  <si>
    <t>Chen, Camille Lucay</t>
  </si>
  <si>
    <t>Dy, Jean Ann De Leon</t>
  </si>
  <si>
    <t>Francisco, Stephanie Angela Singson</t>
  </si>
  <si>
    <t>Salazar, Justine Ann Agorilla</t>
  </si>
  <si>
    <t>Tomines, Rosita Silvina Gaffud</t>
  </si>
  <si>
    <t>Cancilao, Jennifer Robles</t>
  </si>
  <si>
    <t>De Castro, Tom Rinel Lumaban</t>
  </si>
  <si>
    <t>Despabiladeras, Michael Martin Lagumbay</t>
  </si>
  <si>
    <t>Diocolano, Jeahana Durado</t>
  </si>
  <si>
    <t>Gumabao, Aaron Dela Cruz</t>
  </si>
  <si>
    <t>Libao, Ma. Lauren Calalay</t>
  </si>
  <si>
    <t>Lino, Steven John Nichole Bautista</t>
  </si>
  <si>
    <t>Manalo, Edghelyn Stephanie Retrita</t>
  </si>
  <si>
    <t>Mendoza, Joshua Allen Bernados</t>
  </si>
  <si>
    <t>Molina, Darlene Asis</t>
  </si>
  <si>
    <t>Nicolas, Alfie Discotido</t>
  </si>
  <si>
    <t>Nitura, Kristine Bernadette Palma</t>
  </si>
  <si>
    <t>Pastrana, Quennie May Valderama</t>
  </si>
  <si>
    <t>Ponce, Valerie Joyce Peralta</t>
  </si>
  <si>
    <t>Sadaya, Francis John Dela Cruz</t>
  </si>
  <si>
    <t>Pates, Manuel Pattung</t>
  </si>
  <si>
    <t>Tuliao, Jerome Nicko Merilles</t>
  </si>
  <si>
    <t>Tupalar, Mary Jane Eugenio</t>
  </si>
  <si>
    <t>Viente, Jasmin Aludo</t>
  </si>
  <si>
    <t>1470-0014-4966</t>
  </si>
  <si>
    <t>01-050125479-2</t>
  </si>
  <si>
    <t>309-658-375</t>
  </si>
  <si>
    <t>Deds</t>
  </si>
  <si>
    <t>(*_*)</t>
  </si>
  <si>
    <t>BASCO</t>
  </si>
  <si>
    <t>Zalmudio</t>
  </si>
  <si>
    <t>YCASAS</t>
  </si>
  <si>
    <t>418-157-267</t>
  </si>
  <si>
    <t>33-8807020-9</t>
  </si>
  <si>
    <t>1080-0216-6970</t>
  </si>
  <si>
    <t>Lot 1 Block 8 Phase 1D San Lorenzo South Subdivision, Sta. Rosa, Laguna</t>
  </si>
  <si>
    <t>253-454-968</t>
  </si>
  <si>
    <t>34-0700360-7</t>
  </si>
  <si>
    <t>1210-5504-3063</t>
  </si>
  <si>
    <t>02-050501655-7</t>
  </si>
  <si>
    <t>Blk 53 Lot 5 Soldiers Hills Vill. Muntinlupa City</t>
  </si>
  <si>
    <t>29 Kaligtasan St. Don Antonio Hts. Diliman Quezon City</t>
  </si>
  <si>
    <t>34-1153237-1</t>
  </si>
  <si>
    <t>1211-3717-4809</t>
  </si>
  <si>
    <t>03-050485100-8</t>
  </si>
  <si>
    <t>264-937-312</t>
  </si>
  <si>
    <t>N/A (Enrollment)</t>
  </si>
  <si>
    <t>DE VERA</t>
  </si>
  <si>
    <t>1902 (2)</t>
  </si>
  <si>
    <t>For TIN Enrollment</t>
  </si>
  <si>
    <t>EVANGELISTA</t>
  </si>
  <si>
    <t>ANDAYA</t>
  </si>
  <si>
    <t>Lavetoria</t>
  </si>
  <si>
    <t>Galupo</t>
  </si>
  <si>
    <t>911-246-369</t>
  </si>
  <si>
    <t>ESCALADA</t>
  </si>
  <si>
    <t>Michelle Joy</t>
  </si>
  <si>
    <t>Married w/ 2 dependents</t>
  </si>
  <si>
    <t>Married w/ 3 dependents</t>
  </si>
  <si>
    <t>Single w/ 2 dependents</t>
  </si>
  <si>
    <t>Gimao</t>
  </si>
  <si>
    <t>Gilbert</t>
  </si>
  <si>
    <t>Nullan</t>
  </si>
  <si>
    <t>Arbuis</t>
  </si>
  <si>
    <t>gilbertarbuis@yahoo.com</t>
  </si>
  <si>
    <t>Systems Administrator</t>
  </si>
  <si>
    <t>BS</t>
  </si>
  <si>
    <t>BB</t>
  </si>
  <si>
    <t>Arbuis, Gilbert Nullan</t>
  </si>
  <si>
    <t>423-755-827</t>
  </si>
  <si>
    <t>#24B Eugenio Compound Sanville Subdivision Culiat Tandang Sora Quezon City</t>
  </si>
  <si>
    <t>34-3322452-8</t>
  </si>
  <si>
    <t>1211-2836-0226</t>
  </si>
  <si>
    <t>03-050959790-8</t>
  </si>
  <si>
    <t>1210-6228-7937</t>
  </si>
  <si>
    <t>SANTOS</t>
  </si>
  <si>
    <t>Married w/ 1 dependents</t>
  </si>
  <si>
    <t>Eight (8) employees</t>
  </si>
  <si>
    <t>313-984-696</t>
  </si>
  <si>
    <t>Php 50,000</t>
  </si>
  <si>
    <t>Php 1,000</t>
  </si>
  <si>
    <t>Trans All</t>
  </si>
  <si>
    <t>Php 2,000</t>
  </si>
  <si>
    <t>Vivo</t>
  </si>
  <si>
    <t>cbelleza@psgglobalsolutions.com</t>
  </si>
  <si>
    <t>icabalquinto@psgglobalsolutions.com</t>
  </si>
  <si>
    <t>vcarolino@psgglobalsolutions.com</t>
  </si>
  <si>
    <t>cchen@psgglobalsolutions.com</t>
  </si>
  <si>
    <t>jdy@psgglobalsolutions.com</t>
  </si>
  <si>
    <t>sfrancisco@psgglobalsolutions.com</t>
  </si>
  <si>
    <t>jasalazar@psgglobalsolutions.com</t>
  </si>
  <si>
    <t>rtomines@psgglobalsolutions.com</t>
  </si>
  <si>
    <t>jcancilao@psgglobalsolutions.com</t>
  </si>
  <si>
    <t>tdecastro@psgglobalsolutions.com</t>
  </si>
  <si>
    <t>mdespabiladeras@psgglobalsolutions.com</t>
  </si>
  <si>
    <t>jdiocolano@psgglobalsolutions.com</t>
  </si>
  <si>
    <t>agumabao@psgglobalsolutions.com</t>
  </si>
  <si>
    <t>mlibao@psgglobalsolutions.com</t>
  </si>
  <si>
    <t>slino@psgglobalsolutions.com</t>
  </si>
  <si>
    <t>emanalo@psgglobalsolutions.com</t>
  </si>
  <si>
    <t>jmendoza@psgglobalsolutions.com</t>
  </si>
  <si>
    <t>dmolina@psgglobalsolutions.com</t>
  </si>
  <si>
    <t>anicolas@psgglobalsolutions.com</t>
  </si>
  <si>
    <t>knitura@psgglobalsolutions.com</t>
  </si>
  <si>
    <t>qpastrana@psgglobalsolutions.com</t>
  </si>
  <si>
    <t>vponce@psgglobalsolutions.com</t>
  </si>
  <si>
    <t>fsadaya@psgglobalsolutions.com</t>
  </si>
  <si>
    <t>mpates@psgglobalsolutions.com</t>
  </si>
  <si>
    <t>jtuliao@psgglobalsolutions.com</t>
  </si>
  <si>
    <t>mtupalar@psgglobalsolutions.com</t>
  </si>
  <si>
    <t>jviente@psgglobalsolutions.com</t>
  </si>
  <si>
    <t>garbuis@psgglobalsolutions.com</t>
  </si>
  <si>
    <t>Level 0</t>
  </si>
  <si>
    <t>Blk 41 Lot 47A Revelation St. CHRV Langkaan II, Dasmariñas City, Cavite</t>
  </si>
  <si>
    <t>34-3727624-2</t>
  </si>
  <si>
    <t>1020-0108-7641</t>
  </si>
  <si>
    <t>1746 Rd Lot. 17 Paco Manila</t>
  </si>
  <si>
    <t>#55 Mabini St. Sabang Baliwag Bulacan</t>
  </si>
  <si>
    <t>34-2485387-2</t>
  </si>
  <si>
    <t>407-464-405</t>
  </si>
  <si>
    <t>02-050772395-1</t>
  </si>
  <si>
    <t>#79 Intan St. Brgy. 155 Bagong Barrio Caloocan City</t>
  </si>
  <si>
    <t>34-2236630-3</t>
  </si>
  <si>
    <t>03-050851075-2</t>
  </si>
  <si>
    <t>31 M. Gonzaga St. Mandaluyong City</t>
  </si>
  <si>
    <t>1210-8815-3607</t>
  </si>
  <si>
    <t>34-2852886-0</t>
  </si>
  <si>
    <t>01-051820194-3</t>
  </si>
  <si>
    <t>412-693-215</t>
  </si>
  <si>
    <t>168 Brgy Inocencio Trece Martires City Cavite</t>
  </si>
  <si>
    <t>34-1063844-1</t>
  </si>
  <si>
    <t>260-034-342</t>
  </si>
  <si>
    <t>01-025208657-4</t>
  </si>
  <si>
    <t>1010-0144-9678</t>
  </si>
  <si>
    <t>Lot 28 Blk 13 Montalban Heights San Jose Rodriguez Rizal</t>
  </si>
  <si>
    <t>950-249-509</t>
  </si>
  <si>
    <t>01-025388275-7</t>
  </si>
  <si>
    <t>22 Galatian St. Phase 4 Jordan Plains Subd. Novaliches Quezon City</t>
  </si>
  <si>
    <t>33-8832542-0</t>
  </si>
  <si>
    <t>300-970-920</t>
  </si>
  <si>
    <t>288-923-334</t>
  </si>
  <si>
    <t>Unit 6 Purok 7 Lower Nawasa Comm. Quezon City</t>
  </si>
  <si>
    <t>34-1751157-4</t>
  </si>
  <si>
    <t>03050782865-1</t>
  </si>
  <si>
    <t>411-117-177</t>
  </si>
  <si>
    <t>Lot 9 Blk 28 Opal St. Casa Filipina 4th Estate,  Parañaque City</t>
  </si>
  <si>
    <t>33-8995491-3</t>
  </si>
  <si>
    <t>01-025107838-1</t>
  </si>
  <si>
    <t>413-993-463</t>
  </si>
  <si>
    <t>34-2905407-4</t>
  </si>
  <si>
    <t>01-025362889-3</t>
  </si>
  <si>
    <t>Receipt</t>
  </si>
  <si>
    <t>For TIN Claiming.</t>
  </si>
  <si>
    <t>SARTE</t>
  </si>
  <si>
    <t>Salonga</t>
  </si>
  <si>
    <t>N/A (TIN Claiming)</t>
  </si>
  <si>
    <t>PONCE</t>
  </si>
  <si>
    <t>TUPALAR</t>
  </si>
  <si>
    <t xml:space="preserve">Mary Jane </t>
  </si>
  <si>
    <t>Single w/ 1 dependent</t>
  </si>
  <si>
    <t>MOLINA</t>
  </si>
  <si>
    <t>TULIAO</t>
  </si>
  <si>
    <t>GUMABAO</t>
  </si>
  <si>
    <t>w/ Current Business</t>
  </si>
  <si>
    <t>34-2845025-5</t>
  </si>
  <si>
    <t>B10 L4 Queen Pilar St. Queens Row East Molino Bacoor Cavite</t>
  </si>
  <si>
    <t>01-051473711-3</t>
  </si>
  <si>
    <t>1210-2908-1979</t>
  </si>
  <si>
    <t>1211-1401-0222</t>
  </si>
  <si>
    <t>1010-0309-2271</t>
  </si>
  <si>
    <t>34-4113858-3</t>
  </si>
  <si>
    <t>3342-D harvard St. Brgy Pinagkaisahan Makati City</t>
  </si>
  <si>
    <t>#33 Pardiñas St. Purok 13 Zone 6 Signal Village Taguig City</t>
  </si>
  <si>
    <t>1210-6273-9785</t>
  </si>
  <si>
    <t>01-051444476-0</t>
  </si>
  <si>
    <t>1211-3720-0587</t>
  </si>
  <si>
    <t>239-672-899</t>
  </si>
  <si>
    <t>NICOLAS</t>
  </si>
  <si>
    <t>MANALO</t>
  </si>
  <si>
    <t>231-623-339</t>
  </si>
  <si>
    <t>DESPABILADERAS</t>
  </si>
  <si>
    <t>315-382-803</t>
  </si>
  <si>
    <t>VIENTE</t>
  </si>
  <si>
    <t>Eleven (11) employees</t>
  </si>
  <si>
    <t>7520 Santillan St. Pio Del Pilar, Makati City</t>
  </si>
  <si>
    <t>1210-6494-1877</t>
  </si>
  <si>
    <t>Kristine</t>
  </si>
  <si>
    <t>Sinday</t>
  </si>
  <si>
    <t>kristine_sinday@yahoo.com</t>
  </si>
  <si>
    <t>Ronel</t>
  </si>
  <si>
    <t>Rivero</t>
  </si>
  <si>
    <t>Abuid</t>
  </si>
  <si>
    <t>ronelabuid@gmail.com</t>
  </si>
  <si>
    <t>PJ Vergara</t>
  </si>
  <si>
    <t>Wilmard</t>
  </si>
  <si>
    <t>Bragas</t>
  </si>
  <si>
    <t>Ng</t>
  </si>
  <si>
    <t>wilmard.ng01@gmail.com</t>
  </si>
  <si>
    <t>Babylyne</t>
  </si>
  <si>
    <t>Ante</t>
  </si>
  <si>
    <t>Lorica</t>
  </si>
  <si>
    <t>babylynelorica@ymail.com</t>
  </si>
  <si>
    <t>Montealegre</t>
  </si>
  <si>
    <t>Padilla</t>
  </si>
  <si>
    <t>Emailme0881@gmail.com</t>
  </si>
  <si>
    <t>Keith Gabriel</t>
  </si>
  <si>
    <t>Obcena</t>
  </si>
  <si>
    <t>Mangalonzo</t>
  </si>
  <si>
    <t>kgmangalonzo@gmail.com</t>
  </si>
  <si>
    <t>Jethro</t>
  </si>
  <si>
    <t>Laurena</t>
  </si>
  <si>
    <t>De Guia</t>
  </si>
  <si>
    <t>jethro.deguia@yahoo.com</t>
  </si>
  <si>
    <t>Lorley Mariz</t>
  </si>
  <si>
    <t>Dagal</t>
  </si>
  <si>
    <t>Rodriguez</t>
  </si>
  <si>
    <t>lorleymarizrodriguez@gmail.com</t>
  </si>
  <si>
    <t>ARP</t>
  </si>
  <si>
    <t>Kenneth Oskar</t>
  </si>
  <si>
    <t>Montealto</t>
  </si>
  <si>
    <t>Sodusta</t>
  </si>
  <si>
    <t>kenn08.koms@gmail.com</t>
  </si>
  <si>
    <t>PSG Official Website</t>
  </si>
  <si>
    <t>Training Researcher</t>
  </si>
  <si>
    <t>Ajnay Melchor</t>
  </si>
  <si>
    <t>Marian Mae</t>
  </si>
  <si>
    <t>Velasquez</t>
  </si>
  <si>
    <t>Soria</t>
  </si>
  <si>
    <t>mariansoria84@yahoo.com</t>
  </si>
  <si>
    <t>Senior Team Manager</t>
  </si>
  <si>
    <t>Tantoco, Maria Christina</t>
  </si>
  <si>
    <t>STM</t>
  </si>
  <si>
    <t>Sinday, Kristine Mendoza</t>
  </si>
  <si>
    <t>Abuid, Ronel Rivero</t>
  </si>
  <si>
    <t>Ng, Wilmard Bragas</t>
  </si>
  <si>
    <t>Lorica, Babylyne Ante</t>
  </si>
  <si>
    <t>Padilla, Joanna Marie Montealegre</t>
  </si>
  <si>
    <t>Mangalonzo, Keith Gabriel Obcena</t>
  </si>
  <si>
    <t>De Guia, Jethro Laurena</t>
  </si>
  <si>
    <t>Rodriguez, Lorley Mariz Dagal</t>
  </si>
  <si>
    <t>Sodusta, Kenneth Oskar Montealto</t>
  </si>
  <si>
    <t>Soria, Marian Mae Velasquez</t>
  </si>
  <si>
    <t>Tantoco</t>
  </si>
  <si>
    <t>Maria Christina</t>
  </si>
  <si>
    <t>ksinday@psgglobalsolutions.com</t>
  </si>
  <si>
    <t>rabuid@psgglobalsolutions.com</t>
  </si>
  <si>
    <t>wng@psgglobalsolutions.com</t>
  </si>
  <si>
    <t>jpadilla@psgglobalsolutions.com</t>
  </si>
  <si>
    <t>kmangalonzo@psgglobalsolutions.com</t>
  </si>
  <si>
    <t>jdeguia@psgglobalsolutions.com</t>
  </si>
  <si>
    <t>lrodriguez@psgglobalsolutions.com</t>
  </si>
  <si>
    <t>ksodusta@psgglobalsolutions.com</t>
  </si>
  <si>
    <t>msoria@psgglobalsolutions.com</t>
  </si>
  <si>
    <t>mtantoco@psgglobalsolutions.com</t>
  </si>
  <si>
    <t>09059609645/09479934152</t>
  </si>
  <si>
    <t>352 Mayon St., Brgy. Lourdes, Quezon City</t>
  </si>
  <si>
    <t>S. Flores., Oton, Iloilo</t>
  </si>
  <si>
    <t>07-2647478-7</t>
  </si>
  <si>
    <t>30 UN Steet, Better Living Subdivision, Brgy Don Bosco, Parañaque City</t>
  </si>
  <si>
    <t>48B Ocampo Avenue, Don Jose Hts, Commonwealth, Quezon City 1121</t>
  </si>
  <si>
    <t>33-9645540-5</t>
  </si>
  <si>
    <t>240-019-824</t>
  </si>
  <si>
    <t>1010-0267-9567</t>
  </si>
  <si>
    <t>01-050571093-8</t>
  </si>
  <si>
    <t>1210-6616-4011</t>
  </si>
  <si>
    <t>108 18th Ave., Brgy. San Roque, Cubao, Quezon City</t>
  </si>
  <si>
    <t>34-0865284-0</t>
  </si>
  <si>
    <t>03-050885917-8</t>
  </si>
  <si>
    <t>1210-1269-4599</t>
  </si>
  <si>
    <t>287-232-250</t>
  </si>
  <si>
    <t>565 Plaridel St. San Roque, Cavite City</t>
  </si>
  <si>
    <t>290-993-238</t>
  </si>
  <si>
    <t>15 Bowling Street Monquita Pueblo Dita Santa Rosa Laguna</t>
  </si>
  <si>
    <t>04-2196906-9</t>
  </si>
  <si>
    <t>1211-2941-2992</t>
  </si>
  <si>
    <t>08-025334971-2</t>
  </si>
  <si>
    <t>1010-0078-7115</t>
  </si>
  <si>
    <t xml:space="preserve">Additional </t>
  </si>
  <si>
    <t>EMP ID</t>
  </si>
  <si>
    <t>EMP NAME</t>
  </si>
  <si>
    <t>STATUS</t>
  </si>
  <si>
    <t>JOB TITLE</t>
  </si>
  <si>
    <t>JOB LEVEL</t>
  </si>
  <si>
    <t xml:space="preserve">HIRE </t>
  </si>
  <si>
    <t>MOBILE  NUMBER</t>
  </si>
  <si>
    <t>PERSONAL EMAIL</t>
  </si>
  <si>
    <t>RESIDENCE MAILING ADDRESS</t>
  </si>
  <si>
    <t>GENDER</t>
  </si>
  <si>
    <t>HDMF NUMBER</t>
  </si>
  <si>
    <t>Confidentiality Agreement</t>
  </si>
  <si>
    <t>Employee Info Sheet</t>
  </si>
  <si>
    <t>SSS Document</t>
  </si>
  <si>
    <t>TIN Document</t>
  </si>
  <si>
    <t>PHIC Document</t>
  </si>
  <si>
    <t>HMDF Document</t>
  </si>
  <si>
    <t>Birth Certificate</t>
  </si>
  <si>
    <t>Marriage Certificate</t>
  </si>
  <si>
    <t>Dependent's Birth Certificate</t>
  </si>
  <si>
    <t>School Records</t>
  </si>
  <si>
    <t>Tax Waiver</t>
  </si>
  <si>
    <t>Handbook</t>
  </si>
  <si>
    <t>AWOL Policy</t>
  </si>
  <si>
    <t>2 Acacia Street, Project 3, Quezon City</t>
  </si>
  <si>
    <t>1211-0066-0554</t>
  </si>
  <si>
    <t>34-1183056-5</t>
  </si>
  <si>
    <t>9328 B St. San Antonio Village, Makati City</t>
  </si>
  <si>
    <t>427-313-289</t>
  </si>
  <si>
    <t>34-3452782-6</t>
  </si>
  <si>
    <t>314-854-229</t>
  </si>
  <si>
    <t>34-4068689-0</t>
  </si>
  <si>
    <t>229-256-686</t>
  </si>
  <si>
    <t>511 Ibiza Chateau Valenzuela 16 P Gregorio St. Lingunan Valenzuela City</t>
  </si>
  <si>
    <t>Single Parent</t>
  </si>
  <si>
    <t>308-719-228</t>
  </si>
  <si>
    <t>CABALQUINTO</t>
  </si>
  <si>
    <t>315-779-011</t>
  </si>
  <si>
    <t>MENDOZA</t>
  </si>
  <si>
    <t>298-220-877</t>
  </si>
  <si>
    <t>PADILLA</t>
  </si>
  <si>
    <t>GAELA</t>
  </si>
  <si>
    <t>313-102-123</t>
  </si>
  <si>
    <t>CORDOVA</t>
  </si>
  <si>
    <t>Henry Jr.</t>
  </si>
  <si>
    <t>236-905-973</t>
  </si>
  <si>
    <t>TATTAO</t>
  </si>
  <si>
    <t>John Richie</t>
  </si>
  <si>
    <t>Tupeño</t>
  </si>
  <si>
    <t>01-025255049-1</t>
  </si>
  <si>
    <t>180 San Pedro St., Hermosa, Bataan City</t>
  </si>
  <si>
    <t>1131 Vergara St. Quiapo, Manila</t>
  </si>
  <si>
    <t>14 Flaviana St, Suarezville, Pinagbuhatan Pasig City</t>
  </si>
  <si>
    <t>8027 Hondradez St. Unit 2C, Brgy. Olypia, Makati City 1200</t>
  </si>
  <si>
    <t>#597 E. Rodriguez Extension Malibay Pasay City</t>
  </si>
  <si>
    <t>#27 Malipayo Champaca St. Marikina Heights Marikina City</t>
  </si>
  <si>
    <t>Blk 15 Samagta St. Floodway Taytay Rizal</t>
  </si>
  <si>
    <t>Burol Main Dasmariñas Cavite</t>
  </si>
  <si>
    <t>6965F Washington St. Pio Del Pilar, Makati</t>
  </si>
  <si>
    <t>451 Star St. Brgy. Poblacion, Mandaluyong City</t>
  </si>
  <si>
    <t>701-F Tiyaga St. Plainview, Mandaluyong City</t>
  </si>
  <si>
    <t>#172 G Matinez St. Brgy. Plainview, Mandaluyong City</t>
  </si>
  <si>
    <t>Blk 23 Lot 28 Arambulo ST, Las Piñas</t>
  </si>
  <si>
    <t>500-063-168</t>
  </si>
  <si>
    <t>NITURA</t>
  </si>
  <si>
    <t>34-2441941-0</t>
  </si>
  <si>
    <t>01-051779234-4</t>
  </si>
  <si>
    <t>1210-9894-4660</t>
  </si>
  <si>
    <t>403-200-710</t>
  </si>
  <si>
    <t>01-051820776-3</t>
  </si>
  <si>
    <t>4288 T. Alonzo St., Baclaran, Parañaque City</t>
  </si>
  <si>
    <t>33-8055286-4</t>
  </si>
  <si>
    <t>DE CASTRO</t>
  </si>
  <si>
    <t>DE GUIA</t>
  </si>
  <si>
    <t>#81 A San Pedro, Bautista St., San Francisco Del Monte, Quezon City</t>
  </si>
  <si>
    <t>2164 P. Dandan St. Pasay City</t>
  </si>
  <si>
    <t>823-B coronado St., Hulo, Mandaluyong City</t>
  </si>
  <si>
    <t>Blk 16, Lot 11, Phase 4A, Isidora St. San Antonio Heights Subdivision, Sto. Tomas, Batangas City</t>
  </si>
  <si>
    <t>1990 Pedro Gil St., Sta. Ana, Manila</t>
  </si>
  <si>
    <t>333 Green Palm Corner Red Palm SPS Subdivision, Malinao, Pasig City</t>
  </si>
  <si>
    <t>1358 Kamatis St. Napico-Manggahan, Pasig City</t>
  </si>
  <si>
    <t>018 Parola St. Brgy. San Roque, Cainta Rizal</t>
  </si>
  <si>
    <t xml:space="preserve">Listed below are the names and other pertinent data of our employees for the update of Employer's and Employee's Information. </t>
  </si>
  <si>
    <r>
      <t xml:space="preserve">ADDRESS: </t>
    </r>
    <r>
      <rPr>
        <sz val="10"/>
        <color indexed="59"/>
        <rFont val="Arial"/>
        <family val="2"/>
      </rPr>
      <t xml:space="preserve"> 19th Flr. Multinational Bank Corporation Building, 6805 Ayala Ave., Makati City</t>
    </r>
  </si>
  <si>
    <t>Php 6,000</t>
  </si>
  <si>
    <t>Php 15,000</t>
  </si>
  <si>
    <t>Php 1,500</t>
  </si>
  <si>
    <t>Php 1,200</t>
  </si>
  <si>
    <t>Php 300</t>
  </si>
  <si>
    <t>Maybel Rose</t>
  </si>
  <si>
    <t>Pelagio</t>
  </si>
  <si>
    <t>Bartolome</t>
  </si>
  <si>
    <t>maybelpbartolome@gmail.com</t>
  </si>
  <si>
    <t>Reporting Specialist</t>
  </si>
  <si>
    <t>Rom Lindogan and Bob Adaya</t>
  </si>
  <si>
    <t>Bartolome, Maybel Rose Pelagio</t>
  </si>
  <si>
    <t>Row Labels</t>
  </si>
  <si>
    <t>Grand Total</t>
  </si>
  <si>
    <t>Php 18,000</t>
  </si>
  <si>
    <t>Php 3,000</t>
  </si>
  <si>
    <t>1210-6242-7546</t>
  </si>
  <si>
    <t>Shiela</t>
  </si>
  <si>
    <t>Casanova</t>
  </si>
  <si>
    <t>Dianne</t>
  </si>
  <si>
    <t>Regudo</t>
  </si>
  <si>
    <t>regudodianne@ymail.com</t>
  </si>
  <si>
    <t>Reggie</t>
  </si>
  <si>
    <t>Salivio</t>
  </si>
  <si>
    <t>Silang</t>
  </si>
  <si>
    <t>reggie.silang@icloud.com</t>
  </si>
  <si>
    <t>Maria Madeline</t>
  </si>
  <si>
    <t>Nermal</t>
  </si>
  <si>
    <t>mariamadeline_05@yahoo.com</t>
  </si>
  <si>
    <t>Regudo, Dianne Nicolas</t>
  </si>
  <si>
    <t>Silang, Reggie Salivio</t>
  </si>
  <si>
    <t xml:space="preserve">Nermal, Maria Madeline </t>
  </si>
  <si>
    <t>Blk 29 Lot 16 Phase 6 Carmona Estates, Carmona Cavite</t>
  </si>
  <si>
    <t>mbartolome@psgglobalsolutions.com</t>
  </si>
  <si>
    <t>scasanova@psgglobalsolutions.com</t>
  </si>
  <si>
    <t>dregudo@psgglobalsolutions.com</t>
  </si>
  <si>
    <t>rsilang@psgglobalsolutions.com</t>
  </si>
  <si>
    <t>mnermal@psgglobalsolutions.com</t>
  </si>
  <si>
    <t>303-972-388</t>
  </si>
  <si>
    <t>06-2579559-6</t>
  </si>
  <si>
    <t>1210-3596-5881</t>
  </si>
  <si>
    <t>03-050592617-6</t>
  </si>
  <si>
    <t>412-501-437</t>
  </si>
  <si>
    <t>404-954-615</t>
  </si>
  <si>
    <t>1210-3602-1563</t>
  </si>
  <si>
    <t>34-1652514-7</t>
  </si>
  <si>
    <t>1211-0186-0881</t>
  </si>
  <si>
    <t>Contact No.</t>
  </si>
  <si>
    <t>02-2540787-3</t>
  </si>
  <si>
    <t>richie996@yahoo.com</t>
  </si>
  <si>
    <t>313-823-982</t>
  </si>
  <si>
    <t>VILLEGAS</t>
  </si>
  <si>
    <t>Frances Hyacinth</t>
  </si>
  <si>
    <t>Salamilao</t>
  </si>
  <si>
    <t>franceshyancinth.villegas@benilde.edu.ph</t>
  </si>
  <si>
    <t>REGALADO</t>
  </si>
  <si>
    <t>413-501-437</t>
  </si>
  <si>
    <t>LINO</t>
  </si>
  <si>
    <t>Enrollment</t>
  </si>
  <si>
    <t>PATES</t>
  </si>
  <si>
    <t>LIBAO</t>
  </si>
  <si>
    <t>BELLEZA</t>
  </si>
  <si>
    <t>1210-0748-4162</t>
  </si>
  <si>
    <t>02-050292926-8</t>
  </si>
  <si>
    <t>Php 24,000</t>
  </si>
  <si>
    <t>1211-2850-2233</t>
  </si>
  <si>
    <t>01-051222465-8</t>
  </si>
  <si>
    <t>34-2695819-9</t>
  </si>
  <si>
    <t>12 Saturn St. Bel-Air 2 Makati City</t>
  </si>
  <si>
    <t>07-2317315-9</t>
  </si>
  <si>
    <t>Blk 19, Lt 25 Cerritos Heights Camella Homes Subd Daang Hari Bacoor Cavite</t>
  </si>
  <si>
    <t>032 Belen St. RP Gulod Novaliches Quezon City</t>
  </si>
  <si>
    <t>3-44304760-1</t>
  </si>
  <si>
    <t>01-051915133-8</t>
  </si>
  <si>
    <t>1211-0886-2533</t>
  </si>
  <si>
    <t>Punzalan</t>
  </si>
  <si>
    <t>Casanova, Shiela Punzalan</t>
  </si>
  <si>
    <t>1040-0088-0650</t>
  </si>
  <si>
    <t>1210-9651-4123</t>
  </si>
  <si>
    <t>1211-3859-4198</t>
  </si>
  <si>
    <t>1211-1560-7041</t>
  </si>
  <si>
    <t>33-9394823-2</t>
  </si>
  <si>
    <t>02-025339048-5</t>
  </si>
  <si>
    <t>03-051121122-7</t>
  </si>
  <si>
    <t>403-485-876</t>
  </si>
  <si>
    <t>01-051623202-7</t>
  </si>
  <si>
    <t>34-3644634-5</t>
  </si>
  <si>
    <t>34-3467475-3</t>
  </si>
  <si>
    <t>34-0817301-5</t>
  </si>
  <si>
    <t>01-050584396-2</t>
  </si>
  <si>
    <t>317-273-715</t>
  </si>
  <si>
    <t>REGUDO</t>
  </si>
  <si>
    <t>280-352-959</t>
  </si>
  <si>
    <t>SADAYA</t>
  </si>
  <si>
    <t>MANGALONZO</t>
  </si>
  <si>
    <t>Eighteen (18) employees</t>
  </si>
  <si>
    <t>01-051365158-4</t>
  </si>
  <si>
    <t>1 Sto. Tomas Palatiw, Pasig City</t>
  </si>
  <si>
    <t>1010-0187-9313</t>
  </si>
  <si>
    <t>02-025682568-7</t>
  </si>
  <si>
    <t>Active</t>
  </si>
  <si>
    <t>%</t>
  </si>
  <si>
    <t>jbujawe@psgglobalsolutions.com</t>
  </si>
  <si>
    <t>Ref Name</t>
  </si>
  <si>
    <t>Ref Emp #</t>
  </si>
  <si>
    <t>Ref Emp no.</t>
  </si>
  <si>
    <t>Philip Ogalina</t>
  </si>
  <si>
    <t>Angelyn Castro</t>
  </si>
  <si>
    <t>Myrna Victorio</t>
  </si>
  <si>
    <t>Jomel Carandang</t>
  </si>
  <si>
    <t>Christian Estrella</t>
  </si>
  <si>
    <t>Francis Sadaya</t>
  </si>
  <si>
    <t>Zeanna Alexis Smith</t>
  </si>
  <si>
    <t>Gually Ong</t>
  </si>
  <si>
    <t>Samantha Largo</t>
  </si>
  <si>
    <t>Permanent Mailing Address</t>
  </si>
  <si>
    <t>April Faye</t>
  </si>
  <si>
    <t>Decapia</t>
  </si>
  <si>
    <t>Posadas</t>
  </si>
  <si>
    <t>aprilfayeposadas@gmail.com</t>
  </si>
  <si>
    <t>Operations Support Specialist</t>
  </si>
  <si>
    <t>Jas</t>
  </si>
  <si>
    <t>JC Gayoma</t>
  </si>
  <si>
    <t>Jan Erick</t>
  </si>
  <si>
    <t>Abay</t>
  </si>
  <si>
    <t>Alim</t>
  </si>
  <si>
    <t>janerickalim@gmail.com</t>
  </si>
  <si>
    <t>Kimberly Jane</t>
  </si>
  <si>
    <t>Delim</t>
  </si>
  <si>
    <t>kimberlyjanecruz@gmail.com</t>
  </si>
  <si>
    <t>Emara Ann</t>
  </si>
  <si>
    <t>Laxamana</t>
  </si>
  <si>
    <t>Dizon</t>
  </si>
  <si>
    <t>iememei26@gmail.com</t>
  </si>
  <si>
    <t>Barbara</t>
  </si>
  <si>
    <t>Canas</t>
  </si>
  <si>
    <t>Marcelo</t>
  </si>
  <si>
    <t>barbz.marcelo09@gmail.com</t>
  </si>
  <si>
    <t>Karen Joy</t>
  </si>
  <si>
    <t>Villarico</t>
  </si>
  <si>
    <t>Ramos</t>
  </si>
  <si>
    <t>rhenramos07@gmail.com</t>
  </si>
  <si>
    <t>Kevin Ross</t>
  </si>
  <si>
    <t>Salvador</t>
  </si>
  <si>
    <t>Sales</t>
  </si>
  <si>
    <t>kevinross321@gmail.com</t>
  </si>
  <si>
    <t>Grace</t>
  </si>
  <si>
    <t>Marasigan</t>
  </si>
  <si>
    <t>Sipalay</t>
  </si>
  <si>
    <t>gracesipalay@yahoo.com</t>
  </si>
  <si>
    <t>Posadas, April Faye Decapia</t>
  </si>
  <si>
    <t>Alim, Jan Erick Abay</t>
  </si>
  <si>
    <t>Dizon, Emara Ann Laxamana</t>
  </si>
  <si>
    <t>Marcelo, Barbara Canas</t>
  </si>
  <si>
    <t>Ramos, Karen Joy Villarico</t>
  </si>
  <si>
    <t>Sales, Kevin Ross Salvador</t>
  </si>
  <si>
    <t>Sipalay, Grace Marasigan</t>
  </si>
  <si>
    <t>Jobert Martin</t>
  </si>
  <si>
    <t>416-238-964</t>
  </si>
  <si>
    <t>Top Missing Docs</t>
  </si>
  <si>
    <t>Week</t>
  </si>
  <si>
    <t>Top Missing Documents</t>
  </si>
  <si>
    <t>11-050317528-2</t>
  </si>
  <si>
    <t>302-784-097</t>
  </si>
  <si>
    <t>1590-0067-3762</t>
  </si>
  <si>
    <t>1211-3774-0303</t>
  </si>
  <si>
    <t>01-051754602-5</t>
  </si>
  <si>
    <t>304-319-834</t>
  </si>
  <si>
    <t>09-050098643-2</t>
  </si>
  <si>
    <t>02-025221247-8</t>
  </si>
  <si>
    <t>aposadas@psgglobalsolutions.com</t>
  </si>
  <si>
    <t>jalim@psgglobalsolutions.com</t>
  </si>
  <si>
    <t>kcruz@psgglobalsolutions.com</t>
  </si>
  <si>
    <t>edizon@psgglobalsolutions.com</t>
  </si>
  <si>
    <t>kramos@psgglobalsolutions.com</t>
  </si>
  <si>
    <t>ksales@psgglobalsolutions.com</t>
  </si>
  <si>
    <t>gsipalay@psgglobalsolutions.com</t>
  </si>
  <si>
    <t>500-072-627</t>
  </si>
  <si>
    <t>34-2668464-1</t>
  </si>
  <si>
    <t>3701 Ilang-ilang St. Ma. Ramona Subd. Tabang, Plaridel Bulacan</t>
  </si>
  <si>
    <t>1210-9407-1535</t>
  </si>
  <si>
    <t>70 General E Topacio Street Poblacion 1A Imus Cavite</t>
  </si>
  <si>
    <t>Veterans Village, Project 7, Quezon City</t>
  </si>
  <si>
    <t>1426 Leon Guinto St. Ermita, Manila</t>
  </si>
  <si>
    <t>Mark Anthony</t>
  </si>
  <si>
    <t>Solano</t>
  </si>
  <si>
    <t>Factor</t>
  </si>
  <si>
    <t>marksfactor@gmail.com</t>
  </si>
  <si>
    <t>Factor, Mark Anthony Solano</t>
  </si>
  <si>
    <t>Days 2 ded</t>
  </si>
  <si>
    <t>Dedlyn</t>
  </si>
  <si>
    <t>34-1618936-3</t>
  </si>
  <si>
    <t>Four (4) employees</t>
  </si>
  <si>
    <t>284-405-186</t>
  </si>
  <si>
    <t>TOMINES</t>
  </si>
  <si>
    <t>314-634-650</t>
  </si>
  <si>
    <t>GUASI</t>
  </si>
  <si>
    <t>Keithly</t>
  </si>
  <si>
    <t>Layugan</t>
  </si>
  <si>
    <t>guasikeithly@yahoo.com</t>
  </si>
  <si>
    <t>SODUSTA</t>
  </si>
  <si>
    <t>Kenneth Oscar</t>
  </si>
  <si>
    <t>419-101-734</t>
  </si>
  <si>
    <t>ROGANO</t>
  </si>
  <si>
    <t>Justine Jeremaica</t>
  </si>
  <si>
    <t>Cusi</t>
  </si>
  <si>
    <t>justrogano@yahoo.com</t>
  </si>
  <si>
    <t>1211-3910-3261</t>
  </si>
  <si>
    <t>01-051589049-7</t>
  </si>
  <si>
    <t>Php 17,000</t>
  </si>
  <si>
    <t>Php 16,000</t>
  </si>
  <si>
    <t>Php 4,000</t>
  </si>
  <si>
    <t>04-1474802-6</t>
  </si>
  <si>
    <t># 1171 J.P. Rizal, Makati City</t>
  </si>
  <si>
    <t># 180 Calamias, Ibaan, Batangas</t>
  </si>
  <si>
    <t>34-2772583-9</t>
  </si>
  <si>
    <t>312-150-086</t>
  </si>
  <si>
    <t>1210-6828-5117</t>
  </si>
  <si>
    <t>01-051436271-3</t>
  </si>
  <si>
    <t>John Kevin</t>
  </si>
  <si>
    <t>Barri</t>
  </si>
  <si>
    <t>De Guzman</t>
  </si>
  <si>
    <t>toshi_joovshin@yahoo.com</t>
  </si>
  <si>
    <t>Sarah Agatha</t>
  </si>
  <si>
    <t>Magsino</t>
  </si>
  <si>
    <t>Geron</t>
  </si>
  <si>
    <t>sarah.purple15@yahoo.com</t>
  </si>
  <si>
    <t>Ben</t>
  </si>
  <si>
    <t>micaelapili@yahoo.com</t>
  </si>
  <si>
    <t>John Taluban</t>
  </si>
  <si>
    <t>domingomaron@gmail.com</t>
  </si>
  <si>
    <t>dmharkangelo@yahoo.com</t>
  </si>
  <si>
    <t>kcdones14@gmail.com</t>
  </si>
  <si>
    <t>vin.malig017@gmail.com</t>
  </si>
  <si>
    <t>Jobstreet_Ad</t>
  </si>
  <si>
    <t>bocbocjesterm@gmail.com</t>
  </si>
  <si>
    <t>ERP - Czarina Reyes</t>
  </si>
  <si>
    <t>martin_tintin10@yahoo.com</t>
  </si>
  <si>
    <t>NS Endorsement</t>
  </si>
  <si>
    <t>Internet Researcher</t>
  </si>
  <si>
    <t>De Guzman, John Kevin Barri</t>
  </si>
  <si>
    <t>Geron, Sarah Agatha Magsino</t>
  </si>
  <si>
    <t>Pili, Maria Micaela Dizon</t>
  </si>
  <si>
    <t>Maria Micaela</t>
  </si>
  <si>
    <t>Domingo, Ralph Maron Edbert Mojica</t>
  </si>
  <si>
    <t>Dimaano, Mhark Angelo Reyes</t>
  </si>
  <si>
    <t>Dones, Kevin Luczon</t>
  </si>
  <si>
    <t>Malig, John Kevin Vallada</t>
  </si>
  <si>
    <t>Bocboc, Jester Marbella</t>
  </si>
  <si>
    <t>Roda, Martin Baclea-An</t>
  </si>
  <si>
    <t>Pili</t>
  </si>
  <si>
    <t>Domingo</t>
  </si>
  <si>
    <t>Dimaano</t>
  </si>
  <si>
    <t>Dones</t>
  </si>
  <si>
    <t>Malig</t>
  </si>
  <si>
    <t>Bocboc</t>
  </si>
  <si>
    <t>Roda</t>
  </si>
  <si>
    <t>Ralph Maron Edbert</t>
  </si>
  <si>
    <t>Mojica</t>
  </si>
  <si>
    <t>Mhark Angelo</t>
  </si>
  <si>
    <t>Reyes</t>
  </si>
  <si>
    <t>Kevin</t>
  </si>
  <si>
    <t>Luczon</t>
  </si>
  <si>
    <t>Vallada</t>
  </si>
  <si>
    <t>Jester</t>
  </si>
  <si>
    <t>Marbella</t>
  </si>
  <si>
    <t>Martin</t>
  </si>
  <si>
    <t>Baclea-An</t>
  </si>
  <si>
    <t>James Nayve</t>
  </si>
  <si>
    <t>Romnick Magpantay</t>
  </si>
  <si>
    <t>Lorraine Maranan</t>
  </si>
  <si>
    <t>Carin Radoc Elnasin</t>
  </si>
  <si>
    <t>Czarina Reyes</t>
  </si>
  <si>
    <t>Bezaleel Jonel</t>
  </si>
  <si>
    <t>Cabog</t>
  </si>
  <si>
    <t>Climacosa</t>
  </si>
  <si>
    <t>betsalil26@gmail.com</t>
  </si>
  <si>
    <t>Arlhet Dianne</t>
  </si>
  <si>
    <t>Mojal</t>
  </si>
  <si>
    <t>Cuman</t>
  </si>
  <si>
    <t>kulhet_06@yahoo.com</t>
  </si>
  <si>
    <t>ERP - Christine Dela Cruz</t>
  </si>
  <si>
    <t>Joana Marie</t>
  </si>
  <si>
    <t>S</t>
  </si>
  <si>
    <t>Inoue</t>
  </si>
  <si>
    <t>lhean.05@gmail.com</t>
  </si>
  <si>
    <t>Leira Fe</t>
  </si>
  <si>
    <t>Rosales</t>
  </si>
  <si>
    <t>ckeealle@yahoo.com</t>
  </si>
  <si>
    <t>Ramon</t>
  </si>
  <si>
    <t>Geslani</t>
  </si>
  <si>
    <t>Montoya Jr.</t>
  </si>
  <si>
    <t>montoya.ramon0216@yahoo.com</t>
  </si>
  <si>
    <t>Anna Mae</t>
  </si>
  <si>
    <t>Correa</t>
  </si>
  <si>
    <t>Paraoan</t>
  </si>
  <si>
    <t>amae.paraoan@icloud.com</t>
  </si>
  <si>
    <t>Alexander</t>
  </si>
  <si>
    <t>Lara</t>
  </si>
  <si>
    <t>Sartorio Jr.</t>
  </si>
  <si>
    <t>jhadie_wagner03@yahoo.com</t>
  </si>
  <si>
    <t>ERP - Christopher Gaela</t>
  </si>
  <si>
    <t>Maila Denise</t>
  </si>
  <si>
    <t>Eligio</t>
  </si>
  <si>
    <t>Simon</t>
  </si>
  <si>
    <t>mailadenisesimon@yahoo.com</t>
  </si>
  <si>
    <t>Prency Tanya</t>
  </si>
  <si>
    <t>Alvarez</t>
  </si>
  <si>
    <t>Tiamzon</t>
  </si>
  <si>
    <t>mitzi_tiamzon@yahoo.com.ph</t>
  </si>
  <si>
    <t>04-2057862-0</t>
  </si>
  <si>
    <t>01-050674342-2</t>
  </si>
  <si>
    <t>1210-2762-7277</t>
  </si>
  <si>
    <t>286-165-108</t>
  </si>
  <si>
    <t>Climacosa, Bezaleel Jonel Cabog</t>
  </si>
  <si>
    <t>Cuman, Arlhet Dianne Mojal</t>
  </si>
  <si>
    <t>Inoue, Joana Marie S</t>
  </si>
  <si>
    <t>Martin, Leira Fe Rosales</t>
  </si>
  <si>
    <t>Montoya Jr., Ramon Geslani</t>
  </si>
  <si>
    <t>Paraoan, Anna Mae Correa</t>
  </si>
  <si>
    <t>Sartorio Jr., Alexander Lara</t>
  </si>
  <si>
    <t>Simon, Maila Denise Eligio</t>
  </si>
  <si>
    <t>Tiamzon, Prency Tanya Alvarez</t>
  </si>
  <si>
    <t>34-4998488-1</t>
  </si>
  <si>
    <t>34-2923858-6</t>
  </si>
  <si>
    <t>34-2601952-0</t>
  </si>
  <si>
    <t>14 M.L Quezon St., Wawa, Taguig City</t>
  </si>
  <si>
    <t>547 B Bayan Luma V Imus, Cavite</t>
  </si>
  <si>
    <t>760-B Antipolo St. Sampaloc Manila</t>
  </si>
  <si>
    <t>Area 3 Indutry St. Fourth Estate Subd. Parañaque</t>
  </si>
  <si>
    <t>Area 3 Industry St. Fourth Estate Subd. Parañaque</t>
  </si>
  <si>
    <t>514. A Delas Alas St. Pasay</t>
  </si>
  <si>
    <t>2327 Agua Marina St. San Andres Bukid Manila</t>
  </si>
  <si>
    <t>20-D Pangasinan St. Bago Bantay, Alicia, Quezon City</t>
  </si>
  <si>
    <t>01-050859365-9</t>
  </si>
  <si>
    <t>34-1199519-6</t>
  </si>
  <si>
    <t>4700 Cuangco St. Pio del Pilar Makati</t>
  </si>
  <si>
    <t>Yeoman</t>
  </si>
  <si>
    <t>Adonis</t>
  </si>
  <si>
    <t>yeomanadonis@yahoo.com</t>
  </si>
  <si>
    <t>GR</t>
  </si>
  <si>
    <t>239-205-342</t>
  </si>
  <si>
    <t>1020-0415-4227</t>
  </si>
  <si>
    <t> jdeguzman@psgglobalsolutions.com</t>
  </si>
  <si>
    <t>sgeron@psgglobalsolutions.com</t>
  </si>
  <si>
    <t>bclimacosa@psgglobalsolutions.com</t>
  </si>
  <si>
    <t>acuman@psgglobalsolutions.com</t>
  </si>
  <si>
    <t> jinoue@psgglobalsolutions.com</t>
  </si>
  <si>
    <t>lmartin@psgglobalsolutions.com</t>
  </si>
  <si>
    <t>rmontoya@psgglobalsolutions.com</t>
  </si>
  <si>
    <t>aparaoan@psgglobalsolutions.com</t>
  </si>
  <si>
    <t>asartorio@psgglobalsolutions.com</t>
  </si>
  <si>
    <t>msimon@psgglobalsolutions.com</t>
  </si>
  <si>
    <t>ptiamzon@psgglobalsolutions.com</t>
  </si>
  <si>
    <t>yadonis@psgglobalsolutions.com</t>
  </si>
  <si>
    <t>500-079-464</t>
  </si>
  <si>
    <t>03-050903603-5</t>
  </si>
  <si>
    <t>02-050862133-8</t>
  </si>
  <si>
    <t>364 Luksihin Ibaba Alfonso, Cavite</t>
  </si>
  <si>
    <t>175 Apartment C Gotamco St., Pasay</t>
  </si>
  <si>
    <t>B6 L2 Progressive 12 Molino 3 Bacoor, Cavite</t>
  </si>
  <si>
    <t>0792 (B) A Guarra St., Baclaran Parañaque</t>
  </si>
  <si>
    <t>Blk. 7 Lot 16 Brgy. F. Reyes, G.M.A. Cavite</t>
  </si>
  <si>
    <t>#36 Road 1, Barangay Pag-Asa, Quezon City</t>
  </si>
  <si>
    <t>13-A Francisco, Olivarez Compound Parañaque</t>
  </si>
  <si>
    <t>200 Aries St. Batimana Compound Marulas, Valenzuela</t>
  </si>
  <si>
    <t>#25 Avocado St., Gatchalian Subd., Las Piñas</t>
  </si>
  <si>
    <t>77C. Cruz St., Sta. Elena, Marikina</t>
  </si>
  <si>
    <t>Php 12,000</t>
  </si>
  <si>
    <t>430-313-486</t>
  </si>
  <si>
    <t>34-3033142-7</t>
  </si>
  <si>
    <t>1211-0150-1260</t>
  </si>
  <si>
    <t>01-051781796-7</t>
  </si>
  <si>
    <t>1211-1952-5625</t>
  </si>
  <si>
    <t>1210-1543-7277</t>
  </si>
  <si>
    <t>Brgy Malamig, Bulusan St. Mandaluyong</t>
  </si>
  <si>
    <t>34-3914575-3</t>
  </si>
  <si>
    <t>1210-9093-7405</t>
  </si>
  <si>
    <t>34-4766093-2</t>
  </si>
  <si>
    <t>456-389-083</t>
  </si>
  <si>
    <t>3-37565700-4</t>
  </si>
  <si>
    <t>34-1542663-2</t>
  </si>
  <si>
    <t>33-9065756-8</t>
  </si>
  <si>
    <t>1020-0184-8397</t>
  </si>
  <si>
    <t>271-743-598</t>
  </si>
  <si>
    <t>1210-9596-5605</t>
  </si>
  <si>
    <t>1210-2934-9665</t>
  </si>
  <si>
    <t>03-050313976-2</t>
  </si>
  <si>
    <t>02-3589749-9</t>
  </si>
  <si>
    <t>03-025628980-2</t>
  </si>
  <si>
    <t>500-079-499</t>
  </si>
  <si>
    <t>34-2394689-0</t>
  </si>
  <si>
    <t>396 Sta. Catalina St. Brgy. Holy Spirit Quezon City</t>
  </si>
  <si>
    <t>1211-0035-0215</t>
  </si>
  <si>
    <t>33-9867123-2</t>
  </si>
  <si>
    <t>34-3881041-6</t>
  </si>
  <si>
    <t>33-9246118-9</t>
  </si>
  <si>
    <t>mpili@psgglobalsolutions.com</t>
  </si>
  <si>
    <t>rdomingo@psgglobalsolutions.com</t>
  </si>
  <si>
    <t>mdimaano@psgglobalsolutions.com</t>
  </si>
  <si>
    <t>kdones@psgglobalsolutions.com</t>
  </si>
  <si>
    <t>jmalig@psgglobalsolutions.com</t>
  </si>
  <si>
    <t>jbocboc@psgglobalsolutions.com</t>
  </si>
  <si>
    <t>mroda@psgglobalsolutions.com</t>
  </si>
  <si>
    <t>1211-3446-1871</t>
  </si>
  <si>
    <t>03-050703086-2</t>
  </si>
  <si>
    <t>265-712-987</t>
  </si>
  <si>
    <t>ROGELIO</t>
  </si>
  <si>
    <t>Married w/ 1 dependent</t>
  </si>
  <si>
    <t>CASANOVA</t>
  </si>
  <si>
    <t>CRUZ</t>
  </si>
  <si>
    <t>Kimberley Jane</t>
  </si>
  <si>
    <t>MALIG</t>
  </si>
  <si>
    <t>w/ Existing Business</t>
  </si>
  <si>
    <t>1211-1884-4247</t>
  </si>
  <si>
    <t>1211-3968-7773</t>
  </si>
  <si>
    <t>09-050441003-9</t>
  </si>
  <si>
    <t>276-068-393</t>
  </si>
  <si>
    <t>Php 45,000</t>
  </si>
  <si>
    <t>468 M Blas St. Malabon</t>
  </si>
  <si>
    <t>Dave</t>
  </si>
  <si>
    <t>Moreno</t>
  </si>
  <si>
    <t>camille_davemoreno@yahoo.com</t>
  </si>
  <si>
    <t>US Reference Check Specialist</t>
  </si>
  <si>
    <t>Sarah Perez</t>
  </si>
  <si>
    <t>Warriane Desiree</t>
  </si>
  <si>
    <t>Ilustrisimo</t>
  </si>
  <si>
    <t>Maguyon</t>
  </si>
  <si>
    <t>wdimaguyon@yahoo.com</t>
  </si>
  <si>
    <t>Gerald</t>
  </si>
  <si>
    <t>Gawat</t>
  </si>
  <si>
    <t>Israel</t>
  </si>
  <si>
    <t>Ireneo</t>
  </si>
  <si>
    <t>ERP - Joanna Mapuyan</t>
  </si>
  <si>
    <t>Jay Mar</t>
  </si>
  <si>
    <t>Niyo</t>
  </si>
  <si>
    <t>ERP - John Jayrick Cis</t>
  </si>
  <si>
    <t>Marvic Sirius Anne</t>
  </si>
  <si>
    <t>Nikki Jean</t>
  </si>
  <si>
    <t>Guanlao</t>
  </si>
  <si>
    <t>Joel</t>
  </si>
  <si>
    <t>Escobar</t>
  </si>
  <si>
    <t>ERP - Anna Mae Paraoan</t>
  </si>
  <si>
    <t>Gospel</t>
  </si>
  <si>
    <t>Lim</t>
  </si>
  <si>
    <t>Phoenix</t>
  </si>
  <si>
    <t>Tolentino</t>
  </si>
  <si>
    <t>Triza Marie</t>
  </si>
  <si>
    <t>Sotomayor</t>
  </si>
  <si>
    <t>Alejandro</t>
  </si>
  <si>
    <t>Gigante</t>
  </si>
  <si>
    <t>Michael John</t>
  </si>
  <si>
    <t>Marigold</t>
  </si>
  <si>
    <t>K-Search</t>
  </si>
  <si>
    <t>John Mark</t>
  </si>
  <si>
    <t>Gapas</t>
  </si>
  <si>
    <t>Grow</t>
  </si>
  <si>
    <t>Angela</t>
  </si>
  <si>
    <t>Rediga</t>
  </si>
  <si>
    <t>theangelaeugenio@gmail.com</t>
  </si>
  <si>
    <t>Leah</t>
  </si>
  <si>
    <t>Inocentes</t>
  </si>
  <si>
    <t>leahinocentes@yahoo.com</t>
  </si>
  <si>
    <t>Faye Diane</t>
  </si>
  <si>
    <t>Ednalino</t>
  </si>
  <si>
    <t>fayedianenicolas@yahoo.com</t>
  </si>
  <si>
    <t>Marie Francesca</t>
  </si>
  <si>
    <t>Sigua</t>
  </si>
  <si>
    <t>Zafe</t>
  </si>
  <si>
    <t>mariefrancescazafe@yahoo.com</t>
  </si>
  <si>
    <t>Gutierrez</t>
  </si>
  <si>
    <t>sus.pup@gmail.com</t>
  </si>
  <si>
    <t>Garcia</t>
  </si>
  <si>
    <t>jayneeyoh@gmail.com</t>
  </si>
  <si>
    <t>Ambrosio</t>
  </si>
  <si>
    <t>marsianne05@yahoo.com</t>
  </si>
  <si>
    <t>Ora</t>
  </si>
  <si>
    <t>sachi.sgc@gmail.com</t>
  </si>
  <si>
    <t>Postolero</t>
  </si>
  <si>
    <t>escobarjoelp@yahoo.com</t>
  </si>
  <si>
    <t>Dula</t>
  </si>
  <si>
    <t>zaelito1525@yahoo.com</t>
  </si>
  <si>
    <t>Villanueva</t>
  </si>
  <si>
    <t>phoenix_tolentino@yahoo.com</t>
  </si>
  <si>
    <t>triza.sotomayor@yahoo.com</t>
  </si>
  <si>
    <t>Beltran</t>
  </si>
  <si>
    <t>adjiegigante@yahoo.com</t>
  </si>
  <si>
    <t>Apigo</t>
  </si>
  <si>
    <t>michael.john.alvarez@gmail.com</t>
  </si>
  <si>
    <t>Sultan</t>
  </si>
  <si>
    <t>gapas.jm@gmail.com</t>
  </si>
  <si>
    <t>Moreno, Camille Dave</t>
  </si>
  <si>
    <t>cmoreno@psgglobalsolutions.com</t>
  </si>
  <si>
    <t>Maguyon, Warriane Desiree Ilustrisimo</t>
  </si>
  <si>
    <t>wmaguyon@psgglobalsolutions.com</t>
  </si>
  <si>
    <t>Eugenio, Angela Rediga</t>
  </si>
  <si>
    <t>aeugenio@psgglobalsolutions.com</t>
  </si>
  <si>
    <t>Inocentes, Leah Alejandro</t>
  </si>
  <si>
    <t>linocentes@psgglobalsolutions.com</t>
  </si>
  <si>
    <t>Nicolas, Faye Diane Ednalino</t>
  </si>
  <si>
    <t>fnicolas@psgglobalsolutions.com</t>
  </si>
  <si>
    <t>Zafe, Marie Francesca Sigua</t>
  </si>
  <si>
    <t>mzafe@psgglobalsolutions.com</t>
  </si>
  <si>
    <t>Gawat, Gerald Gutierrez</t>
  </si>
  <si>
    <t>ggawat@psgglobalsolutions.com</t>
  </si>
  <si>
    <t>Ireneo, Israel Santos</t>
  </si>
  <si>
    <t>iireneo@psgglobalsolutions.com</t>
  </si>
  <si>
    <t>Niyo, Jay Mar Garcia</t>
  </si>
  <si>
    <t>jniyo@psgglobalsolutions.com</t>
  </si>
  <si>
    <t>Santos, Marvic Sirius Anne Ambrosio</t>
  </si>
  <si>
    <t>msantos@psgglobalsolutions.com</t>
  </si>
  <si>
    <t>Guanlao, Nikki Jean Ora</t>
  </si>
  <si>
    <t>nguanlao@psgglobalsolutions.com</t>
  </si>
  <si>
    <t>Escobar, Joel Postolero</t>
  </si>
  <si>
    <t>jescobar@psgglobalsolutions.com</t>
  </si>
  <si>
    <t>Lim, Gospel Dula</t>
  </si>
  <si>
    <t>glim@psgglobalsolutions.com</t>
  </si>
  <si>
    <t>Tolentino, Phoenix Villanueva</t>
  </si>
  <si>
    <t>ptolentino@psgglobalsolutions.com</t>
  </si>
  <si>
    <t>Sotomayor, Triza Marie Fernandez</t>
  </si>
  <si>
    <t>tsotomayor@psgglobalsolutions.com</t>
  </si>
  <si>
    <t>Gigante, Alejandro Beltran</t>
  </si>
  <si>
    <t>agigante@psgglobalsolutions.com</t>
  </si>
  <si>
    <t>Alvarez, Michael John Apigo</t>
  </si>
  <si>
    <t>malvarez@psgglobalsolutions.com</t>
  </si>
  <si>
    <t>Gapas, John Mark Sultan</t>
  </si>
  <si>
    <t>jgapas@psgglobalsolutions.com</t>
  </si>
  <si>
    <t>ERP - Camille Moreno</t>
  </si>
  <si>
    <t>1010-0138-3848</t>
  </si>
  <si>
    <t>02-050006294-1</t>
  </si>
  <si>
    <t>231-249-184</t>
  </si>
  <si>
    <t>01-051300815-0</t>
  </si>
  <si>
    <t>2316 (2014) - 3/17/2015</t>
  </si>
  <si>
    <t>315-321-575</t>
  </si>
  <si>
    <t>34-4123844-1</t>
  </si>
  <si>
    <t>301 K F. Cruz St. Malibay Pasay</t>
  </si>
  <si>
    <t>San Francisco Victoria Laguna</t>
  </si>
  <si>
    <t>08-050855897-3</t>
  </si>
  <si>
    <t>276-472-572</t>
  </si>
  <si>
    <t>04-2111693-9</t>
  </si>
  <si>
    <t>1211-0148-8537</t>
  </si>
  <si>
    <t>9059609645/9479934152</t>
  </si>
  <si>
    <t>9157092928/9283102222</t>
  </si>
  <si>
    <t>9307497790/9275857454</t>
  </si>
  <si>
    <t>9174557288/9495685068</t>
  </si>
  <si>
    <t>Mobile 2</t>
  </si>
  <si>
    <t>Mobile 1</t>
  </si>
  <si>
    <t>Grad</t>
  </si>
  <si>
    <t>264-681-346</t>
  </si>
  <si>
    <t>01-050692441-9</t>
  </si>
  <si>
    <t>02-2019149-8</t>
  </si>
  <si>
    <t>2477 Crisolita St. San Andres Bukid Manila</t>
  </si>
  <si>
    <t>34-1521406-4</t>
  </si>
  <si>
    <t>263-F Teresa St. Sta Mesa Manila</t>
  </si>
  <si>
    <t>34-5036580-0</t>
  </si>
  <si>
    <t>1020-0090-7487</t>
  </si>
  <si>
    <t>223-121-847</t>
  </si>
  <si>
    <t>Blk 11 Lot 3 4th St. Tañong, Malabon</t>
  </si>
  <si>
    <t>34-02991565</t>
  </si>
  <si>
    <t>304-225-385</t>
  </si>
  <si>
    <t>05-050112210-3</t>
  </si>
  <si>
    <t>928-028-933</t>
  </si>
  <si>
    <t>329 Brgy Sta Rosa, Alaminos, Laguna</t>
  </si>
  <si>
    <t>259-605-471</t>
  </si>
  <si>
    <t>34-1372260-0</t>
  </si>
  <si>
    <t>267-424-869</t>
  </si>
  <si>
    <t>251-674-312</t>
  </si>
  <si>
    <t>03-050527249-4</t>
  </si>
  <si>
    <t>04-2022292-1</t>
  </si>
  <si>
    <t>08-051357178-3</t>
  </si>
  <si>
    <t>40 Cecilia St. Tramo Pasay</t>
  </si>
  <si>
    <t>25 Mabini St. Magdalena Laguna</t>
  </si>
  <si>
    <t>249-069-200</t>
  </si>
  <si>
    <t>2316 (2014) 3/18/2015,</t>
  </si>
  <si>
    <t>01-0500961826-2</t>
  </si>
  <si>
    <t>1210-3084-5605</t>
  </si>
  <si>
    <t>34-2854657-0</t>
  </si>
  <si>
    <t>2316 (2015) 3/18/2015,</t>
  </si>
  <si>
    <t>419-266-238</t>
  </si>
  <si>
    <t>01-051846809-5</t>
  </si>
  <si>
    <t>34-3093737-1</t>
  </si>
  <si>
    <t>03-050517917-6</t>
  </si>
  <si>
    <t>315-729-648</t>
  </si>
  <si>
    <t>317-693-753</t>
  </si>
  <si>
    <t>Montoya Jr</t>
  </si>
  <si>
    <t>246-381-533</t>
  </si>
  <si>
    <t>Velasco</t>
  </si>
  <si>
    <t>Andrea Lou</t>
  </si>
  <si>
    <t>Alampayan</t>
  </si>
  <si>
    <t>andrea.velasco1112@gmail.com</t>
  </si>
  <si>
    <t>Twelve (12) employees</t>
  </si>
  <si>
    <t>1211-0409-8191</t>
  </si>
  <si>
    <t>33-5901686-5</t>
  </si>
  <si>
    <t>1211-2786-6372</t>
  </si>
  <si>
    <t>1211-3977-9257</t>
  </si>
  <si>
    <t>41 B Camia St. De Castro Sbd. Brgy. Sta Lucia Pasig</t>
  </si>
  <si>
    <t>317-729-648</t>
  </si>
  <si>
    <t>922-596-660</t>
  </si>
  <si>
    <t>407-051-931</t>
  </si>
  <si>
    <t>239-888-351</t>
  </si>
  <si>
    <t>210-157-301</t>
  </si>
  <si>
    <t>914-078-564</t>
  </si>
  <si>
    <t>303-212-357</t>
  </si>
  <si>
    <t>10-50642847-0</t>
  </si>
  <si>
    <t>01-050426353-9</t>
  </si>
  <si>
    <t>03-051048552-8</t>
  </si>
  <si>
    <t>10-51609805-3</t>
  </si>
  <si>
    <t>01-051235886-7</t>
  </si>
  <si>
    <t>03-050325483-9</t>
  </si>
  <si>
    <t>01-050813249-8</t>
  </si>
  <si>
    <t>10-51808101-8</t>
  </si>
  <si>
    <t>11-025353207-6</t>
  </si>
  <si>
    <t>12-050458443-2</t>
  </si>
  <si>
    <t>01-050138491-2</t>
  </si>
  <si>
    <t>03-050225809-1</t>
  </si>
  <si>
    <t>1210-8649-9772</t>
  </si>
  <si>
    <t>407-264-004</t>
  </si>
  <si>
    <t>07-201794799-1</t>
  </si>
  <si>
    <t>125 A San Juan, Calamba Laguna</t>
  </si>
  <si>
    <t>Municipal Certificate of Birth 3/20/2015</t>
  </si>
  <si>
    <t>Confi</t>
  </si>
  <si>
    <t>1211-3493-0693</t>
  </si>
  <si>
    <t>K-117 St. #28 Karangalan Village Dela Paz, Pasig</t>
  </si>
  <si>
    <t>6-099 E. Rodriguez Sr. Ave, Sitio 2 Libis, Quezon City</t>
  </si>
  <si>
    <t>Blk 1 Lot 6 Rizza Homes, ACM Alapan 1-A, Imus, Cavite</t>
  </si>
  <si>
    <t>1374 Cordero, Lambakin, Marilao Bulacan</t>
  </si>
  <si>
    <t>Senior Recruiter Level 2</t>
  </si>
  <si>
    <t>Senior Recruiter Level 1</t>
  </si>
  <si>
    <t>Matrix Resume Formatter</t>
  </si>
  <si>
    <t>34-1428774-6</t>
  </si>
  <si>
    <t>Stated Deadline</t>
  </si>
  <si>
    <t>Joselito</t>
  </si>
  <si>
    <t>Ruiz</t>
  </si>
  <si>
    <t>Ocol</t>
  </si>
  <si>
    <t>joselito.ocol_jr@yahoo.com</t>
  </si>
  <si>
    <t>Anjay  Melchor</t>
  </si>
  <si>
    <t>Fyke Dianne</t>
  </si>
  <si>
    <t>Alfafara</t>
  </si>
  <si>
    <t>fykedianne@yahooo.com</t>
  </si>
  <si>
    <t>ERP - Bubbles Tienzo</t>
  </si>
  <si>
    <t>Alegre</t>
  </si>
  <si>
    <t>Agbuggo</t>
  </si>
  <si>
    <t>jeffreyson.agbuggo@live.com</t>
  </si>
  <si>
    <t>Kristine Joy</t>
  </si>
  <si>
    <t>Rosalinda</t>
  </si>
  <si>
    <t>Ave</t>
  </si>
  <si>
    <t>kristinejoy_rosalinda@yahoo.com.ph</t>
  </si>
  <si>
    <t>ERP - Joel Escobar</t>
  </si>
  <si>
    <t>Clarisse</t>
  </si>
  <si>
    <t>Ferrer</t>
  </si>
  <si>
    <t>Busel</t>
  </si>
  <si>
    <t>yas_clarisse@yahoo.com</t>
  </si>
  <si>
    <t>Rhona Mea</t>
  </si>
  <si>
    <t>Loreta</t>
  </si>
  <si>
    <t>Delotavo</t>
  </si>
  <si>
    <t>mea_delotavo@gmail.com</t>
  </si>
  <si>
    <t>Africano</t>
  </si>
  <si>
    <t>Delos Reyes</t>
  </si>
  <si>
    <t>michaeljohn_dreyes@gmail.com</t>
  </si>
  <si>
    <t>Eleandro</t>
  </si>
  <si>
    <t>Mondido</t>
  </si>
  <si>
    <t>Fermindoza</t>
  </si>
  <si>
    <t>eliefermindoza@yahoo.com</t>
  </si>
  <si>
    <t>John Michael Vincent</t>
  </si>
  <si>
    <t>De Los Angeles</t>
  </si>
  <si>
    <t>Giberson</t>
  </si>
  <si>
    <t>simplyjohn11@yahoo.com.ph</t>
  </si>
  <si>
    <t>Cathlaine</t>
  </si>
  <si>
    <t>Olegario</t>
  </si>
  <si>
    <t>Macam</t>
  </si>
  <si>
    <t>macamcathlaine@yahoo.com</t>
  </si>
  <si>
    <t>Reychelle</t>
  </si>
  <si>
    <t>Castillo</t>
  </si>
  <si>
    <t>Mañgaliag</t>
  </si>
  <si>
    <t>ladyreign14@gmail.com</t>
  </si>
  <si>
    <t>Pascasio</t>
  </si>
  <si>
    <t>sfpascasio@gmail.com</t>
  </si>
  <si>
    <t>Janet</t>
  </si>
  <si>
    <t>Palmes</t>
  </si>
  <si>
    <t>Oliver</t>
  </si>
  <si>
    <t>Gab</t>
  </si>
  <si>
    <t>Carlo Nathaniel</t>
  </si>
  <si>
    <t>Lagarto</t>
  </si>
  <si>
    <t>Rosal</t>
  </si>
  <si>
    <t>nathaniel040692@hotmail.com</t>
  </si>
  <si>
    <t>402-050-870</t>
  </si>
  <si>
    <t>Ocol, Joselito Ruiz</t>
  </si>
  <si>
    <t>Alfafara, Fyke Dianne Villanueva</t>
  </si>
  <si>
    <t>Ave, Kristine Joy Rosalinda</t>
  </si>
  <si>
    <t>Busel, Clarisse Ferrer</t>
  </si>
  <si>
    <t>Delotavo, Rhona Mea Loreta</t>
  </si>
  <si>
    <t>Delos Reyes, Michael John Africano</t>
  </si>
  <si>
    <t>Fermindoza, Eleandro Mondido</t>
  </si>
  <si>
    <t>Giberson, John Michael Vincent De Los Angeles</t>
  </si>
  <si>
    <t>Macam, Cathlaine Olegario</t>
  </si>
  <si>
    <t>Mañgaliag, Reychelle Castillo</t>
  </si>
  <si>
    <t>Oliver, Janet Palmes</t>
  </si>
  <si>
    <t>Rosal, Carlo Nathaniel Lagarto</t>
  </si>
  <si>
    <t>1211-1622-7476</t>
  </si>
  <si>
    <t>01-051841702-4</t>
  </si>
  <si>
    <t>265-724-810</t>
  </si>
  <si>
    <t>Paula Camille</t>
  </si>
  <si>
    <t>Quiazon</t>
  </si>
  <si>
    <t>Siquian</t>
  </si>
  <si>
    <t>camillesiquian@gmail.com</t>
  </si>
  <si>
    <t>Siquian, Paula Camille Quiazon</t>
  </si>
  <si>
    <t>02-025767757-6</t>
  </si>
  <si>
    <t>34-2258449-9</t>
  </si>
  <si>
    <t>jocol@psgglobalsolutions.com</t>
  </si>
  <si>
    <t>falfafara@psgglobalsolutions.com</t>
  </si>
  <si>
    <t>jagbuggo@psgglobalsolutions.com</t>
  </si>
  <si>
    <t>kave@psgglobalsolutions.com</t>
  </si>
  <si>
    <t>cbusel@psgglobalsolutions.com</t>
  </si>
  <si>
    <t>rdelotavo@psgglobalsolutions.com</t>
  </si>
  <si>
    <t>mdelosreyes@psgglobalsolutions.com</t>
  </si>
  <si>
    <t>efermindoza@psgglobalsolutions.com</t>
  </si>
  <si>
    <t>jgiberson@psgglobalsolutions.com</t>
  </si>
  <si>
    <t>cmacam@psgglobalsolutions.com</t>
  </si>
  <si>
    <t>rmangaliag@psgglobalsolutions.com</t>
  </si>
  <si>
    <t>spascasio@psgglobalsolutions.com</t>
  </si>
  <si>
    <t>joliver@psgglobalsolutions.com</t>
  </si>
  <si>
    <t>crosal@psgglobalsolutions.com</t>
  </si>
  <si>
    <t>psiquian@psgglobalsolutions.com</t>
  </si>
  <si>
    <t>01-050729763-9</t>
  </si>
  <si>
    <t>23 Peru St. Phase 1, Greenheights Subd. Concepcion Uno Marikina</t>
  </si>
  <si>
    <t>05-0577393-9</t>
  </si>
  <si>
    <t>1210-1201-6579</t>
  </si>
  <si>
    <t>08-050612226-4</t>
  </si>
  <si>
    <t>Agbuggo, Jeffreyson Alegre</t>
  </si>
  <si>
    <t>Jeffreyson</t>
  </si>
  <si>
    <t>Sherwin Romel</t>
  </si>
  <si>
    <t>Pascasio, Sherwin Romel Francisco</t>
  </si>
  <si>
    <t>Rodriguez, Joshua</t>
  </si>
  <si>
    <t>500-088-992</t>
  </si>
  <si>
    <t>278-910-742</t>
  </si>
  <si>
    <t>1211-4079-1713</t>
  </si>
  <si>
    <t>01-051250249-6</t>
  </si>
  <si>
    <t>56 E. Santos St. Sto. Tomas, Pasig</t>
  </si>
  <si>
    <t>1210-2336-8625</t>
  </si>
  <si>
    <t>01-050619177-2</t>
  </si>
  <si>
    <t>19-090440227-7</t>
  </si>
  <si>
    <t>31 Cattleya St., St Michael Subd. Meycauayan Bulacan</t>
  </si>
  <si>
    <t>Blk 44 Lot 9 Yellow Bell, Pembo Makati</t>
  </si>
  <si>
    <t>01-052013326-2</t>
  </si>
  <si>
    <t>317-640-108</t>
  </si>
  <si>
    <t>101 Marcelo 1 Mahogany Bagumbayan Taguig</t>
  </si>
  <si>
    <t>01-1960866-5</t>
  </si>
  <si>
    <t>278-971-383</t>
  </si>
  <si>
    <t>1210-1897-9858</t>
  </si>
  <si>
    <t>04-050106868-5</t>
  </si>
  <si>
    <t>Unit 325 Cityland Pioneer St.  Mandaluyong</t>
  </si>
  <si>
    <t>11 Mancup Calasiao Pangasinan</t>
  </si>
  <si>
    <t>Unit 306 Sambeli Apt., R. Hernandez St., San Joaquin, Pasig</t>
  </si>
  <si>
    <t>Blk 1, Lot 34/36, Abraham St., San Agustin Valley Homes, Carmen, Cagayan De Oro</t>
  </si>
  <si>
    <t>08-1780475-8</t>
  </si>
  <si>
    <t>01-051408519-1</t>
  </si>
  <si>
    <t>1210-4111-6190</t>
  </si>
  <si>
    <t>295-001-212</t>
  </si>
  <si>
    <t>171 N. Cuevas St. Kalawaan Pasig</t>
  </si>
  <si>
    <t>9C Fairfax 3 California Gardens Mandaluyong</t>
  </si>
  <si>
    <t>1609 Main St Paco Manila</t>
  </si>
  <si>
    <t>120 Pio St. Marulas, Valenzuela</t>
  </si>
  <si>
    <t>12  Mt. Rainier St. Filinvest Homes 1 Batasan Hills, Quezon City</t>
  </si>
  <si>
    <t>B5 L9 Tulip St. Lupang Biyaya, West Fairview, Quezon City</t>
  </si>
  <si>
    <t>2377 Antipolo St. Guadalupe Nuevo, Makati</t>
  </si>
  <si>
    <t>1533 Eusebio St. Pandacan Manila</t>
  </si>
  <si>
    <t>01-050417731-4</t>
  </si>
  <si>
    <t>1211-3818-0740</t>
  </si>
  <si>
    <t>04-2189098-3</t>
  </si>
  <si>
    <t>1210-3692-4161</t>
  </si>
  <si>
    <t>01-050892563-3</t>
  </si>
  <si>
    <t>13-050169537-9</t>
  </si>
  <si>
    <t>257-610-140</t>
  </si>
  <si>
    <t>33-9842379-4</t>
  </si>
  <si>
    <t>01-050637296-3</t>
  </si>
  <si>
    <t>03-050964239-3</t>
  </si>
  <si>
    <t>02-050986590-7</t>
  </si>
  <si>
    <t>01-050829778-0</t>
  </si>
  <si>
    <t>1210-2834-6823</t>
  </si>
  <si>
    <t>1210-5498-7593</t>
  </si>
  <si>
    <t>34-0678297-4</t>
  </si>
  <si>
    <t>1210-3574-3919</t>
  </si>
  <si>
    <t>34-1300652-0</t>
  </si>
  <si>
    <t>430-983-457</t>
  </si>
  <si>
    <t>11-050586891-9</t>
  </si>
  <si>
    <t>Blk 7 Lot 21 Purok Pagaida-et, Phase VI-A Brgy Handumanan, Bacolod</t>
  </si>
  <si>
    <t>03-050881033-0</t>
  </si>
  <si>
    <t>309-078-550</t>
  </si>
  <si>
    <t>1210-6226-4113</t>
  </si>
  <si>
    <t>01-051222241-8</t>
  </si>
  <si>
    <t>34-2624495-5</t>
  </si>
  <si>
    <t>B9 L 38 Gumamba St. Via Verde Village San Agustin II Dasmariñas Cavite</t>
  </si>
  <si>
    <t>34-1451046-8</t>
  </si>
  <si>
    <t>1210-9677-0524</t>
  </si>
  <si>
    <t>01-051521123-9</t>
  </si>
  <si>
    <t>01-051490046-4</t>
  </si>
  <si>
    <t>34-2300502-9</t>
  </si>
  <si>
    <t>01-051062032-7</t>
  </si>
  <si>
    <t>417-772-197</t>
  </si>
  <si>
    <t>01-052017968-8</t>
  </si>
  <si>
    <t>34-4262198-9</t>
  </si>
  <si>
    <t>Milagrosa St Daang Amaya I Tanza Cavite</t>
  </si>
  <si>
    <t>Unit 7 Cuneta Astrodome, Derham Park, Roxas Blvd Pasay</t>
  </si>
  <si>
    <t>250-139-280</t>
  </si>
  <si>
    <t>1211-3985-7678</t>
  </si>
  <si>
    <t>Gracie Angeli</t>
  </si>
  <si>
    <t>Gonzales</t>
  </si>
  <si>
    <t>Dimero</t>
  </si>
  <si>
    <t>gracieangeliedimero@gmail.com</t>
  </si>
  <si>
    <t>April Ruth</t>
  </si>
  <si>
    <t>Bobis</t>
  </si>
  <si>
    <t>Ngaseo</t>
  </si>
  <si>
    <t>aprilruth@lawyer.com</t>
  </si>
  <si>
    <t>Davocol</t>
  </si>
  <si>
    <t>heylookitscj@gmail.com</t>
  </si>
  <si>
    <t>San Juan</t>
  </si>
  <si>
    <t>Mariz</t>
  </si>
  <si>
    <t>Rivera</t>
  </si>
  <si>
    <t>Arroyo</t>
  </si>
  <si>
    <t>arroyo_mariz@ymail.com</t>
  </si>
  <si>
    <t>Caroline</t>
  </si>
  <si>
    <t>Raymundo</t>
  </si>
  <si>
    <t>carolineraymundo@ymail.com</t>
  </si>
  <si>
    <t>Jobfair</t>
  </si>
  <si>
    <t>Lira</t>
  </si>
  <si>
    <t>Yaptangco</t>
  </si>
  <si>
    <t>angelieyaptangco@y.c.</t>
  </si>
  <si>
    <t>Romnick</t>
  </si>
  <si>
    <t>Barrera</t>
  </si>
  <si>
    <t>Legaspi</t>
  </si>
  <si>
    <t>nhickrom@gmail.com</t>
  </si>
  <si>
    <t>Elmo</t>
  </si>
  <si>
    <t>Morre</t>
  </si>
  <si>
    <t>Viloria</t>
  </si>
  <si>
    <t>spectralpoetry@yahoo.com</t>
  </si>
  <si>
    <t>Earl Jerosh</t>
  </si>
  <si>
    <t>Barangan</t>
  </si>
  <si>
    <t>ejeroshbarangan@yahoo.com</t>
  </si>
  <si>
    <t>Rhose Ann</t>
  </si>
  <si>
    <t>David</t>
  </si>
  <si>
    <t>rannedavid@gmail.com</t>
  </si>
  <si>
    <t>Delailah Reynelsa</t>
  </si>
  <si>
    <t>Malte</t>
  </si>
  <si>
    <t>Paredes</t>
  </si>
  <si>
    <t>drmparedes@yahoo.com</t>
  </si>
  <si>
    <t>Regine</t>
  </si>
  <si>
    <t>Buban</t>
  </si>
  <si>
    <t>Montialto</t>
  </si>
  <si>
    <t>pamfhudge1522@yahoo.com</t>
  </si>
  <si>
    <t>Gerome</t>
  </si>
  <si>
    <t>Gingco</t>
  </si>
  <si>
    <t>Ladylee</t>
  </si>
  <si>
    <t>Pujeda</t>
  </si>
  <si>
    <t>Santidad</t>
  </si>
  <si>
    <t>lilysantidad@yahoo.com</t>
  </si>
  <si>
    <t>Dimero, Gracie Angeli Gonzales</t>
  </si>
  <si>
    <t>Ngaseo, April Ruth Bobis</t>
  </si>
  <si>
    <t>Rodriguez, Christopher Davocol</t>
  </si>
  <si>
    <t>Arroyo, Mariz Rivera</t>
  </si>
  <si>
    <t>Raymundo, Caroline Cortez</t>
  </si>
  <si>
    <t>Legaspi, Romnick Barrera</t>
  </si>
  <si>
    <t>Viloria, Elmo Morre</t>
  </si>
  <si>
    <t>Barangan, Earl Jerosh San Juan</t>
  </si>
  <si>
    <t>David, Rhose Ann Francisco</t>
  </si>
  <si>
    <t>Paredes, Delailah Reynelsa Malte</t>
  </si>
  <si>
    <t>Montialto, Regine Buban</t>
  </si>
  <si>
    <t xml:space="preserve">Gingco, Gerome </t>
  </si>
  <si>
    <t>Santidad, Ladylee Pujeda</t>
  </si>
  <si>
    <t>Andrea Sea Viviene</t>
  </si>
  <si>
    <t>Solaña</t>
  </si>
  <si>
    <t>andreaseaviviene@gmail.com</t>
  </si>
  <si>
    <t>Mendoza, Andrea Sea Viviene Solaña</t>
  </si>
  <si>
    <t>Recuitment Coordinator</t>
  </si>
  <si>
    <t>Yaptangco, Cecelia Angelie Grace Lira</t>
  </si>
  <si>
    <t>Cecelia Angelie Grace</t>
  </si>
  <si>
    <t>Christopher J</t>
  </si>
  <si>
    <t>01-051450039-3</t>
  </si>
  <si>
    <t>1211-2409-2350</t>
  </si>
  <si>
    <t>34-3744884-7</t>
  </si>
  <si>
    <t>Peca</t>
  </si>
  <si>
    <t>01-051509798-3</t>
  </si>
  <si>
    <t>34-3247905-7</t>
  </si>
  <si>
    <t>311-675-995</t>
  </si>
  <si>
    <t>398 Sta. Rita St. Sav VI, Parañaque</t>
  </si>
  <si>
    <t>01-051622950-6</t>
  </si>
  <si>
    <t>435-044-611</t>
  </si>
  <si>
    <t>1210-9295-3285</t>
  </si>
  <si>
    <t>34-3122365-7</t>
  </si>
  <si>
    <t>34-1894979-2</t>
  </si>
  <si>
    <t>1211-4066-1194</t>
  </si>
  <si>
    <t>01-051050177-8</t>
  </si>
  <si>
    <t>418-164-377</t>
  </si>
  <si>
    <t>1210-3118-9783</t>
  </si>
  <si>
    <t>1210-9889-7309</t>
  </si>
  <si>
    <t>07-3247675-3</t>
  </si>
  <si>
    <t>259-610-719</t>
  </si>
  <si>
    <t>2316 (2014) 3/31/2015</t>
  </si>
  <si>
    <t>1211-4047-6510</t>
  </si>
  <si>
    <t>1210-9052-6433</t>
  </si>
  <si>
    <t>02-050995788-7</t>
  </si>
  <si>
    <t>Blk 32 Lt 1 Kindness St. Goodwill Homes I Novaliches Quezon City</t>
  </si>
  <si>
    <t>34-3107863-7</t>
  </si>
  <si>
    <t>315-361-292</t>
  </si>
  <si>
    <t>SCM</t>
  </si>
  <si>
    <t>400-407-783</t>
  </si>
  <si>
    <t>309-071-813</t>
  </si>
  <si>
    <t>Singh, Anant</t>
  </si>
  <si>
    <t>Martin Paolo</t>
  </si>
  <si>
    <t>Aluiz</t>
  </si>
  <si>
    <t>Agpalo</t>
  </si>
  <si>
    <t>Jeremiah</t>
  </si>
  <si>
    <t>Calzo</t>
  </si>
  <si>
    <t>Maria Eliza Joy</t>
  </si>
  <si>
    <t>Lingcallo</t>
  </si>
  <si>
    <t>Franco</t>
  </si>
  <si>
    <t>Maica Angeli</t>
  </si>
  <si>
    <t>Maniago</t>
  </si>
  <si>
    <t>Lozano</t>
  </si>
  <si>
    <t>Joan April</t>
  </si>
  <si>
    <t>Altarejos</t>
  </si>
  <si>
    <t>Niolar</t>
  </si>
  <si>
    <t>Abbie Jane</t>
  </si>
  <si>
    <t>Espiritu</t>
  </si>
  <si>
    <t>Seradoy</t>
  </si>
  <si>
    <t>DEnise</t>
  </si>
  <si>
    <t>Roma</t>
  </si>
  <si>
    <t>Sinoro</t>
  </si>
  <si>
    <t>Macy Francesca</t>
  </si>
  <si>
    <t>Tiglao</t>
  </si>
  <si>
    <t>Lor Wil</t>
  </si>
  <si>
    <t>Trangia</t>
  </si>
  <si>
    <t>1210-8136-1803</t>
  </si>
  <si>
    <t>Agpalo, Martin Paolo Aluiz</t>
  </si>
  <si>
    <t>magpalo@psgglobalsolutions.com</t>
  </si>
  <si>
    <t>Calzo, Jeremiah Santos</t>
  </si>
  <si>
    <t>jcalzo@psgglobalsolutions.com</t>
  </si>
  <si>
    <t>Franco, Maria Eliza Joy Lingcallo</t>
  </si>
  <si>
    <t>mfranco@psgglobalsolutions.com</t>
  </si>
  <si>
    <t>Lozano, Maica Angeli Maniago</t>
  </si>
  <si>
    <t>mlozano@psgglobalsolutions.com</t>
  </si>
  <si>
    <t>Niolar, Joan April Altarejos</t>
  </si>
  <si>
    <t>jniolar@psgglobalsolutions.com</t>
  </si>
  <si>
    <t>Seradoy, Abbie Jane Espiritu</t>
  </si>
  <si>
    <t>aseradoy@psgglobalsolutions.com</t>
  </si>
  <si>
    <t>Sinoro, Rochelle Ann Roma</t>
  </si>
  <si>
    <t>rsinoro@psgglobalsolutions.com</t>
  </si>
  <si>
    <t>Tiglao, Macy Francesca Legaspi</t>
  </si>
  <si>
    <t>mtiglao@psgglobalsolutions.com</t>
  </si>
  <si>
    <t>ltrangia@psgglobalsolutions.com</t>
  </si>
  <si>
    <t>03-050526175-1</t>
  </si>
  <si>
    <t>04 Old Cabugao St. Sauyo Road., Novaliches Quezon City</t>
  </si>
  <si>
    <t>293-064-651</t>
  </si>
  <si>
    <t>34-1027594-3</t>
  </si>
  <si>
    <t>Restaurant Specialist</t>
  </si>
  <si>
    <t>Rhodalein Ann</t>
  </si>
  <si>
    <t>Laboga</t>
  </si>
  <si>
    <t>LIM</t>
  </si>
  <si>
    <t>GINGCO</t>
  </si>
  <si>
    <t>Balanay</t>
  </si>
  <si>
    <t>ZAFE</t>
  </si>
  <si>
    <t>BOCBOC</t>
  </si>
  <si>
    <t>BUSEL</t>
  </si>
  <si>
    <t>RODA</t>
  </si>
  <si>
    <t>SALES</t>
  </si>
  <si>
    <t>GAPAS</t>
  </si>
  <si>
    <t>DELOTAVO</t>
  </si>
  <si>
    <t>TOLENTINO</t>
  </si>
  <si>
    <t>DOMINGO</t>
  </si>
  <si>
    <t>408-821-223</t>
  </si>
  <si>
    <t>FERMINDOZA</t>
  </si>
  <si>
    <t>ALFAFARA</t>
  </si>
  <si>
    <t>308-311-067</t>
  </si>
  <si>
    <t>NEMENZO</t>
  </si>
  <si>
    <t>Ma. Donna Rizza</t>
  </si>
  <si>
    <t>mybhear_08@yahoo.com</t>
  </si>
  <si>
    <t>Fourteen (14) employees</t>
  </si>
  <si>
    <t>Khedalyn</t>
  </si>
  <si>
    <t>Vargas</t>
  </si>
  <si>
    <t>Basas</t>
  </si>
  <si>
    <t>Program Manager</t>
  </si>
  <si>
    <t xml:space="preserve">Trangia, Lor Wil </t>
  </si>
  <si>
    <t>Laboga, Rhodalein Ann</t>
  </si>
  <si>
    <t>Vargas, Khedalyn Basas</t>
  </si>
  <si>
    <t>Singh</t>
  </si>
  <si>
    <t>Anant</t>
  </si>
  <si>
    <t>Vice President</t>
  </si>
  <si>
    <t>kvargas@psgglobalsolutions.com</t>
  </si>
  <si>
    <t>ERP - Kimberly Lalwani</t>
  </si>
  <si>
    <t>rlaboga@psgglobalsolutions.com</t>
  </si>
  <si>
    <t>gimero@psgglobalsolutions.com</t>
  </si>
  <si>
    <t>angaseo@psgglobalsolutions.com</t>
  </si>
  <si>
    <t>crodriguez@psgglobalsolutions.com</t>
  </si>
  <si>
    <t>marroyo@psgglobalsolutions.com</t>
  </si>
  <si>
    <t>craymundo@psgglobalsolutions.com</t>
  </si>
  <si>
    <t>cyaptangco@psgglobalsolutions.com</t>
  </si>
  <si>
    <t>rlegaspi@psgglobalsolutions.com</t>
  </si>
  <si>
    <t>eviloria@psgglobalsolutions.com</t>
  </si>
  <si>
    <t>ebarangan@psgglobalsolutions.com</t>
  </si>
  <si>
    <t>rdavid@psgglobalsolutions.com</t>
  </si>
  <si>
    <t>dparedes@psgglobalsolutions.com</t>
  </si>
  <si>
    <t>rmontialto@psgglobalsolutions.com</t>
  </si>
  <si>
    <t>ggingco@psgglobalsolutions.com</t>
  </si>
  <si>
    <t>lsantidad@psgglobalsolutions.com</t>
  </si>
  <si>
    <t>amendoza@psgglobalsolutions.com</t>
  </si>
  <si>
    <t>34-4055929-9</t>
  </si>
  <si>
    <t>456-821-241</t>
  </si>
  <si>
    <t>1211-4044-0064</t>
  </si>
  <si>
    <t>01-050776540-3</t>
  </si>
  <si>
    <t>34-1862498-1</t>
  </si>
  <si>
    <t>02-050666554-0</t>
  </si>
  <si>
    <t>286-418-043</t>
  </si>
  <si>
    <t>3 = w/bus</t>
  </si>
  <si>
    <t>1 = RDO 50</t>
  </si>
  <si>
    <t>1210-7880-7591</t>
  </si>
  <si>
    <t>07-2803147-4</t>
  </si>
  <si>
    <t>315-254-414</t>
  </si>
  <si>
    <t>34-1517344-8</t>
  </si>
  <si>
    <t>34-1782310-7</t>
  </si>
  <si>
    <t>314-167-168</t>
  </si>
  <si>
    <t>1210-9001-0887</t>
  </si>
  <si>
    <t>1210-6615-0960</t>
  </si>
  <si>
    <t>34-1503772-0</t>
  </si>
  <si>
    <t>1210-7599-4639</t>
  </si>
  <si>
    <t>Angelica</t>
  </si>
  <si>
    <t>Pagunsan</t>
  </si>
  <si>
    <t>Bagares</t>
  </si>
  <si>
    <t>Recruiter- Consumer Sales</t>
  </si>
  <si>
    <t>Dianna Ann</t>
  </si>
  <si>
    <t>Agustin</t>
  </si>
  <si>
    <t>Publico</t>
  </si>
  <si>
    <t>Maria Chavala</t>
  </si>
  <si>
    <t>Castro</t>
  </si>
  <si>
    <t>Guzman</t>
  </si>
  <si>
    <t>Lara Evadne</t>
  </si>
  <si>
    <t>De Sagun</t>
  </si>
  <si>
    <t>Batulayan</t>
  </si>
  <si>
    <t>Jett Andrew</t>
  </si>
  <si>
    <t>Roxas</t>
  </si>
  <si>
    <t>Sarah Jane</t>
  </si>
  <si>
    <t>Gane</t>
  </si>
  <si>
    <t>Macawili</t>
  </si>
  <si>
    <t>Marvie</t>
  </si>
  <si>
    <t>Javero</t>
  </si>
  <si>
    <t>Peter Cris</t>
  </si>
  <si>
    <t>Casiño</t>
  </si>
  <si>
    <t>Vera</t>
  </si>
  <si>
    <t>JC Gayoma </t>
  </si>
  <si>
    <t>Alyssa Janelle</t>
  </si>
  <si>
    <t>Jimeno</t>
  </si>
  <si>
    <t>Duque</t>
  </si>
  <si>
    <t>PJ Vergara/ Ben Segovia</t>
  </si>
  <si>
    <t>Marou Louis</t>
  </si>
  <si>
    <t>Novora</t>
  </si>
  <si>
    <t>Jade Beatriz</t>
  </si>
  <si>
    <t>Leyba</t>
  </si>
  <si>
    <t>Manalili</t>
  </si>
  <si>
    <t>ARP-Roxanne Verdera</t>
  </si>
  <si>
    <t>Roxanne</t>
  </si>
  <si>
    <t>Aguilar</t>
  </si>
  <si>
    <t>Verdera</t>
  </si>
  <si>
    <t>Margareth</t>
  </si>
  <si>
    <t>Pura</t>
  </si>
  <si>
    <t>Leyretana</t>
  </si>
  <si>
    <t>Reinerio</t>
  </si>
  <si>
    <t>Avenido</t>
  </si>
  <si>
    <t>Sobior</t>
  </si>
  <si>
    <t>Maciste Cheyenne</t>
  </si>
  <si>
    <t>Ramasasa</t>
  </si>
  <si>
    <t>Hipe</t>
  </si>
  <si>
    <t>Darilyn</t>
  </si>
  <si>
    <t>Idos</t>
  </si>
  <si>
    <t>Camba</t>
  </si>
  <si>
    <t>Kris Benjamin</t>
  </si>
  <si>
    <t>Abestano</t>
  </si>
  <si>
    <t>Hona</t>
  </si>
  <si>
    <t>Maria Sophyia</t>
  </si>
  <si>
    <t>Geriente</t>
  </si>
  <si>
    <t>Inano</t>
  </si>
  <si>
    <t>Roxanne Jean</t>
  </si>
  <si>
    <t>Delos Santos</t>
  </si>
  <si>
    <t>Ericka Helene</t>
  </si>
  <si>
    <t>Precious Anne</t>
  </si>
  <si>
    <t>Edralin</t>
  </si>
  <si>
    <t>Villareal</t>
  </si>
  <si>
    <t>ERP - Alwyn Sergio</t>
  </si>
  <si>
    <t>Cherry May</t>
  </si>
  <si>
    <t>Balasa</t>
  </si>
  <si>
    <t>Gayanilo</t>
  </si>
  <si>
    <t>Noel</t>
  </si>
  <si>
    <t>Maria Angeles</t>
  </si>
  <si>
    <t>Leaño</t>
  </si>
  <si>
    <t>Nagtalon</t>
  </si>
  <si>
    <t>Vera, Peter Cris Casiño</t>
  </si>
  <si>
    <t>Duque, Alyssa Janelle Jimeno</t>
  </si>
  <si>
    <t>Cruz, Marou Louis Novora</t>
  </si>
  <si>
    <t>Manalili, Jade Beatriz Leyba</t>
  </si>
  <si>
    <t>Verdera, Roxanne Aguilar</t>
  </si>
  <si>
    <t>Leyretana, Margareth Pura</t>
  </si>
  <si>
    <t>Sobior, Reinerio Avenido</t>
  </si>
  <si>
    <t>Hipe, Maciste Cheyenne Ramasasa</t>
  </si>
  <si>
    <t>Camba, Darilyn Idos</t>
  </si>
  <si>
    <t>Hona, Kris Benjamin Abestano</t>
  </si>
  <si>
    <t>Inano, Maria Sophyia Geriente</t>
  </si>
  <si>
    <t>Paredes, Roxanne Jean Delos Santos</t>
  </si>
  <si>
    <t>Santos, Ericka Helene Fernandez</t>
  </si>
  <si>
    <t>Villareal, Precious Anne Edralin</t>
  </si>
  <si>
    <t>Gayanilo, Cherry May Balasa</t>
  </si>
  <si>
    <t>De Leon, Noel</t>
  </si>
  <si>
    <t>Nagtalon, Maria Angeles Leaño</t>
  </si>
  <si>
    <t>Bagares, Angelica Pagunsan</t>
  </si>
  <si>
    <t>Publico, Dianna Ann Agustin</t>
  </si>
  <si>
    <t>Guzman, Maria Chavala Castro</t>
  </si>
  <si>
    <t>Batulayan, Lara Evadne De Sagun</t>
  </si>
  <si>
    <t>Roxas, Jett Andrew Francisco</t>
  </si>
  <si>
    <t>Dela Cruz, Sarah Jane Cruz</t>
  </si>
  <si>
    <t>LA ROSA, John Angelo S</t>
  </si>
  <si>
    <t>NSrReclev3</t>
  </si>
  <si>
    <t>Z</t>
  </si>
  <si>
    <t>MANALAYSAY, Jan Carlo T</t>
  </si>
  <si>
    <t>NSrReclev2</t>
  </si>
  <si>
    <t>ARCE, Princess S</t>
  </si>
  <si>
    <t>VARGAS, Jacqueline D</t>
  </si>
  <si>
    <t>BONIFACIO, Shara Jane S</t>
  </si>
  <si>
    <t>CINCO, Fernan E</t>
  </si>
  <si>
    <t>BARRETTO, Aarica Therise -</t>
  </si>
  <si>
    <t>GlobProLd</t>
  </si>
  <si>
    <t>Ignacio, Lyza Jolina E</t>
  </si>
  <si>
    <t>RABAGO, Marie Kirsten A</t>
  </si>
  <si>
    <t>Aranas, Gerald M</t>
  </si>
  <si>
    <t>IntResLvl2</t>
  </si>
  <si>
    <t>LALA,  Maria Louielyn Ann F</t>
  </si>
  <si>
    <t>NSrReclev1</t>
  </si>
  <si>
    <t>Bardaje,  Cary M</t>
  </si>
  <si>
    <t>IntResLev1</t>
  </si>
  <si>
    <t>ESTABILLO, Daryll E</t>
  </si>
  <si>
    <t>GRIFON, Michael C</t>
  </si>
  <si>
    <t>SANTOS, Patrisha Vanessa Q</t>
  </si>
  <si>
    <t>MANALASTAS, Christian Andrei -</t>
  </si>
  <si>
    <t>PUA, Michael Francis P</t>
  </si>
  <si>
    <t>BATTUNG, She-Ra M</t>
  </si>
  <si>
    <t>JOSE Jr, Antonio A</t>
  </si>
  <si>
    <t>IOS Agent</t>
  </si>
  <si>
    <t>AZUL, Michelle Ann M</t>
  </si>
  <si>
    <t>PANGANIBAN, EUGENE I</t>
  </si>
  <si>
    <t>MOLINA, Joanna Marie C</t>
  </si>
  <si>
    <t>NOEL, Lani S</t>
  </si>
  <si>
    <t>MAGPANTAY, Ronick Anthony R</t>
  </si>
  <si>
    <t>RepSpecLv2</t>
  </si>
  <si>
    <t>De GUIA, Simon R</t>
  </si>
  <si>
    <t>ASINO, Rizie A</t>
  </si>
  <si>
    <t>Soner, Carlito A</t>
  </si>
  <si>
    <t>LeadCus</t>
  </si>
  <si>
    <t>ANDRADA, Allan S</t>
  </si>
  <si>
    <t>NEMENZO, Ma. Donna Rizza C</t>
  </si>
  <si>
    <t>DE JESUS, Karen Joy P</t>
  </si>
  <si>
    <t>MARAVILLA, Jill Cyrene B</t>
  </si>
  <si>
    <t>OROCIO, Ma. Jennylyn S</t>
  </si>
  <si>
    <t>GELLA, Jayson S</t>
  </si>
  <si>
    <t>GALVAN, Christeo J</t>
  </si>
  <si>
    <t>VIDUYA, Abigail S</t>
  </si>
  <si>
    <t>CLOVES, Avonnie Joy S</t>
  </si>
  <si>
    <t>DIONGLAY, Ma. Dona B</t>
  </si>
  <si>
    <t>GUEVARRA, Glenn Allan Ross E</t>
  </si>
  <si>
    <t>OSS</t>
  </si>
  <si>
    <t>SALVATIERRA Jr., Enrico A</t>
  </si>
  <si>
    <t>SISON, Venessa Grace -</t>
  </si>
  <si>
    <t>Sr.Pro.Mgr</t>
  </si>
  <si>
    <t>Jasme, Irish M</t>
  </si>
  <si>
    <t>DE JESUS, Camille D</t>
  </si>
  <si>
    <t>Acctg</t>
  </si>
  <si>
    <t>VALENCIA, Julfa Andione P</t>
  </si>
  <si>
    <t>De Paz, Joseph Eric L</t>
  </si>
  <si>
    <t>CAMBA, NORLAINE B</t>
  </si>
  <si>
    <t>IntRes</t>
  </si>
  <si>
    <t>Jumagdao, Jeffrey T</t>
  </si>
  <si>
    <t>NsSrTM</t>
  </si>
  <si>
    <t>NAYVE, JAMES WESLEY S</t>
  </si>
  <si>
    <t>Salise Jr., Benjamin A</t>
  </si>
  <si>
    <t>BAUTISTA, Elvize</t>
  </si>
  <si>
    <t>Rep Spec</t>
  </si>
  <si>
    <t>Diokno, Ana Cecilia T</t>
  </si>
  <si>
    <t>Del Rosario, Regina Mae J</t>
  </si>
  <si>
    <t>Chen, Camille L</t>
  </si>
  <si>
    <t>Abuid, Ronel R</t>
  </si>
  <si>
    <t>Domingo, Ralph Maron Edbert M</t>
  </si>
  <si>
    <t>Dimaano, Mhark Angelo R</t>
  </si>
  <si>
    <t>Bocboc, Jester M</t>
  </si>
  <si>
    <t>Sartorio Jr., Alexander L</t>
  </si>
  <si>
    <t>Tiamzon, Prency Tanya A</t>
  </si>
  <si>
    <t>Ave, Kristine Joy R</t>
  </si>
  <si>
    <t>SrRec lev2</t>
  </si>
  <si>
    <t>Siquian, Paula Camille Q</t>
  </si>
  <si>
    <t>Int Rec</t>
  </si>
  <si>
    <t>Gawat, Gerald G</t>
  </si>
  <si>
    <t>Ireneo, Israel S</t>
  </si>
  <si>
    <t>Santos, Marvic Sirius Anne A</t>
  </si>
  <si>
    <t>Guanlao, Nikki Jean O</t>
  </si>
  <si>
    <t>Escobar, Joel P</t>
  </si>
  <si>
    <t>Lim, Gospel D</t>
  </si>
  <si>
    <t>Tolentino, Phoenix V</t>
  </si>
  <si>
    <t>Gigante, Alejandro B</t>
  </si>
  <si>
    <t>Gapas, John Mark S</t>
  </si>
  <si>
    <t>Alfafara, Fyke Dianne V</t>
  </si>
  <si>
    <t>Agbuggo, Jeffreyson A</t>
  </si>
  <si>
    <t>SrRec lev1</t>
  </si>
  <si>
    <t>Busel, Clarisse F</t>
  </si>
  <si>
    <t>Delotavo, Rhona Mea L</t>
  </si>
  <si>
    <t>Delos Reyes, Michael John A</t>
  </si>
  <si>
    <t>Fermindoza, Eleandro M</t>
  </si>
  <si>
    <t>Giberson, John Michael Vincent D</t>
  </si>
  <si>
    <t>Macam, Cathlaine O</t>
  </si>
  <si>
    <t>Oliver, Janet P</t>
  </si>
  <si>
    <t>Rosal, Carlo Nathaniel L</t>
  </si>
  <si>
    <t>Adonis, Yeoman N</t>
  </si>
  <si>
    <t>NsStmLvL1</t>
  </si>
  <si>
    <t>ALIM, Jan Erick A</t>
  </si>
  <si>
    <t>Sr. Rec</t>
  </si>
  <si>
    <t>Busse, William S</t>
  </si>
  <si>
    <t>SrMgrIT</t>
  </si>
  <si>
    <t>DIZON, Emara Ann L</t>
  </si>
  <si>
    <t>Geron, Sarah Agatha M</t>
  </si>
  <si>
    <t>MRF</t>
  </si>
  <si>
    <t>Inocentes, Leah A</t>
  </si>
  <si>
    <t>RecConSale</t>
  </si>
  <si>
    <t>Niyo, Jay Mar G</t>
  </si>
  <si>
    <t>Roda, Martin B</t>
  </si>
  <si>
    <t>SALES, Kevin Ross S</t>
  </si>
  <si>
    <t>Tantoco, Maria Cristina -</t>
  </si>
  <si>
    <t>SrTMgr</t>
  </si>
  <si>
    <t>Zafe, Marie Francesca S</t>
  </si>
  <si>
    <t>Arroyo, Mariz R</t>
  </si>
  <si>
    <t>Barangan, Earl Jerosh S</t>
  </si>
  <si>
    <t>David, Rhose Ann F</t>
  </si>
  <si>
    <t>Dimero, Gracie Angeli G</t>
  </si>
  <si>
    <t>Gingco, Gerome -</t>
  </si>
  <si>
    <t>Mendoza, Andrea Sea Viviene S</t>
  </si>
  <si>
    <t>Rec Coor 1</t>
  </si>
  <si>
    <t>Ocol, Joselito R</t>
  </si>
  <si>
    <t>TraResL1NS</t>
  </si>
  <si>
    <t>Paredes, Delailah Reynelsa M</t>
  </si>
  <si>
    <t>Raymundo, Caroline C</t>
  </si>
  <si>
    <t>Rodriguez, Christopher J D</t>
  </si>
  <si>
    <t>Santidad, Ladylee P</t>
  </si>
  <si>
    <t>Singh, Anant -</t>
  </si>
  <si>
    <t>VPSSPG</t>
  </si>
  <si>
    <t>Viloria, Elmo M</t>
  </si>
  <si>
    <t>Yaptangco, Cecelia Angelie Grace L</t>
  </si>
  <si>
    <t>276-219-984</t>
  </si>
  <si>
    <t>33-8318377-0</t>
  </si>
  <si>
    <t>1090-0227-4877</t>
  </si>
  <si>
    <t>Current Situation</t>
  </si>
  <si>
    <t>Situation Wanted</t>
  </si>
  <si>
    <t>1. 201 File Management</t>
  </si>
  <si>
    <t>2. Pre-employment Requirements</t>
  </si>
  <si>
    <t>3. Database Management &amp; Reporting</t>
  </si>
  <si>
    <t>4. Adhoc - Admin, new hire kit, automation</t>
  </si>
  <si>
    <t>Less optimal filing scheme prone to errors.</t>
  </si>
  <si>
    <t>Well maintained hard copy and online records of documents.</t>
  </si>
  <si>
    <t>Difficulty in completing all requirements.</t>
  </si>
  <si>
    <t>Automated or vastly improved process for gathering pre-employment requirements.</t>
  </si>
  <si>
    <t>Database inaccuracies and misses due tointerdepartmental records not being in sync.</t>
  </si>
  <si>
    <t>Centralized database that is constantly updated and cross checked for inaccuracies.</t>
  </si>
  <si>
    <t>Misses and inaccuracies in preparation of data and kits.</t>
  </si>
  <si>
    <t>Zero mistakes and timely delivery of such data and kits.</t>
  </si>
  <si>
    <t>aduque@psgglobalsolutions.com</t>
  </si>
  <si>
    <t>hmacawili@psgglobalsolutions.com</t>
  </si>
  <si>
    <t>mjavero@psgglobalsolutions.com</t>
  </si>
  <si>
    <t>pvera@psgglobalsolutions.com</t>
  </si>
  <si>
    <t>mcruz@psgglobalsolutions.com</t>
  </si>
  <si>
    <t>jmanalili@psgglobalsolutions.com</t>
  </si>
  <si>
    <t>rverdera@psgglobalsolutions.com</t>
  </si>
  <si>
    <t>mleyretana@psgglobalsolutions.com</t>
  </si>
  <si>
    <t>rsobior@psgglobalsolutions.com</t>
  </si>
  <si>
    <t>mhipe@psgglobalsolutions.com</t>
  </si>
  <si>
    <t>dcamba@psgglobalsolutions.com</t>
  </si>
  <si>
    <t>khona@psgglobalsolutions.com</t>
  </si>
  <si>
    <t>minano@psgglobalsolutions.com</t>
  </si>
  <si>
    <t>rparedes@psgglobalsolutions.com</t>
  </si>
  <si>
    <t>esantos@psgglobalsolutions.com</t>
  </si>
  <si>
    <t>pvillareal@psgglobalsolutions.com</t>
  </si>
  <si>
    <t>cgayanilo@psgglobalsolutions.com</t>
  </si>
  <si>
    <t>mnagtalon@psgglobalsolutions.com</t>
  </si>
  <si>
    <t>abagares@psgglobalsolutions.com</t>
  </si>
  <si>
    <t>dpublico@psgglobalsolutions.com</t>
  </si>
  <si>
    <t>mguzman@psgglobalsolutions.com</t>
  </si>
  <si>
    <t>lbatulayan@psgglobalsolutions.com</t>
  </si>
  <si>
    <t>jroxas@psgglobalsolutions.com</t>
  </si>
  <si>
    <t>sdelacruz@psgglobalsolutions.com</t>
  </si>
  <si>
    <t>#83 Purok I Buntong Palay Silangan, San Mateo Rizal</t>
  </si>
  <si>
    <t>01-050342731-7</t>
  </si>
  <si>
    <t>1211-0911-1101</t>
  </si>
  <si>
    <t>Blk 13 Lot 13, Sampaloc St. Area D Zone 15, Camarin Caloocan City</t>
  </si>
  <si>
    <t>9064082769/9162089820</t>
  </si>
  <si>
    <t>ERP - Bezaleel Climacosa</t>
  </si>
  <si>
    <t>59 San Diego Subd., Caloocan City</t>
  </si>
  <si>
    <t>The Beacon Condominium Tower I U-3803 Don Chino Roces, San Lorenzo Makati City</t>
  </si>
  <si>
    <t>4DK  St. Magsaysay, Brgy Manggahan Pasig City</t>
  </si>
  <si>
    <t>89 Q San Pedro St. Carmencita Vill Talon 3, Las Piñas City</t>
  </si>
  <si>
    <t>Blk 7 Lot 20 Phase 1 Sta. Elena Subd. Brgy. San Jose, Antipolo, Rizal</t>
  </si>
  <si>
    <t>18E Agueda, St., Bahay Toro Project 8, Quezon City</t>
  </si>
  <si>
    <t>#65 F. Banaag St. Brgy. Pineda, Pasig City</t>
  </si>
  <si>
    <t>B20 L58-59 Hamilton Heights, Las Piñas City</t>
  </si>
  <si>
    <t>85 Fernando Ave. Calumpag, Marikina City</t>
  </si>
  <si>
    <t>188 A. Luna St. Poblacion, Mandaluyong City</t>
  </si>
  <si>
    <t>Blk 701 Lot 1 Ph 3  Metrogate Marilao Bulacan</t>
  </si>
  <si>
    <t>735 A. Del Rosario St. San Roque, Cavite City</t>
  </si>
  <si>
    <t>1210-1080-2500</t>
  </si>
  <si>
    <t>1010-0111-2529</t>
  </si>
  <si>
    <t>Cruz, Kimberley Jane Delim</t>
  </si>
  <si>
    <t>Macawili, Hannajo Gane</t>
  </si>
  <si>
    <t>Hannajo</t>
  </si>
  <si>
    <t>#41 Ilang-Ilang St. Camella Homes 2 OPSV Parañaque City</t>
  </si>
  <si>
    <t>Blk 1 Lot 6 Isla Verde St., Brgy Pitogo Makati City</t>
  </si>
  <si>
    <t>23 J E. Jacinto St., West Rembo Fort Bonifacio, Makati City</t>
  </si>
  <si>
    <t>#1110 Durian St. Camarin Area D Caloocan City</t>
  </si>
  <si>
    <t>Php 27,000</t>
  </si>
  <si>
    <t>2425 Pasig Line St. Sta. Ana, Manila</t>
  </si>
  <si>
    <t>Unit C5 Bldg 23, GSIS Homes, Anonas St. Sta. Mesa, Manila</t>
  </si>
  <si>
    <t>Php 92.31/hour</t>
  </si>
  <si>
    <t>Php 1,000 (prorated hourly</t>
  </si>
  <si>
    <t>Php, 3,000</t>
  </si>
  <si>
    <t>310-487-589</t>
  </si>
  <si>
    <t>59 Rosal St P-3, Silverio Compound Brgy. San Isidro, Parañaque</t>
  </si>
  <si>
    <t>865 B. St. Paul. Barracks II, Tala, Caloocan City</t>
  </si>
  <si>
    <t>1405 Tayuman St, Sta. Cruz, Manila</t>
  </si>
  <si>
    <t>24 E Aniceta, Kaingin Rd., Balintawak, Quezon City</t>
  </si>
  <si>
    <t>888 Sta. Ana, Bulakan, Bulacan</t>
  </si>
  <si>
    <t>95 Balubad St, Nangka, Marikina City</t>
  </si>
  <si>
    <t>8407 E Mayapis St, San Antonio Vill, Makati</t>
  </si>
  <si>
    <t>03-25282724-9</t>
  </si>
  <si>
    <t>1211-3902-8135</t>
  </si>
  <si>
    <t>277-677-703</t>
  </si>
  <si>
    <t>201 A P. Burgos St. Tacloban City</t>
  </si>
  <si>
    <t>281-266-974</t>
  </si>
  <si>
    <t>34-0135476-3</t>
  </si>
  <si>
    <t>286-834-753</t>
  </si>
  <si>
    <t>03-050668989-5</t>
  </si>
  <si>
    <t>1210-1163-5372</t>
  </si>
  <si>
    <t>34-2399474-5</t>
  </si>
  <si>
    <t>232-397-319</t>
  </si>
  <si>
    <t>09 BB Flores St. Tuktukan Taguig City</t>
  </si>
  <si>
    <t>33-9023284-4</t>
  </si>
  <si>
    <t>23 Tanguile St., Marikina Heights, Marikina City</t>
  </si>
  <si>
    <t>2316 (2014) - 4/15/2015</t>
  </si>
  <si>
    <t>433-724-430</t>
  </si>
  <si>
    <t>10230 Everlasting St. Brgy Sbd. Dau Mabalacat City Pampanga</t>
  </si>
  <si>
    <t>Javero, Marvie Ancot</t>
  </si>
  <si>
    <t>Ancot</t>
  </si>
  <si>
    <t>01-051029463-2</t>
  </si>
  <si>
    <t>1211-1667-7061</t>
  </si>
  <si>
    <t>01-025617015-4</t>
  </si>
  <si>
    <t>34-4386931-3</t>
  </si>
  <si>
    <t>451-762-782</t>
  </si>
  <si>
    <t>TIN from MDF</t>
  </si>
  <si>
    <t>253-661-417</t>
  </si>
  <si>
    <t>Signed PECA</t>
  </si>
  <si>
    <t>PECA Compliant</t>
  </si>
  <si>
    <t>311-692-774</t>
  </si>
  <si>
    <t>03-050941431-5</t>
  </si>
  <si>
    <t>314-698-835</t>
  </si>
  <si>
    <t>34-4033110-3</t>
  </si>
  <si>
    <t>03-051030946-0</t>
  </si>
  <si>
    <t>1210-7877-9950</t>
  </si>
  <si>
    <t>302-797-370</t>
  </si>
  <si>
    <t>2316 (2014) - 4/17/2015</t>
  </si>
  <si>
    <t>1020-0095-8888</t>
  </si>
  <si>
    <t>01-050592455-5</t>
  </si>
  <si>
    <t>63 Phase 74 Gardenia St. Greenwoods Exec. Village Cainta, Rizal</t>
  </si>
  <si>
    <t>34-1378061-3</t>
  </si>
  <si>
    <t>293-167-440</t>
  </si>
  <si>
    <t>1210-9657-2039</t>
  </si>
  <si>
    <t>Php 149,000</t>
  </si>
  <si>
    <t>Php 2,200</t>
  </si>
  <si>
    <t>Php 21,000</t>
  </si>
  <si>
    <t>Php 1,000 (prorated hourly)</t>
  </si>
  <si>
    <t>Shayne</t>
  </si>
  <si>
    <t>Angeles</t>
  </si>
  <si>
    <t>Bacolod</t>
  </si>
  <si>
    <t>Heide Ann</t>
  </si>
  <si>
    <t>castillo.heide@gmail.com</t>
  </si>
  <si>
    <t>Cyrus Ezra</t>
  </si>
  <si>
    <t>Palomaria</t>
  </si>
  <si>
    <t>cyrus.delosreyes15@gmail.com</t>
  </si>
  <si>
    <t>Aillen</t>
  </si>
  <si>
    <t>Linga</t>
  </si>
  <si>
    <t>Ganadillo</t>
  </si>
  <si>
    <t>aillen_ganadillo@yahoo.com</t>
  </si>
  <si>
    <t>Rod John</t>
  </si>
  <si>
    <t>Olazo</t>
  </si>
  <si>
    <t>Ira</t>
  </si>
  <si>
    <t>rodjohn.ira@gmail.com</t>
  </si>
  <si>
    <t>Anne Lorraine</t>
  </si>
  <si>
    <t>Isidro</t>
  </si>
  <si>
    <t>isidroanne07@yahoo.com</t>
  </si>
  <si>
    <t>Lester Adrian</t>
  </si>
  <si>
    <t>Arevalo</t>
  </si>
  <si>
    <t>Natividad</t>
  </si>
  <si>
    <t>lester_natividad@yahoo.com</t>
  </si>
  <si>
    <t>Maria Micah</t>
  </si>
  <si>
    <t>micsily@yahoo.com</t>
  </si>
  <si>
    <t>Monica Stephanie</t>
  </si>
  <si>
    <t>Bunac</t>
  </si>
  <si>
    <t>Perez</t>
  </si>
  <si>
    <t>monicastephanieperez@ymail.com</t>
  </si>
  <si>
    <t>Julio Rosauro</t>
  </si>
  <si>
    <t>Rigo</t>
  </si>
  <si>
    <t>juliorosaurorigo@gmail.com</t>
  </si>
  <si>
    <t>John Ericson</t>
  </si>
  <si>
    <t>Julian</t>
  </si>
  <si>
    <t>rainhart_00@yahoo.com</t>
  </si>
  <si>
    <t>Junefer</t>
  </si>
  <si>
    <t>Lañas</t>
  </si>
  <si>
    <t>Sabas</t>
  </si>
  <si>
    <t>jalabaha@yahoo.com</t>
  </si>
  <si>
    <t>Enif</t>
  </si>
  <si>
    <t>Bondad</t>
  </si>
  <si>
    <t>Tarronas</t>
  </si>
  <si>
    <t>eniftaronas@ymail.com</t>
  </si>
  <si>
    <t>ERP - Justin Calanog</t>
  </si>
  <si>
    <t>Helena Hazel</t>
  </si>
  <si>
    <t>Del Rosario</t>
  </si>
  <si>
    <t>Vibar</t>
  </si>
  <si>
    <t>vibar.helena@gmail.com</t>
  </si>
  <si>
    <t>Olivia</t>
  </si>
  <si>
    <t>Sorreda</t>
  </si>
  <si>
    <t>Viernes</t>
  </si>
  <si>
    <t>olivia_viernes@yahoo.com</t>
  </si>
  <si>
    <t>Noe Christian</t>
  </si>
  <si>
    <t>Relota</t>
  </si>
  <si>
    <t>Villarosa</t>
  </si>
  <si>
    <t>noechristianvillarosa@yahoo.com</t>
  </si>
  <si>
    <t>Cherry Anne</t>
  </si>
  <si>
    <t>Catacutan</t>
  </si>
  <si>
    <t>Fausto</t>
  </si>
  <si>
    <t>faustocherry@yahoo.com.ph</t>
  </si>
  <si>
    <t>Aristheo</t>
  </si>
  <si>
    <t>Lambunao</t>
  </si>
  <si>
    <t>theolambunao@gmail.com</t>
  </si>
  <si>
    <t>34-2117540-1</t>
  </si>
  <si>
    <t>1210-5101-8438</t>
  </si>
  <si>
    <t>01-051033094-9</t>
  </si>
  <si>
    <t>308-912-391</t>
  </si>
  <si>
    <t>May-Ann</t>
  </si>
  <si>
    <t>Atienza</t>
  </si>
  <si>
    <t>Ropa</t>
  </si>
  <si>
    <t>mayann.atienza@gmail.com</t>
  </si>
  <si>
    <t>Rom Lindogan</t>
  </si>
  <si>
    <t>Bacolod, Shayne Angeles</t>
  </si>
  <si>
    <t>Castillo, Heide Ann</t>
  </si>
  <si>
    <t>Ganadillo, Aillen Linga</t>
  </si>
  <si>
    <t>Ira, Rod John Olazo</t>
  </si>
  <si>
    <t>Isidro, Anne Lorraine De Guzman</t>
  </si>
  <si>
    <t>Natividad, Lester Adrian Arevalo</t>
  </si>
  <si>
    <t>Paz, Maria Micah Dela Cruz</t>
  </si>
  <si>
    <t>Perez, Monica Stephanie Bunac</t>
  </si>
  <si>
    <t>Rigo, Julio Rosauro Castro</t>
  </si>
  <si>
    <t>Rivera, John Ericson Julian</t>
  </si>
  <si>
    <t>Sabas, Junefer Lañas</t>
  </si>
  <si>
    <t>Tarronas, Enif Bondad</t>
  </si>
  <si>
    <t>Vibar, Helena Hazel Del Rosario</t>
  </si>
  <si>
    <t>Viernes, Olivia Sorreda</t>
  </si>
  <si>
    <t>Villarosa, Noe Christian Relota</t>
  </si>
  <si>
    <t>Fausto, Cherry Anne Catacutan</t>
  </si>
  <si>
    <t>Lambunao, Aristheo Domingo</t>
  </si>
  <si>
    <t>Ropa, May-Ann Atienza</t>
  </si>
  <si>
    <t>01-051808743-1</t>
  </si>
  <si>
    <t>De Los Reyes, Cyrus Ezra Palomaria</t>
  </si>
  <si>
    <t>Alviz</t>
  </si>
  <si>
    <t>hannajomacawili@rocketmail.com</t>
  </si>
  <si>
    <t>majavero08@gmail.com</t>
  </si>
  <si>
    <t>petercrisvera@gmail.com</t>
  </si>
  <si>
    <t>alyssaduque@yahoo.com</t>
  </si>
  <si>
    <t>maroulouis@gmail.com</t>
  </si>
  <si>
    <t>jadebea_manalili@yahoo.com</t>
  </si>
  <si>
    <t>roxanne_verdera@yahoo.com</t>
  </si>
  <si>
    <t>ageth1205@yahoo.com</t>
  </si>
  <si>
    <t>dadda3173@gmail.com</t>
  </si>
  <si>
    <t>scarletcero@gmail.com</t>
  </si>
  <si>
    <t>nylirad08@yahoo.com</t>
  </si>
  <si>
    <t>kbhona@gmail.com</t>
  </si>
  <si>
    <t>mariasophyiainano@yahoo.com</t>
  </si>
  <si>
    <t>roxannejeanp@gmail.com</t>
  </si>
  <si>
    <t>erickahelenesantos26@gmail.com</t>
  </si>
  <si>
    <t>pavillareal@gmail.com</t>
  </si>
  <si>
    <t>cherrymay_25@yahoo.com</t>
  </si>
  <si>
    <t>noel.deleon@outlook.com</t>
  </si>
  <si>
    <t>maan.nagtalon@yahoo.com</t>
  </si>
  <si>
    <t>anje.bagares@yahoo.com</t>
  </si>
  <si>
    <t>diannapublico@yahoo.com</t>
  </si>
  <si>
    <t>chavalaguzman@hotmail.com</t>
  </si>
  <si>
    <t>lesbatulayan@gmail.com</t>
  </si>
  <si>
    <t>jettandrewroxas@outlook.com</t>
  </si>
  <si>
    <t>crmsarahjanedelacruz@gmail.com</t>
  </si>
  <si>
    <t>9279324134/9082884870</t>
  </si>
  <si>
    <t>sbacolod@psgglobalsolutions.com</t>
  </si>
  <si>
    <t>hcastillo@psgglobalsolutions.com</t>
  </si>
  <si>
    <t>cdelosreyes@psgglobalsolutions.com</t>
  </si>
  <si>
    <t>aganadillo@psgglobalsolutions.com</t>
  </si>
  <si>
    <t>rira@psgglobalsolutions.com</t>
  </si>
  <si>
    <t>aisidro@psgglobalsolutions.com</t>
  </si>
  <si>
    <t>lnatividad@psgglobalsolutions.com</t>
  </si>
  <si>
    <t>mmpaz@psgglobalsolutions.com</t>
  </si>
  <si>
    <t>msperez@psgglobalsolutions.com</t>
  </si>
  <si>
    <t>jrigo@psgglobalsolutions.com</t>
  </si>
  <si>
    <t>jrivera@psgglobalsolutions.com</t>
  </si>
  <si>
    <t>jsabas@psgglobalsolutions.com</t>
  </si>
  <si>
    <t>etarronas@psgglobalsolutions.com</t>
  </si>
  <si>
    <t>hvibar@psgglobalsolutions.com</t>
  </si>
  <si>
    <t>oviernes@psgglobalsolutions.com</t>
  </si>
  <si>
    <t>nvillarosa@psgglobalsolutions.com</t>
  </si>
  <si>
    <t>cfausto@psgglobalsolutions.com</t>
  </si>
  <si>
    <t>alambunao@psgglobalsolutions.com</t>
  </si>
  <si>
    <t>mropa@psgglobalsolutions.com</t>
  </si>
  <si>
    <t>ERP - Feliz Gonzales</t>
  </si>
  <si>
    <t>317-490-400</t>
  </si>
  <si>
    <t>451-767-782</t>
  </si>
  <si>
    <t>233-801-370</t>
  </si>
  <si>
    <t>Elvize</t>
  </si>
  <si>
    <t>Tabucao</t>
  </si>
  <si>
    <t>elvize.bautista@gmail.com</t>
  </si>
  <si>
    <t>232-425-838</t>
  </si>
  <si>
    <t>Salise</t>
  </si>
  <si>
    <t>Benjamin Jr.</t>
  </si>
  <si>
    <t>Quilar</t>
  </si>
  <si>
    <t>bluebenj21@gmail.com</t>
  </si>
  <si>
    <t>218-494-255</t>
  </si>
  <si>
    <t>Diokno</t>
  </si>
  <si>
    <t>Ana Cecilia</t>
  </si>
  <si>
    <t>Trias</t>
  </si>
  <si>
    <t>actd_0207@yahoo.com</t>
  </si>
  <si>
    <t>311-923-573</t>
  </si>
  <si>
    <t>Julfa Andione</t>
  </si>
  <si>
    <t>Pasiliao</t>
  </si>
  <si>
    <t>dyul.16.jv@gmail.com</t>
  </si>
  <si>
    <t>TIN Enroll</t>
  </si>
  <si>
    <t>Maciste Cheyene</t>
  </si>
  <si>
    <t>Ramasa</t>
  </si>
  <si>
    <t>400-120-343</t>
  </si>
  <si>
    <t>01-0511525949-5</t>
  </si>
  <si>
    <t>01-2052975-9</t>
  </si>
  <si>
    <t>66 Interior 1 Kabalitang St. Krus na Ligas, Quezon City</t>
  </si>
  <si>
    <t>142 Blk 11 Lot 20 Phase 1 VRG Subd. Tacloban City Leyte</t>
  </si>
  <si>
    <t>34-2930909-1</t>
  </si>
  <si>
    <t>1210-7768-3457</t>
  </si>
  <si>
    <t>01-051369493-3</t>
  </si>
  <si>
    <t>02-050774604-8</t>
  </si>
  <si>
    <t>34-2743714-3</t>
  </si>
  <si>
    <t>319-051-622</t>
  </si>
  <si>
    <t>1210-2125-2050</t>
  </si>
  <si>
    <t>1210-3238-9939</t>
  </si>
  <si>
    <t>01-051384390-4</t>
  </si>
  <si>
    <t>34-0523655-6</t>
  </si>
  <si>
    <t>1210-9658-6638</t>
  </si>
  <si>
    <t>306-559-827</t>
  </si>
  <si>
    <t>33-8493419-0</t>
  </si>
  <si>
    <t>01-050329453-8</t>
  </si>
  <si>
    <t>266-388-536</t>
  </si>
  <si>
    <t>1210-3236-6047</t>
  </si>
  <si>
    <t>Niñofranco</t>
  </si>
  <si>
    <t>Adonis, Yeoman Niñofranco</t>
  </si>
  <si>
    <t>Sison</t>
  </si>
  <si>
    <t>Prieto</t>
  </si>
  <si>
    <t>Venessa Grace</t>
  </si>
  <si>
    <t>208-565-041</t>
  </si>
  <si>
    <t>vsison@psgglobalsolutions.com</t>
  </si>
  <si>
    <t>Head of Family w/ 2 dependents</t>
  </si>
  <si>
    <t>Father &amp; Mother SC</t>
  </si>
  <si>
    <t>Twenty Five (25) employees</t>
  </si>
  <si>
    <r>
      <t xml:space="preserve">ADDRESS: </t>
    </r>
    <r>
      <rPr>
        <sz val="10"/>
        <color indexed="59"/>
        <rFont val="Arial"/>
        <family val="2"/>
      </rPr>
      <t xml:space="preserve"> 14th Flr. Multinational Bank Corporation Building, 6805 Ayala Ave., Makati City</t>
    </r>
  </si>
  <si>
    <t>01-051021176-1</t>
  </si>
  <si>
    <t>749 Lakas St. Old Balara T. Sora Quezon City</t>
  </si>
  <si>
    <t>246 Joseph St. Annex 41 Brgy. Sun Valley Parañaque City</t>
  </si>
  <si>
    <t>13 25 Enero St. Zone 2 Signal Village Taguig City</t>
  </si>
  <si>
    <t>58A. Chioco Vinson St. BF Homes Parañaque City</t>
  </si>
  <si>
    <t>257-675-572</t>
  </si>
  <si>
    <t>01-051739858-1</t>
  </si>
  <si>
    <t>Blk 7 Lot 13 Acacia St. Corner Kalantas St. Meadowood Executive Village Bacoor, Cavite</t>
  </si>
  <si>
    <t>Blk 6 Lot 3 Virgo St. Silver Homes 2 Justineville Subd Bacoor Cavite</t>
  </si>
  <si>
    <t>1210-9721-6440</t>
  </si>
  <si>
    <t>22 F. Manalo ext. San Juan, Metro Manila</t>
  </si>
  <si>
    <t>02-05113360-9</t>
  </si>
  <si>
    <t>01-051277809-6</t>
  </si>
  <si>
    <t>309-251-079</t>
  </si>
  <si>
    <t>34-2319602-2</t>
  </si>
  <si>
    <t>03-050685502-7</t>
  </si>
  <si>
    <t>34-1359426-5</t>
  </si>
  <si>
    <t>2316 (2013) - 4/24/2015</t>
  </si>
  <si>
    <t>307-309-838</t>
  </si>
  <si>
    <t>33-9715405-1</t>
  </si>
  <si>
    <t>01-050611261-9</t>
  </si>
  <si>
    <t>34-3530488-6</t>
  </si>
  <si>
    <t>311-400-408</t>
  </si>
  <si>
    <t>312-737-071</t>
  </si>
  <si>
    <t>02-050987130-3</t>
  </si>
  <si>
    <t>1210-6069-4631</t>
  </si>
  <si>
    <t>34-3190197-9</t>
  </si>
  <si>
    <t>01-051521136-0</t>
  </si>
  <si>
    <t>5519 Gumamela Duplex Comp. Gen. T. De Leon Velenzuela City</t>
  </si>
  <si>
    <t>01-050712799-7</t>
  </si>
  <si>
    <t>34-1087418-2</t>
  </si>
  <si>
    <t>1020-0262-8944</t>
  </si>
  <si>
    <t>265-422-254</t>
  </si>
  <si>
    <t>2316 (2014) - 4/24/2015</t>
  </si>
  <si>
    <t>312-620-213</t>
  </si>
  <si>
    <t>01-050462782-4</t>
  </si>
  <si>
    <t>34-0028053-7</t>
  </si>
  <si>
    <t>1408B  El Pueblo Sta. Mesa Manila</t>
  </si>
  <si>
    <t>304-849-623</t>
  </si>
  <si>
    <t>1211-3706-6260</t>
  </si>
  <si>
    <t>313-297-104</t>
  </si>
  <si>
    <t>430 Banaba St. Cembo, Makati City</t>
  </si>
  <si>
    <t>Kabayalangan St. Brgy 7 Sucsuquen, Piddig Ilocos Norte, 2912</t>
  </si>
  <si>
    <t>01-051296190-3</t>
  </si>
  <si>
    <t># 80 19th Avenue Cubao, Quezon City</t>
  </si>
  <si>
    <t>Blk 6 Lot 7 Belen Executive Homes, Damilag Manolo Fortich Bukidnon</t>
  </si>
  <si>
    <t>08-1763824-1</t>
  </si>
  <si>
    <t>433-985-289</t>
  </si>
  <si>
    <t>15-050238065-8</t>
  </si>
  <si>
    <t>1210-9597-1960</t>
  </si>
  <si>
    <t>06-2807724-0</t>
  </si>
  <si>
    <t>13-050101464-9</t>
  </si>
  <si>
    <t>1210-9354-9693</t>
  </si>
  <si>
    <t>7509 Santillan St. Unit 4E, Pio Del Pilar Makati City</t>
  </si>
  <si>
    <t>26 Davao St. Bago Bantay Quezon City</t>
  </si>
  <si>
    <t>34-3644941-0</t>
  </si>
  <si>
    <t>01-051671570-2</t>
  </si>
  <si>
    <t>314-057-052</t>
  </si>
  <si>
    <t>1210-8022-6607</t>
  </si>
  <si>
    <t>B6L6 Molave St, Dacon Homes, Kasibulan Village, Cainta, Rizal 1900</t>
  </si>
  <si>
    <t># 156 San Isidro Ave, Bugaan West, Laurel, Batangeas 4221</t>
  </si>
  <si>
    <t>Widow</t>
  </si>
  <si>
    <t>302-456-248</t>
  </si>
  <si>
    <t>33-9998236-0</t>
  </si>
  <si>
    <t>09-026122996-0</t>
  </si>
  <si>
    <t>1210-1063-8809</t>
  </si>
  <si>
    <t>Certificate of Death for Husband 4/24/2015</t>
  </si>
  <si>
    <t>296-729-243</t>
  </si>
  <si>
    <t>01-051102885-5</t>
  </si>
  <si>
    <t>L 30 Blk 3 Bluebonnet St. Ph. 6 Greenland Exec. Subd. Cainta Rizal, 1900</t>
  </si>
  <si>
    <t>1210-6623-4227</t>
  </si>
  <si>
    <t>15 B Saint Mary St. Jpa Subd Tunasan Muntinlupa City</t>
  </si>
  <si>
    <t>094 Purok 1 Brgy. Bangyas Calauan Laguna</t>
  </si>
  <si>
    <t>309-651-813</t>
  </si>
  <si>
    <t>1210-4120-6142</t>
  </si>
  <si>
    <t>01-051689563-8</t>
  </si>
  <si>
    <t>04-2418579-2</t>
  </si>
  <si>
    <t>B3 L6 Gold Ave. Maryhomes Subd. Molino IV Bacoor Cavite</t>
  </si>
  <si>
    <t>1210-4309-3721</t>
  </si>
  <si>
    <t>Blk 1 Lot 9 Galapmai Village Muzon San Jose Del Monte Bulacan</t>
  </si>
  <si>
    <t>1211-0857-1709</t>
  </si>
  <si>
    <t>34-4308724-7</t>
  </si>
  <si>
    <t>Adventist University of the Philippines Putting Kahoy, Silang Cavite</t>
  </si>
  <si>
    <t>34-0993233-6</t>
  </si>
  <si>
    <t>1210-6535-3335</t>
  </si>
  <si>
    <t>34-11800977</t>
  </si>
  <si>
    <t>Dioscoro</t>
  </si>
  <si>
    <t>Celis III</t>
  </si>
  <si>
    <t>dioscoro.celis@gmail.com</t>
  </si>
  <si>
    <t>Lawrence May</t>
  </si>
  <si>
    <t>Rafa</t>
  </si>
  <si>
    <t>lilluputian_22@gmail.com</t>
  </si>
  <si>
    <t>John Michael</t>
  </si>
  <si>
    <t>Ronquillo</t>
  </si>
  <si>
    <t>johnvidex@gmail.com</t>
  </si>
  <si>
    <t>Angelita</t>
  </si>
  <si>
    <t>Lasanas</t>
  </si>
  <si>
    <t>angelita_0592@yahoo.com</t>
  </si>
  <si>
    <t>ERP - Nicole Lasanas</t>
  </si>
  <si>
    <t>Kathlene</t>
  </si>
  <si>
    <t>Gestiada</t>
  </si>
  <si>
    <t>Imbuido</t>
  </si>
  <si>
    <t>katieimbuido@yahoo.com</t>
  </si>
  <si>
    <t>Julius</t>
  </si>
  <si>
    <t>Dadiz</t>
  </si>
  <si>
    <t>Jaime</t>
  </si>
  <si>
    <t>melagnia_yoh25@yahoo.com</t>
  </si>
  <si>
    <t>ERP - Gerome Gingco</t>
  </si>
  <si>
    <t>Mark Jabez</t>
  </si>
  <si>
    <t>Lugtu</t>
  </si>
  <si>
    <t>Niñonuevo</t>
  </si>
  <si>
    <t>jabezimpt@yahoo.com.ph</t>
  </si>
  <si>
    <t>Joerex</t>
  </si>
  <si>
    <t>Nonato</t>
  </si>
  <si>
    <t>faithfulmaster111@gmail.com</t>
  </si>
  <si>
    <t>Denise Kim</t>
  </si>
  <si>
    <t>Tulio</t>
  </si>
  <si>
    <t>Pruna</t>
  </si>
  <si>
    <t>denisekimpruna001@gmail.com</t>
  </si>
  <si>
    <t>Henrik</t>
  </si>
  <si>
    <t>henrikreyes@hotmail.com</t>
  </si>
  <si>
    <t>Kristin</t>
  </si>
  <si>
    <t>Gianan</t>
  </si>
  <si>
    <t>Romero</t>
  </si>
  <si>
    <t>romerokrstn@gmail.com</t>
  </si>
  <si>
    <t>Carol</t>
  </si>
  <si>
    <t>Antaran</t>
  </si>
  <si>
    <t>Suarez</t>
  </si>
  <si>
    <t>carolsuarez19@gmail.com</t>
  </si>
  <si>
    <t>Toni Anne</t>
  </si>
  <si>
    <t>Domagas</t>
  </si>
  <si>
    <t>Ventura</t>
  </si>
  <si>
    <t>tonianne_ventura04@yahoo.com</t>
  </si>
  <si>
    <t>Stephen</t>
  </si>
  <si>
    <t>Capindo</t>
  </si>
  <si>
    <t>Villas</t>
  </si>
  <si>
    <t>stepehen_villas07@yahoo.com</t>
  </si>
  <si>
    <t>Jerelyn</t>
  </si>
  <si>
    <t>Ramirez</t>
  </si>
  <si>
    <t>Binoya</t>
  </si>
  <si>
    <t>je.ramirez.09@gmail.com</t>
  </si>
  <si>
    <t>Accounting Supervisor</t>
  </si>
  <si>
    <t>Orlando Calundan</t>
  </si>
  <si>
    <t>01-050138477-7</t>
  </si>
  <si>
    <t>Celis III, Dioscoro Dela Cruz</t>
  </si>
  <si>
    <t>Cruz, Lawrence May Rafa</t>
  </si>
  <si>
    <t>Domingo, John Michael Ronquillo</t>
  </si>
  <si>
    <t>Gutierrez, Angelita Lasanas</t>
  </si>
  <si>
    <t>Imbuido, Kathlene Gestiada</t>
  </si>
  <si>
    <t>Jaime, Julius Dadiz</t>
  </si>
  <si>
    <t>Niñonuevo, Mark Jabez Lugtu</t>
  </si>
  <si>
    <t>Nonato, Joerex Mendoza</t>
  </si>
  <si>
    <t>Pruna, Denise Kim Tulio</t>
  </si>
  <si>
    <t>Reyes, Henrik Arevalo</t>
  </si>
  <si>
    <t>Romero, Kristin Gianan</t>
  </si>
  <si>
    <t>Suarez, Carol Antaran</t>
  </si>
  <si>
    <t>Ventura, Toni Anne Domagas</t>
  </si>
  <si>
    <t>Villas, Stephen Capindo</t>
  </si>
  <si>
    <t>Binoya, Jerelyn Ramirez</t>
  </si>
  <si>
    <t>03-025491061-5</t>
  </si>
  <si>
    <t>34-3166246-7</t>
  </si>
  <si>
    <t>1211-0272-0524</t>
  </si>
  <si>
    <t>01-051445603-3</t>
  </si>
  <si>
    <t>03-050609253-8</t>
  </si>
  <si>
    <t>34-1653340-1</t>
  </si>
  <si>
    <t>1210-6899-4486</t>
  </si>
  <si>
    <t>278-503-265</t>
  </si>
  <si>
    <t>139A Kaingin Road, Balintawak, Quezon City</t>
  </si>
  <si>
    <t>Affidavit of Discrepancy - 04/28/2015</t>
  </si>
  <si>
    <t>01-051820386-5</t>
  </si>
  <si>
    <t>2316 (2014) - 4/24/2015, Police Clearance - 04/27/2015</t>
  </si>
  <si>
    <t>01-051734944-0</t>
  </si>
  <si>
    <t>04-2670928-6</t>
  </si>
  <si>
    <t>1210-2592-7270</t>
  </si>
  <si>
    <t>34-2831408-7</t>
  </si>
  <si>
    <t>1210-6995-7238</t>
  </si>
  <si>
    <t>432-768-271</t>
  </si>
  <si>
    <t>9064081817/9175921831</t>
  </si>
  <si>
    <t>02-050920044-1</t>
  </si>
  <si>
    <t>1210-9744-2908</t>
  </si>
  <si>
    <t>229 G. Reyes St., Leveriza, Pasay City</t>
  </si>
  <si>
    <t># 19 PPSC RTS-9 Camp. F. T.  Marcos, Pasonanca, Zamboanga City</t>
  </si>
  <si>
    <t>296-785-902</t>
  </si>
  <si>
    <t>04-1641311-3</t>
  </si>
  <si>
    <t>33-7905347-1</t>
  </si>
  <si>
    <t>1210-3580-4431</t>
  </si>
  <si>
    <t>1090-0142-8449</t>
  </si>
  <si>
    <t>10-050139915-3</t>
  </si>
  <si>
    <t>03-050296985-0</t>
  </si>
  <si>
    <t>22-000177651-7</t>
  </si>
  <si>
    <t>01-051673553-3</t>
  </si>
  <si>
    <t>1080-0204-1011</t>
  </si>
  <si>
    <t>1211-0415-9046</t>
  </si>
  <si>
    <t>0031-5610-0010</t>
  </si>
  <si>
    <t>1211-3663-2607</t>
  </si>
  <si>
    <t>34-2036538-0</t>
  </si>
  <si>
    <t>305-602-041</t>
  </si>
  <si>
    <t>2316 (2014) - 4/14/2015</t>
  </si>
  <si>
    <t>1210-6220-4319</t>
  </si>
  <si>
    <t>34-2806899-3</t>
  </si>
  <si>
    <t>1210-7744-6575</t>
  </si>
  <si>
    <t>02-050949830-0</t>
  </si>
  <si>
    <t>311-912-467</t>
  </si>
  <si>
    <t>2220 Kawangis St. Kaalinsabay Rd. Karangalan Vill. PH2C2 Manggahan Pasig City</t>
  </si>
  <si>
    <t>1351 Norte Alvarez Ext. Sta Ana. Cruz</t>
  </si>
  <si>
    <t>1210-9838-0042</t>
  </si>
  <si>
    <t>02-026034550-9</t>
  </si>
  <si>
    <t>783 Int. 35 Kagandahan St. Tondo, Manila</t>
  </si>
  <si>
    <t>440-278-604</t>
  </si>
  <si>
    <t>34-4067527-0</t>
  </si>
  <si>
    <t>419-949-025</t>
  </si>
  <si>
    <t>01-051203425-5</t>
  </si>
  <si>
    <t>33-9528169-6</t>
  </si>
  <si>
    <t>1210-1261-6321</t>
  </si>
  <si>
    <t>283-572-153</t>
  </si>
  <si>
    <t>34-4004931-4</t>
  </si>
  <si>
    <t>1324 Lt. Garcia St. Baclaran, Parañaque</t>
  </si>
  <si>
    <t>Brgy. La Libertad, Titay Zambo. Sibugay</t>
  </si>
  <si>
    <t>34-0117268-6</t>
  </si>
  <si>
    <t>966 Tramo St. Ilaya, Las Piñas City</t>
  </si>
  <si>
    <t>Blk 6 VII Sunnydale Garden Vill. Bucandala Imus Cavite</t>
  </si>
  <si>
    <t>01-051405897-6</t>
  </si>
  <si>
    <t>424-647-705</t>
  </si>
  <si>
    <t>1210-7282-6729</t>
  </si>
  <si>
    <t>34-3292916-7</t>
  </si>
  <si>
    <t>34-1163184-5</t>
  </si>
  <si>
    <t>Lot 2 Blk 2 Ph 2 Mt. Apo Grand Valley Subd. Brgy Mahabang Parang Angono Rizal</t>
  </si>
  <si>
    <t>1210-6064-0763</t>
  </si>
  <si>
    <t>14-050132590-9</t>
  </si>
  <si>
    <t>10-0905845-0</t>
  </si>
  <si>
    <t>1210-6144-4944</t>
  </si>
  <si>
    <t>295-600-318</t>
  </si>
  <si>
    <t>427-026-291</t>
  </si>
  <si>
    <t>01-050965788-8</t>
  </si>
  <si>
    <t>05-0991856-7</t>
  </si>
  <si>
    <t>Blk 10 Lot 2 Ph B Subd. Malagasang 1-A Imus, Cavite</t>
  </si>
  <si>
    <t>01-051454330-0</t>
  </si>
  <si>
    <t>01-051723816-9</t>
  </si>
  <si>
    <t>33-5034691-6</t>
  </si>
  <si>
    <t>249-000-161</t>
  </si>
  <si>
    <t>70 Chile St. Greenheights 2 Concepcion Marikina</t>
  </si>
  <si>
    <t>34-0155078-7</t>
  </si>
  <si>
    <t>303-264-800</t>
  </si>
  <si>
    <t>1010-0135-6148</t>
  </si>
  <si>
    <t>01-050411826-1</t>
  </si>
  <si>
    <t>17 Santiago St. Santolan Pasig City</t>
  </si>
  <si>
    <t>01-051450076-8</t>
  </si>
  <si>
    <t>34-2930922-4</t>
  </si>
  <si>
    <t>313-192-740</t>
  </si>
  <si>
    <t>33-8998570-4</t>
  </si>
  <si>
    <t>03-050463580-1</t>
  </si>
  <si>
    <t>36 A Romulus St., BF Resort Village, Garden Homes, Las Piñas City</t>
  </si>
  <si>
    <t>Clement St, Brgy Poblacion Zone II Estancia Iloilo</t>
  </si>
  <si>
    <t>03-025446570-0</t>
  </si>
  <si>
    <t>34-4013632-4</t>
  </si>
  <si>
    <t>33-9881465-9</t>
  </si>
  <si>
    <t>1210-9552-0286</t>
  </si>
  <si>
    <t>01-051677207-2</t>
  </si>
  <si>
    <t>01-051740752-1</t>
  </si>
  <si>
    <t>34-4036260-6</t>
  </si>
  <si>
    <t>314-842-714</t>
  </si>
  <si>
    <t>34-4044849-4</t>
  </si>
  <si>
    <t>314-837-651</t>
  </si>
  <si>
    <t>Php 42,000</t>
  </si>
  <si>
    <t>dcelis@psgglobalsolutions.com</t>
  </si>
  <si>
    <t>lcruz@psgglobalsolutions.com</t>
  </si>
  <si>
    <t>jmdomingo@psgglobalsolutions.com</t>
  </si>
  <si>
    <t>agutierrez@psgglobalsolutions.com</t>
  </si>
  <si>
    <t>kimbuido@psgglobalsolutions.com</t>
  </si>
  <si>
    <t>jjaime@psgglobalsolutions.com</t>
  </si>
  <si>
    <t>mninonuevo@psgglobalsolutions.com</t>
  </si>
  <si>
    <t>dpruna@psgglobalsolutions.com</t>
  </si>
  <si>
    <t>kromero@psgglobalsolutions.com</t>
  </si>
  <si>
    <t>csuarez@psgglobalsolutions.com</t>
  </si>
  <si>
    <t>tventura@psgglobalsolutions.com</t>
  </si>
  <si>
    <t>svillas@psgglobalsolutions.com</t>
  </si>
  <si>
    <t>jbinoya@psgglobalsolutions.com</t>
  </si>
  <si>
    <t>307-331-982</t>
  </si>
  <si>
    <t>1211-4326-9101</t>
  </si>
  <si>
    <t>34-0586888-6</t>
  </si>
  <si>
    <t>Blk. 140 Lot 35 Phase 7 Sitio Imelda Upper Bicutan Taguig</t>
  </si>
  <si>
    <t>Blk. 9 Lot 12 Legian Subd. Carsadang Bago, Imus Cavite</t>
  </si>
  <si>
    <t>Pauline</t>
  </si>
  <si>
    <t>Matta</t>
  </si>
  <si>
    <t>Barrion</t>
  </si>
  <si>
    <t>pauline_m_barrion@yahoo.com</t>
  </si>
  <si>
    <t>Jana Patricia </t>
  </si>
  <si>
    <t>Sunpayco</t>
  </si>
  <si>
    <t>Escover</t>
  </si>
  <si>
    <t>jana_escover@yahoo.com</t>
  </si>
  <si>
    <t>Carina</t>
  </si>
  <si>
    <t>Matorgo</t>
  </si>
  <si>
    <t>carinamdelossantos@gmail.com</t>
  </si>
  <si>
    <t>Karen Danielle</t>
  </si>
  <si>
    <t>Olay</t>
  </si>
  <si>
    <t>karendanielle_olay@rockemail.com</t>
  </si>
  <si>
    <t>Cornel</t>
  </si>
  <si>
    <t>Villegas</t>
  </si>
  <si>
    <t>maryjoycvillegas@gmail.com</t>
  </si>
  <si>
    <t>Ivee</t>
  </si>
  <si>
    <t>Solayao</t>
  </si>
  <si>
    <t>iveesfernandez@gmail.com</t>
  </si>
  <si>
    <t>Mydee</t>
  </si>
  <si>
    <t>Pacumio</t>
  </si>
  <si>
    <t>Arañas</t>
  </si>
  <si>
    <t>mydee_maya@yahoo.com</t>
  </si>
  <si>
    <t>Reyssa</t>
  </si>
  <si>
    <t>Edradan</t>
  </si>
  <si>
    <t>castilloreyssa@gmail.com</t>
  </si>
  <si>
    <t>Donalisa</t>
  </si>
  <si>
    <t>Cabansag</t>
  </si>
  <si>
    <t>Ayos</t>
  </si>
  <si>
    <t>ayosdonalisa@gmail.com</t>
  </si>
  <si>
    <t>Alelie Viola</t>
  </si>
  <si>
    <t>Gregorio</t>
  </si>
  <si>
    <t>Almanon</t>
  </si>
  <si>
    <t>sylvius_27@yahoo.com</t>
  </si>
  <si>
    <t>ARP - Karmille Quin</t>
  </si>
  <si>
    <t>Krizzia May</t>
  </si>
  <si>
    <t>Igana</t>
  </si>
  <si>
    <t>Anchorez</t>
  </si>
  <si>
    <t>krizziaanchorez@gmail.com</t>
  </si>
  <si>
    <t>ERP - Kris Benjamin Hona</t>
  </si>
  <si>
    <t>Klloyd Austin</t>
  </si>
  <si>
    <t>Cayton</t>
  </si>
  <si>
    <t>Antonio</t>
  </si>
  <si>
    <t>switch2rock@yahoo.com.ph</t>
  </si>
  <si>
    <t>Ahrra Marie</t>
  </si>
  <si>
    <t>Arcinue</t>
  </si>
  <si>
    <t>Arandela</t>
  </si>
  <si>
    <t>ahrramarie.arandela.1016@gmail.com</t>
  </si>
  <si>
    <t>ERP - Enif Tarronas</t>
  </si>
  <si>
    <t>Rey</t>
  </si>
  <si>
    <t>Pabillaran</t>
  </si>
  <si>
    <t>Avella</t>
  </si>
  <si>
    <t>reyavella@ymail.com</t>
  </si>
  <si>
    <t>Boyo</t>
  </si>
  <si>
    <t>03/231994</t>
  </si>
  <si>
    <t>camilleabartolome@gmail.com</t>
  </si>
  <si>
    <t>Ron Janmar</t>
  </si>
  <si>
    <t>Britanico</t>
  </si>
  <si>
    <t>kidlatbritanico@yahoo.com</t>
  </si>
  <si>
    <t>ERP - Justine Rogano</t>
  </si>
  <si>
    <t>Raymond</t>
  </si>
  <si>
    <t>Ladiana</t>
  </si>
  <si>
    <t>Bunda</t>
  </si>
  <si>
    <t>red.bunda@gmail.com</t>
  </si>
  <si>
    <t>Job Fair</t>
  </si>
  <si>
    <t>April Therese</t>
  </si>
  <si>
    <t>Estacio</t>
  </si>
  <si>
    <t>Enciso</t>
  </si>
  <si>
    <t>atenciso@gmail.com</t>
  </si>
  <si>
    <t>Kristian Andy</t>
  </si>
  <si>
    <t>San Miguel</t>
  </si>
  <si>
    <t>Jandusay</t>
  </si>
  <si>
    <t>09/031994</t>
  </si>
  <si>
    <t>kajandusay@gmail.com</t>
  </si>
  <si>
    <t>ERP - Gually Ong</t>
  </si>
  <si>
    <t>Annie Chailyn</t>
  </si>
  <si>
    <t>Li</t>
  </si>
  <si>
    <t>syobz_chai@yahoo.com</t>
  </si>
  <si>
    <t>Mary Grace</t>
  </si>
  <si>
    <t>Marcelino</t>
  </si>
  <si>
    <t>Manglal-lan</t>
  </si>
  <si>
    <t>markgrace11@yahoo.com</t>
  </si>
  <si>
    <t>Lito Martin</t>
  </si>
  <si>
    <t>Sandig</t>
  </si>
  <si>
    <t>Marfil</t>
  </si>
  <si>
    <t>martin.lifram@gmail.com</t>
  </si>
  <si>
    <t>ERP - Ronel Autor</t>
  </si>
  <si>
    <t>Susan</t>
  </si>
  <si>
    <t>Andes</t>
  </si>
  <si>
    <t>Martinez</t>
  </si>
  <si>
    <t>samartinez000@gmail.com</t>
  </si>
  <si>
    <t>Christine</t>
  </si>
  <si>
    <t>Armenio</t>
  </si>
  <si>
    <t>Morta</t>
  </si>
  <si>
    <t>bhutin07@yahoo.com</t>
  </si>
  <si>
    <t>Asiao</t>
  </si>
  <si>
    <t>markanthony.perez22@gmail.com</t>
  </si>
  <si>
    <t>ERP - Cristina Tantoco</t>
  </si>
  <si>
    <t>Jillian</t>
  </si>
  <si>
    <t>Lajara</t>
  </si>
  <si>
    <t>Valdez</t>
  </si>
  <si>
    <t>valdezjillian@ymail.com</t>
  </si>
  <si>
    <t>Barrion, Pauline Matta</t>
  </si>
  <si>
    <t>Escover, Jana Patricia  Sunpayco</t>
  </si>
  <si>
    <t>Delos Santos, Carina Matorgo</t>
  </si>
  <si>
    <t>Olay, Karen Danielle Del Rosario</t>
  </si>
  <si>
    <t>Villegas, Mary Joy Cornel</t>
  </si>
  <si>
    <t>Fernandez, Ivee Solayao</t>
  </si>
  <si>
    <t>Arañas, Mydee Pacumio</t>
  </si>
  <si>
    <t>Castillo, Reyssa Edradan</t>
  </si>
  <si>
    <t>Ayos, Donalisa Cabansag</t>
  </si>
  <si>
    <t>Almanon, Alelie Viola Gregorio</t>
  </si>
  <si>
    <t>Anchorez, Krizzia May Igana</t>
  </si>
  <si>
    <t>Antonio, Klloyd Austin Cayton</t>
  </si>
  <si>
    <t>Arandela, Ahrra Marie Arcinue</t>
  </si>
  <si>
    <t>Avella, Rey Pabillaran</t>
  </si>
  <si>
    <t>Bartolome, Camille Boyo</t>
  </si>
  <si>
    <t>Britanico, Ron Janmar Molina</t>
  </si>
  <si>
    <t>Bunda, Raymond Ladiana</t>
  </si>
  <si>
    <t>Enciso, April Therese Estacio</t>
  </si>
  <si>
    <t>Jandusay, Kristian Andy San Miguel</t>
  </si>
  <si>
    <t>Li, Annie Chailyn Bautista</t>
  </si>
  <si>
    <t>Manglal-lan, Mary Grace Marcelino</t>
  </si>
  <si>
    <t>Marfil, Lito Martin Sandig</t>
  </si>
  <si>
    <t>Martinez, Susan Andes</t>
  </si>
  <si>
    <t>Morta, Christine Armenio</t>
  </si>
  <si>
    <t>Perez, Mark Anthony Asiao</t>
  </si>
  <si>
    <t>Valdez, Jillian Lajara</t>
  </si>
  <si>
    <t>ERP - Rosette Joyce Diesta</t>
  </si>
  <si>
    <t>ERP - Ariel Cabada</t>
  </si>
  <si>
    <t>Karmille Quin</t>
  </si>
  <si>
    <t>aalmanon@psgglobalsolutions.com</t>
  </si>
  <si>
    <t>kanchorez@psgglobalsolutions.com</t>
  </si>
  <si>
    <t>kantonio@psgglobalsolutions.com</t>
  </si>
  <si>
    <t>amarandela@psgglobalsolutions.com</t>
  </si>
  <si>
    <t>ravella@psgglobalsolutions.com</t>
  </si>
  <si>
    <t>cbartolome@psgglobalsolutions.com</t>
  </si>
  <si>
    <t>rbritanico@psgglobalsolutions.com</t>
  </si>
  <si>
    <t>rbunda@psgglobalsolutions.com</t>
  </si>
  <si>
    <t>aenciso@psgglobalsolutions.com</t>
  </si>
  <si>
    <t>kjandusay@psgglobalsolutions.com</t>
  </si>
  <si>
    <t>ali@psgglobalsolutions.com</t>
  </si>
  <si>
    <t>mnanglal-lan@psgglobalsolutions.com</t>
  </si>
  <si>
    <t>lmarfil@psgglobalsolutions.com</t>
  </si>
  <si>
    <t>smartinez@psgglobalsolutions.com</t>
  </si>
  <si>
    <t>maperez@psgglobalsolutions.com</t>
  </si>
  <si>
    <t>jvaldez@psgglobalsolutions.com</t>
  </si>
  <si>
    <t>01-025253567-0</t>
  </si>
  <si>
    <t>34-3148569-9</t>
  </si>
  <si>
    <t>301-822-799</t>
  </si>
  <si>
    <t>1090-0303-5404</t>
  </si>
  <si>
    <t>01-025214982-7</t>
  </si>
  <si>
    <t>248-911-911</t>
  </si>
  <si>
    <t>1211-4375-3592</t>
  </si>
  <si>
    <t>03-025480427-0</t>
  </si>
  <si>
    <t>34-0336475-1</t>
  </si>
  <si>
    <t>154 Sen. Neptali A. Gonzales St. Mandaluyong City</t>
  </si>
  <si>
    <t>1211-3361-3502</t>
  </si>
  <si>
    <t>01-051572529-1</t>
  </si>
  <si>
    <t>297-080-127</t>
  </si>
  <si>
    <t>Int 79 Del Pilar St. Alaminos, Laguna</t>
  </si>
  <si>
    <t>04-2120805-4</t>
  </si>
  <si>
    <t>1210-3568-3939</t>
  </si>
  <si>
    <t>Lot 34 Blk 45 Magnolia St. Modesta Village San Mateo Rizal</t>
  </si>
  <si>
    <t>1210-1913-5942</t>
  </si>
  <si>
    <t>01-050991396-5</t>
  </si>
  <si>
    <t>34-1917364-8</t>
  </si>
  <si>
    <t>34-0772482-1</t>
  </si>
  <si>
    <t>01-051521137-9</t>
  </si>
  <si>
    <t>293-125-642</t>
  </si>
  <si>
    <t>119 V. Cruz St. Malibay, Pasay City</t>
  </si>
  <si>
    <t>34-3197084-5</t>
  </si>
  <si>
    <t>#18 Platinum St., Blk 42 Lot 17, Ph. 3, Golden City, Imus, Cavite</t>
  </si>
  <si>
    <t>34-2382581-4</t>
  </si>
  <si>
    <t>255-577-209</t>
  </si>
  <si>
    <t>2316 (2014) - 5/6/2015</t>
  </si>
  <si>
    <t>1210-2175-9015</t>
  </si>
  <si>
    <t>33-9572242-7</t>
  </si>
  <si>
    <t>Unit 111 Bldg. B 141 San Miguel St., Plainview, Mandaluyong City</t>
  </si>
  <si>
    <t>04-1471613-9</t>
  </si>
  <si>
    <t>1040-0094-0718</t>
  </si>
  <si>
    <t>436-662-122</t>
  </si>
  <si>
    <t>253-854-580</t>
  </si>
  <si>
    <t>1211-0009-7191</t>
  </si>
  <si>
    <t>4-B Calderon St. Brgy. Marilag Proj 4 Cubao, Quezon City</t>
  </si>
  <si>
    <t>1210-3399-1046</t>
  </si>
  <si>
    <t>935-693-798</t>
  </si>
  <si>
    <t>1210-6275-5273</t>
  </si>
  <si>
    <t>33-9753213-6</t>
  </si>
  <si>
    <t>1010-0120-4682</t>
  </si>
  <si>
    <t>33-4284101-8</t>
  </si>
  <si>
    <t>1010-0079-8149</t>
  </si>
  <si>
    <t>19-051094037-0</t>
  </si>
  <si>
    <t>22-000125697-1</t>
  </si>
  <si>
    <t>34-3578935-9</t>
  </si>
  <si>
    <t>219 Saint Rita Street Lower Maricaban Pasay City</t>
  </si>
  <si>
    <t>365 P. Guevarra St San Juan City</t>
  </si>
  <si>
    <t>1211-1928-4950</t>
  </si>
  <si>
    <t>34-1962477-3</t>
  </si>
  <si>
    <t>34 Marigold St. Rivera Village, NAIA, Pasay City</t>
  </si>
  <si>
    <t>34-3217936-0</t>
  </si>
  <si>
    <t>1210-9191-8924</t>
  </si>
  <si>
    <t>Unit 419 Residencias de Manila Bldg 2 Jesus St. Pandacan Manila</t>
  </si>
  <si>
    <t>1210-3294-0671</t>
  </si>
  <si>
    <t>33-1776623-5</t>
  </si>
  <si>
    <t>1211-0056-1963</t>
  </si>
  <si>
    <t>01-051749387-8</t>
  </si>
  <si>
    <t>34-0631998-1</t>
  </si>
  <si>
    <t>432-041-556</t>
  </si>
  <si>
    <t>254-689-435</t>
  </si>
  <si>
    <t>409-955-758</t>
  </si>
  <si>
    <t>500-044-206</t>
  </si>
  <si>
    <t>jescover@psgglobalsolutions.com</t>
  </si>
  <si>
    <t>cdelossantos@psgglobalsolutions.com</t>
  </si>
  <si>
    <t>kolay@psgglobalsolutions.com</t>
  </si>
  <si>
    <t>mvillegas@psgglobalsolutions.com</t>
  </si>
  <si>
    <t>ifernandez@psgglobalsolutions.com</t>
  </si>
  <si>
    <t>maranas@psgglobalsolutions.com</t>
  </si>
  <si>
    <t>rcastillo@psgglobalsolutions.com</t>
  </si>
  <si>
    <t>dayos@psgglobalsolutions.com</t>
  </si>
  <si>
    <t>pbarrion@psgglobalsolutions.com</t>
  </si>
  <si>
    <t>cmorta@psgglobalsolutions.com</t>
  </si>
  <si>
    <t>34-2528143-0</t>
  </si>
  <si>
    <t>421-187-475</t>
  </si>
  <si>
    <t>34-2576677-7</t>
  </si>
  <si>
    <t>01-051113121-4</t>
  </si>
  <si>
    <t>34-2414060-8</t>
  </si>
  <si>
    <t>1210-5068-6209</t>
  </si>
  <si>
    <t>272-763-979</t>
  </si>
  <si>
    <t>167 Pili Avenue Blk 5 West Rembo Makaty City</t>
  </si>
  <si>
    <t>01-051445564-9</t>
  </si>
  <si>
    <t>PHIC NO.</t>
  </si>
  <si>
    <t>HDMF No.</t>
  </si>
  <si>
    <t>01-050913646-2</t>
  </si>
  <si>
    <t>262-103-040</t>
  </si>
  <si>
    <t>91 Bautista St. Bayanan Muntinlupa City</t>
  </si>
  <si>
    <t>34-3919543-1</t>
  </si>
  <si>
    <t>316-670-807</t>
  </si>
  <si>
    <t>01-050780349-6</t>
  </si>
  <si>
    <t>12-050586039-5</t>
  </si>
  <si>
    <t>7-E S Veloso St. Brgy. Salapan San Juan City</t>
  </si>
  <si>
    <t>1210-1219-0005</t>
  </si>
  <si>
    <t>03-050472210-0</t>
  </si>
  <si>
    <t>198-808-388</t>
  </si>
  <si>
    <t>01-050922514-7</t>
  </si>
  <si>
    <t>290-301-817</t>
  </si>
  <si>
    <t>34-1957433-1</t>
  </si>
  <si>
    <t>1210-6613-4294</t>
  </si>
  <si>
    <t>34-2206703-9</t>
  </si>
  <si>
    <t>1211-1033-3326</t>
  </si>
  <si>
    <t>01-051846783-8</t>
  </si>
  <si>
    <t>34-3813011-2</t>
  </si>
  <si>
    <t>01-051836633-0</t>
  </si>
  <si>
    <t>314-598-619</t>
  </si>
  <si>
    <t>1210-8621-1657</t>
  </si>
  <si>
    <t>01-050583675-3</t>
  </si>
  <si>
    <t>03-026177228-9</t>
  </si>
  <si>
    <t>310-118-191</t>
  </si>
  <si>
    <t>1210-9656-4023</t>
  </si>
  <si>
    <t># 346 Don Bosco St. Mayapa, Calamba City, Laguna</t>
  </si>
  <si>
    <t>277-909-138</t>
  </si>
  <si>
    <t>404-295-800</t>
  </si>
  <si>
    <t>Asadon</t>
  </si>
  <si>
    <t>Jill</t>
  </si>
  <si>
    <t>Rañon</t>
  </si>
  <si>
    <t>jillrasadon0724@gmail.com</t>
  </si>
  <si>
    <t>De Los Reyes</t>
  </si>
  <si>
    <t xml:space="preserve">Roxanne Jean </t>
  </si>
  <si>
    <t>Twenty Seven (27) employees</t>
  </si>
  <si>
    <t>Cherwilyn</t>
  </si>
  <si>
    <t>Almodovar</t>
  </si>
  <si>
    <t>ERP - Raymond Bunda</t>
  </si>
  <si>
    <t>Chrystee Gem</t>
  </si>
  <si>
    <t>Bagaoisan</t>
  </si>
  <si>
    <t>Danilyn</t>
  </si>
  <si>
    <t>De Lara</t>
  </si>
  <si>
    <t>ERP - Roxanne Verdera</t>
  </si>
  <si>
    <t>Edgardo</t>
  </si>
  <si>
    <t>Grajo Jr.</t>
  </si>
  <si>
    <t>Asuncion</t>
  </si>
  <si>
    <t>Eunice Joyce</t>
  </si>
  <si>
    <t>Japson</t>
  </si>
  <si>
    <t>Hazel</t>
  </si>
  <si>
    <t>Mapili</t>
  </si>
  <si>
    <t>Karen Bernadette</t>
  </si>
  <si>
    <t>Tan</t>
  </si>
  <si>
    <t>Karmille Mae</t>
  </si>
  <si>
    <t>Quin</t>
  </si>
  <si>
    <t>Kathleen May</t>
  </si>
  <si>
    <t>Torreliza</t>
  </si>
  <si>
    <t>Lauren Ava</t>
  </si>
  <si>
    <t>Leslee Ann</t>
  </si>
  <si>
    <t>Mark Angelo</t>
  </si>
  <si>
    <t>Palanca</t>
  </si>
  <si>
    <t>Michael Angelo</t>
  </si>
  <si>
    <t>Sierra</t>
  </si>
  <si>
    <t>Rene</t>
  </si>
  <si>
    <t>Pandio</t>
  </si>
  <si>
    <t>Trixia Louise</t>
  </si>
  <si>
    <t>Mariano</t>
  </si>
  <si>
    <t> 8/29/1993</t>
  </si>
  <si>
    <t>Elisa Charmaine Joy</t>
  </si>
  <si>
    <t>Asuncion, Eliza Charmaine Joy</t>
  </si>
  <si>
    <t>Japson, Eunice Joyce</t>
  </si>
  <si>
    <t>Quin, Karmille Mae</t>
  </si>
  <si>
    <t>Villanueva, Lauren Ava</t>
  </si>
  <si>
    <t>Palanca, Mark Angelo</t>
  </si>
  <si>
    <t>Mariano, Trixia Louise</t>
  </si>
  <si>
    <t>calmodovar@psgglobalsolutions.com</t>
  </si>
  <si>
    <t>cbagaoisan@psgglobalsolutions.com</t>
  </si>
  <si>
    <t>ddelara@psgglobalsolutions.com</t>
  </si>
  <si>
    <t>egrajo@psgglobalsolutions.com</t>
  </si>
  <si>
    <t>ecasuncion@psgglobalsolutions.com</t>
  </si>
  <si>
    <t>ejapson@psgglobalsolutions.com</t>
  </si>
  <si>
    <t>hmapili@psgglobalsolutions.com</t>
  </si>
  <si>
    <t>ktan@psgglobalsolutions.com</t>
  </si>
  <si>
    <t>kquin@psgglobalsolutions.com</t>
  </si>
  <si>
    <t>ktorreliza@psgglobalsolutions.com</t>
  </si>
  <si>
    <t>lavillanueva@psgglobalsolutions.com</t>
  </si>
  <si>
    <t>lacruz@psgglobalsolutions.com</t>
  </si>
  <si>
    <t>mpalanca@psgglobalsolutions.com</t>
  </si>
  <si>
    <t>msierra@psgglobalsolutions.com</t>
  </si>
  <si>
    <t>rpandio@psgglobalsolutions.com</t>
  </si>
  <si>
    <t>34-1862682-4</t>
  </si>
  <si>
    <t>75 J Pineda St. Brgy Pag-IBIG sa Nayon, Balintawak, Quezon City</t>
  </si>
  <si>
    <t># 315 Romans St. Adelina I San Pedro Laguna City</t>
  </si>
  <si>
    <t>01-051278814-4</t>
  </si>
  <si>
    <t>402-078-311</t>
  </si>
  <si>
    <t>433-561-871</t>
  </si>
  <si>
    <t>2316 (2014) - 5/15/2015</t>
  </si>
  <si>
    <t>1210-9655-5308</t>
  </si>
  <si>
    <t>34-1758908-5</t>
  </si>
  <si>
    <t>02-050531045-5</t>
  </si>
  <si>
    <t>416  A.H. Lacson Ave. Sampaloc, Manila</t>
  </si>
  <si>
    <t>Cruz, Leslee Ann Pedragosa</t>
  </si>
  <si>
    <t>Bagaoisan, Chrystee Gem Sacramed</t>
  </si>
  <si>
    <t>Grajo Jr., Edgardo Diaz</t>
  </si>
  <si>
    <t>Torreliza, Kathleen May Ortiz</t>
  </si>
  <si>
    <t>03-050950529-9</t>
  </si>
  <si>
    <t>Ph. 1 Blk 21 Lot 7 Parklane Country Homes.  Gen Trias, Cavite</t>
  </si>
  <si>
    <t>310-747-572</t>
  </si>
  <si>
    <t>33-9874288-6</t>
  </si>
  <si>
    <t>02-025711515-2</t>
  </si>
  <si>
    <t>1210-3537-4366</t>
  </si>
  <si>
    <t>Sierra, Michael Angelo Marasigan</t>
  </si>
  <si>
    <t>34-4455622-7</t>
  </si>
  <si>
    <t>01-051898483-2</t>
  </si>
  <si>
    <t>317-384-796</t>
  </si>
  <si>
    <t>1211-1959-1325</t>
  </si>
  <si>
    <t>Pandio, Rene Baldos</t>
  </si>
  <si>
    <t>1090-0174-5541</t>
  </si>
  <si>
    <t>33-7313963-4</t>
  </si>
  <si>
    <t>19-090306840-3</t>
  </si>
  <si>
    <t>301-075-104</t>
  </si>
  <si>
    <t>1210-3579-7284</t>
  </si>
  <si>
    <t>34-2567990-3</t>
  </si>
  <si>
    <t># 33 Road 26 Brgy Bagong Nayon 1 Cogeo Village Antipolo City</t>
  </si>
  <si>
    <t>311-979-176</t>
  </si>
  <si>
    <t>Mapili, Hazel Borromeo</t>
  </si>
  <si>
    <t>01-050736458-1</t>
  </si>
  <si>
    <t>264-991-973</t>
  </si>
  <si>
    <t>1210-2236-5263</t>
  </si>
  <si>
    <t>De Lara, Danilyn Tanglao</t>
  </si>
  <si>
    <t>02-051038339-8</t>
  </si>
  <si>
    <t>318-965-947</t>
  </si>
  <si>
    <t>34-2437357-2</t>
  </si>
  <si>
    <t>1211-1188-2060</t>
  </si>
  <si>
    <t>287-215-241</t>
  </si>
  <si>
    <t>04-2178703-8</t>
  </si>
  <si>
    <t>01-051517563-1</t>
  </si>
  <si>
    <t>01-051658311-3</t>
  </si>
  <si>
    <t>315-257-277</t>
  </si>
  <si>
    <t>1210-5430-3234</t>
  </si>
  <si>
    <t>231-790-948</t>
  </si>
  <si>
    <t>02-2221259-5</t>
  </si>
  <si>
    <t>07-050357560-2</t>
  </si>
  <si>
    <t>312-899-577</t>
  </si>
  <si>
    <t>03-050712097-7</t>
  </si>
  <si>
    <t>1210-3487-7224</t>
  </si>
  <si>
    <t>34-2257917-4</t>
  </si>
  <si>
    <t>7 Doroteo Ext. Santolan Pasig City</t>
  </si>
  <si>
    <t>79 Esligue St. Manggahan Pasig City</t>
  </si>
  <si>
    <t>1210-2294-0058</t>
  </si>
  <si>
    <t>257-457-289</t>
  </si>
  <si>
    <t>01-025199914-2</t>
  </si>
  <si>
    <t>34-0951466-0</t>
  </si>
  <si>
    <t>24 Grey St. San Juan City</t>
  </si>
  <si>
    <t>34-2273342-8</t>
  </si>
  <si>
    <t>01-051506611-5</t>
  </si>
  <si>
    <t>1211-1608-0696</t>
  </si>
  <si>
    <t>309-819-852</t>
  </si>
  <si>
    <t>2316 (2014) - 5/13/2015</t>
  </si>
  <si>
    <t>01-050511706-4</t>
  </si>
  <si>
    <t>33-9535153-9</t>
  </si>
  <si>
    <t>1210-1248-3627</t>
  </si>
  <si>
    <t>306-482-437</t>
  </si>
  <si>
    <t>2316 (2014) - 5/12/2015</t>
  </si>
  <si>
    <t>1211-0081-3830</t>
  </si>
  <si>
    <t>34-0654439-0</t>
  </si>
  <si>
    <t>03-051140375-4</t>
  </si>
  <si>
    <t>05-0583624-5</t>
  </si>
  <si>
    <t>#93 P. Cruz New Zaniga Mandaluyon City</t>
  </si>
  <si>
    <t>08-050864647-3</t>
  </si>
  <si>
    <t>1210-6253-5486</t>
  </si>
  <si>
    <t>04-2326903-3</t>
  </si>
  <si>
    <t>1020-0046-8362</t>
  </si>
  <si>
    <t>33-5335102-1</t>
  </si>
  <si>
    <t>Level  1</t>
  </si>
  <si>
    <t>Sacdalan</t>
  </si>
  <si>
    <t>Ortiz</t>
  </si>
  <si>
    <t>Baldos</t>
  </si>
  <si>
    <t>Tan, Karen Bernadette Sacdalan</t>
  </si>
  <si>
    <t>Borromeo</t>
  </si>
  <si>
    <t>Diaz</t>
  </si>
  <si>
    <t>Tanglao</t>
  </si>
  <si>
    <t>Pedragosa</t>
  </si>
  <si>
    <t>Sacramed</t>
  </si>
  <si>
    <t>Lumabi</t>
  </si>
  <si>
    <t>Almodovar, Cherwilyn Lumabi</t>
  </si>
  <si>
    <t>Lantano</t>
  </si>
  <si>
    <t>Colobong</t>
  </si>
  <si>
    <t>Santiago</t>
  </si>
  <si>
    <t>Constantino</t>
  </si>
  <si>
    <t>1st day NCNS/No Contract</t>
  </si>
  <si>
    <t>C.</t>
  </si>
  <si>
    <t>Billing Specialist</t>
  </si>
  <si>
    <t>Recruiter- Consumer Sales Level 0</t>
  </si>
  <si>
    <t>Billing Specialist Level 1</t>
  </si>
  <si>
    <t>Senior Recruiter Level  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</si>
</sst>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"/>
    <numFmt numFmtId="165" formatCode="[$-409]mmmm\ d\,\ yyyy;@"/>
    <numFmt numFmtId="166" formatCode="[$-409]d\-mmm\-yy;@"/>
    <numFmt numFmtId="167" formatCode="mm/dd/yy"/>
  </numFmts>
  <fonts count="4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rgb="FF222222"/>
      <name val="Tahoma"/>
      <family val="2"/>
    </font>
    <font>
      <sz val="10"/>
      <name val="Calibri"/>
      <family val="2"/>
      <scheme val="minor"/>
    </font>
    <font>
      <sz val="10"/>
      <name val="Arial"/>
      <family val="2"/>
    </font>
    <font>
      <sz val="10"/>
      <color theme="2" tint="-0.89999084444715716"/>
      <name val="Arial"/>
      <family val="2"/>
    </font>
    <font>
      <b/>
      <sz val="10"/>
      <color theme="2" tint="-0.89999084444715716"/>
      <name val="Arial"/>
      <family val="2"/>
    </font>
    <font>
      <sz val="10"/>
      <color indexed="59"/>
      <name val="Arial"/>
      <family val="2"/>
    </font>
    <font>
      <b/>
      <sz val="8"/>
      <color theme="2" tint="-0.89999084444715716"/>
      <name val="Arial"/>
      <family val="2"/>
    </font>
    <font>
      <b/>
      <sz val="9"/>
      <color theme="2" tint="-0.89999084444715716"/>
      <name val="Arial"/>
      <family val="2"/>
    </font>
    <font>
      <b/>
      <sz val="10"/>
      <name val="Calibri"/>
      <family val="2"/>
      <scheme val="minor"/>
    </font>
    <font>
      <b/>
      <sz val="10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0"/>
      <name val="Verdana"/>
      <family val="2"/>
    </font>
    <font>
      <sz val="8.25"/>
      <color indexed="8"/>
      <name val="Microsoft Sans Serif"/>
      <family val="2"/>
    </font>
    <font>
      <sz val="10"/>
      <color indexed="8"/>
      <name val="Arial"/>
      <family val="2"/>
      <charset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0"/>
      <color rgb="FF000000"/>
      <name val="Arial"/>
      <family val="2"/>
    </font>
    <font>
      <sz val="9"/>
      <color rgb="FF222222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9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222222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6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22"/>
      </left>
      <right/>
      <top style="thin">
        <color indexed="22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/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double">
        <color indexed="64"/>
      </top>
      <bottom style="thin">
        <color indexed="22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22"/>
      </right>
      <top style="double">
        <color indexed="64"/>
      </top>
      <bottom/>
      <diagonal/>
    </border>
    <border>
      <left style="thin">
        <color indexed="22"/>
      </left>
      <right/>
      <top style="double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double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double">
        <color indexed="64"/>
      </top>
      <bottom style="thin">
        <color indexed="22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22"/>
      </left>
      <right style="thin">
        <color indexed="22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</borders>
  <cellStyleXfs count="32">
    <xf numFmtId="0" fontId="0" fillId="0" borderId="0"/>
    <xf numFmtId="0" fontId="2" fillId="0" borderId="0"/>
    <xf numFmtId="0" fontId="2" fillId="0" borderId="0"/>
    <xf numFmtId="0" fontId="9" fillId="0" borderId="0"/>
    <xf numFmtId="43" fontId="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9" fillId="0" borderId="0" applyBorder="0"/>
    <xf numFmtId="43" fontId="9" fillId="0" borderId="0" applyFill="0" applyBorder="0" applyAlignment="0" applyProtection="0"/>
    <xf numFmtId="43" fontId="5" fillId="0" borderId="0" applyFont="0" applyFill="0" applyBorder="0" applyAlignment="0" applyProtection="0"/>
    <xf numFmtId="0" fontId="19" fillId="0" borderId="0"/>
    <xf numFmtId="0" fontId="9" fillId="0" borderId="0"/>
    <xf numFmtId="0" fontId="5" fillId="0" borderId="0"/>
    <xf numFmtId="0" fontId="20" fillId="0" borderId="0"/>
    <xf numFmtId="0" fontId="9" fillId="0" borderId="0"/>
    <xf numFmtId="0" fontId="21" fillId="0" borderId="0">
      <alignment vertical="top"/>
    </xf>
    <xf numFmtId="0" fontId="5" fillId="0" borderId="0"/>
    <xf numFmtId="0" fontId="9" fillId="0" borderId="0" applyBorder="0"/>
    <xf numFmtId="0" fontId="5" fillId="0" borderId="0"/>
    <xf numFmtId="0" fontId="5" fillId="0" borderId="0"/>
    <xf numFmtId="0" fontId="5" fillId="0" borderId="0"/>
    <xf numFmtId="9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4" fillId="0" borderId="0">
      <alignment vertical="top"/>
    </xf>
    <xf numFmtId="9" fontId="5" fillId="0" borderId="0" applyFont="0" applyFill="0" applyBorder="0" applyAlignment="0" applyProtection="0"/>
    <xf numFmtId="0" fontId="2" fillId="0" borderId="0"/>
    <xf numFmtId="0" fontId="2" fillId="0" borderId="0"/>
    <xf numFmtId="0" fontId="27" fillId="0" borderId="0"/>
    <xf numFmtId="0" fontId="29" fillId="0" borderId="0" applyNumberFormat="0" applyFill="0" applyBorder="0" applyAlignment="0" applyProtection="0"/>
    <xf numFmtId="0" fontId="2" fillId="0" borderId="0"/>
    <xf numFmtId="0" fontId="2" fillId="0" borderId="0"/>
  </cellStyleXfs>
  <cellXfs count="642">
    <xf numFmtId="0" fontId="0" fillId="0" borderId="0" xfId="0"/>
    <xf numFmtId="0" fontId="0" fillId="0" borderId="0" xfId="0" applyAlignment="1">
      <alignment horizontal="center"/>
    </xf>
    <xf numFmtId="0" fontId="1" fillId="0" borderId="1" xfId="1" applyFont="1" applyFill="1" applyBorder="1" applyAlignment="1">
      <alignment horizontal="center" wrapText="1"/>
    </xf>
    <xf numFmtId="14" fontId="1" fillId="0" borderId="1" xfId="1" applyNumberFormat="1" applyFont="1" applyFill="1" applyBorder="1" applyAlignment="1">
      <alignment horizontal="center" wrapText="1"/>
    </xf>
    <xf numFmtId="1" fontId="1" fillId="0" borderId="1" xfId="1" applyNumberFormat="1" applyFont="1" applyFill="1" applyBorder="1" applyAlignment="1">
      <alignment horizontal="center" wrapText="1"/>
    </xf>
    <xf numFmtId="164" fontId="1" fillId="0" borderId="1" xfId="1" applyNumberFormat="1" applyFont="1" applyFill="1" applyBorder="1" applyAlignment="1">
      <alignment horizontal="center" wrapText="1"/>
    </xf>
    <xf numFmtId="0" fontId="1" fillId="0" borderId="1" xfId="1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5" borderId="1" xfId="1" applyFont="1" applyFill="1" applyBorder="1" applyAlignment="1">
      <alignment horizontal="center" wrapText="1"/>
    </xf>
    <xf numFmtId="14" fontId="1" fillId="5" borderId="1" xfId="1" applyNumberFormat="1" applyFont="1" applyFill="1" applyBorder="1" applyAlignment="1">
      <alignment horizontal="center" wrapText="1"/>
    </xf>
    <xf numFmtId="0" fontId="2" fillId="5" borderId="0" xfId="1" applyFill="1" applyAlignment="1">
      <alignment horizontal="center"/>
    </xf>
    <xf numFmtId="1" fontId="1" fillId="5" borderId="1" xfId="1" applyNumberFormat="1" applyFont="1" applyFill="1" applyBorder="1" applyAlignment="1">
      <alignment horizontal="center" wrapText="1"/>
    </xf>
    <xf numFmtId="0" fontId="1" fillId="5" borderId="0" xfId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Fill="1" applyAlignment="1">
      <alignment horizontal="center"/>
    </xf>
    <xf numFmtId="0" fontId="1" fillId="5" borderId="1" xfId="2" applyFont="1" applyFill="1" applyBorder="1" applyAlignment="1">
      <alignment horizontal="center" wrapText="1"/>
    </xf>
    <xf numFmtId="164" fontId="1" fillId="5" borderId="1" xfId="1" applyNumberFormat="1" applyFont="1" applyFill="1" applyBorder="1" applyAlignment="1">
      <alignment horizontal="center" wrapText="1"/>
    </xf>
    <xf numFmtId="14" fontId="0" fillId="5" borderId="0" xfId="0" applyNumberFormat="1" applyFill="1" applyAlignment="1">
      <alignment horizontal="center"/>
    </xf>
    <xf numFmtId="0" fontId="10" fillId="0" borderId="0" xfId="0" applyFont="1"/>
    <xf numFmtId="0" fontId="11" fillId="0" borderId="0" xfId="0" applyFont="1"/>
    <xf numFmtId="165" fontId="10" fillId="3" borderId="0" xfId="0" quotePrefix="1" applyNumberFormat="1" applyFont="1" applyFill="1" applyAlignment="1">
      <alignment horizontal="left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3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1" fillId="0" borderId="17" xfId="0" applyFont="1" applyBorder="1"/>
    <xf numFmtId="0" fontId="11" fillId="0" borderId="5" xfId="0" applyFont="1" applyFill="1" applyBorder="1"/>
    <xf numFmtId="0" fontId="11" fillId="0" borderId="5" xfId="0" applyFont="1" applyBorder="1"/>
    <xf numFmtId="0" fontId="10" fillId="0" borderId="5" xfId="0" applyFont="1" applyBorder="1"/>
    <xf numFmtId="0" fontId="10" fillId="0" borderId="5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9" xfId="0" applyFont="1" applyBorder="1"/>
    <xf numFmtId="0" fontId="10" fillId="0" borderId="0" xfId="0" applyFont="1" applyAlignment="1">
      <alignment horizontal="right"/>
    </xf>
    <xf numFmtId="0" fontId="11" fillId="3" borderId="0" xfId="0" applyFont="1" applyFill="1" applyAlignment="1">
      <alignment horizontal="center"/>
    </xf>
    <xf numFmtId="0" fontId="8" fillId="0" borderId="0" xfId="3" applyFont="1" applyFill="1" applyBorder="1"/>
    <xf numFmtId="0" fontId="8" fillId="0" borderId="0" xfId="3" applyFont="1" applyFill="1" applyBorder="1" applyAlignment="1">
      <alignment horizontal="left"/>
    </xf>
    <xf numFmtId="0" fontId="8" fillId="0" borderId="0" xfId="3" applyFont="1" applyFill="1" applyBorder="1" applyAlignment="1">
      <alignment horizontal="center"/>
    </xf>
    <xf numFmtId="43" fontId="8" fillId="0" borderId="0" xfId="4" applyFont="1" applyFill="1" applyBorder="1" applyAlignment="1">
      <alignment horizontal="center"/>
    </xf>
    <xf numFmtId="0" fontId="8" fillId="0" borderId="0" xfId="3" applyNumberFormat="1" applyFont="1" applyFill="1" applyBorder="1" applyAlignment="1">
      <alignment horizontal="center"/>
    </xf>
    <xf numFmtId="1" fontId="8" fillId="0" borderId="0" xfId="3" applyNumberFormat="1" applyFont="1" applyFill="1" applyBorder="1" applyAlignment="1">
      <alignment horizontal="center"/>
    </xf>
    <xf numFmtId="0" fontId="15" fillId="0" borderId="5" xfId="3" applyFont="1" applyFill="1" applyBorder="1" applyAlignment="1">
      <alignment horizontal="center" vertical="center" wrapText="1"/>
    </xf>
    <xf numFmtId="167" fontId="15" fillId="0" borderId="5" xfId="3" applyNumberFormat="1" applyFont="1" applyFill="1" applyBorder="1" applyAlignment="1">
      <alignment horizontal="center" vertical="center" wrapText="1"/>
    </xf>
    <xf numFmtId="0" fontId="16" fillId="0" borderId="5" xfId="3" applyFont="1" applyBorder="1" applyAlignment="1">
      <alignment horizontal="center" vertical="center" wrapText="1"/>
    </xf>
    <xf numFmtId="43" fontId="15" fillId="0" borderId="5" xfId="4" applyFont="1" applyFill="1" applyBorder="1" applyAlignment="1">
      <alignment horizontal="center" vertical="center" wrapText="1"/>
    </xf>
    <xf numFmtId="0" fontId="15" fillId="0" borderId="5" xfId="3" applyNumberFormat="1" applyFont="1" applyFill="1" applyBorder="1" applyAlignment="1">
      <alignment horizontal="center" vertical="center" wrapText="1"/>
    </xf>
    <xf numFmtId="1" fontId="15" fillId="0" borderId="5" xfId="3" applyNumberFormat="1" applyFont="1" applyFill="1" applyBorder="1" applyAlignment="1">
      <alignment horizontal="center" vertical="center" wrapText="1"/>
    </xf>
    <xf numFmtId="0" fontId="8" fillId="0" borderId="0" xfId="3" applyFont="1" applyFill="1" applyBorder="1" applyAlignment="1">
      <alignment horizontal="center" vertical="center" wrapText="1"/>
    </xf>
    <xf numFmtId="0" fontId="18" fillId="0" borderId="5" xfId="3" applyFont="1" applyBorder="1" applyAlignment="1">
      <alignment horizontal="center"/>
    </xf>
    <xf numFmtId="0" fontId="7" fillId="4" borderId="5" xfId="3" applyFont="1" applyFill="1" applyBorder="1" applyAlignment="1">
      <alignment horizontal="center" vertical="center"/>
    </xf>
    <xf numFmtId="43" fontId="8" fillId="0" borderId="5" xfId="4" applyFont="1" applyFill="1" applyBorder="1" applyAlignment="1">
      <alignment horizontal="center"/>
    </xf>
    <xf numFmtId="0" fontId="8" fillId="0" borderId="5" xfId="3" applyFont="1" applyFill="1" applyBorder="1" applyAlignment="1">
      <alignment horizontal="center"/>
    </xf>
    <xf numFmtId="14" fontId="3" fillId="0" borderId="5" xfId="5" applyNumberFormat="1" applyFont="1" applyFill="1" applyBorder="1" applyAlignment="1">
      <alignment horizontal="center" wrapText="1"/>
    </xf>
    <xf numFmtId="0" fontId="6" fillId="0" borderId="5" xfId="3" applyFont="1" applyBorder="1" applyAlignment="1">
      <alignment horizontal="center"/>
    </xf>
    <xf numFmtId="0" fontId="7" fillId="0" borderId="5" xfId="3" applyFont="1" applyBorder="1" applyAlignment="1">
      <alignment horizontal="center"/>
    </xf>
    <xf numFmtId="0" fontId="17" fillId="0" borderId="5" xfId="6" applyFont="1" applyFill="1" applyBorder="1" applyAlignment="1">
      <alignment horizontal="center"/>
    </xf>
    <xf numFmtId="0" fontId="8" fillId="0" borderId="5" xfId="3" applyFont="1" applyBorder="1" applyAlignment="1">
      <alignment horizontal="center"/>
    </xf>
    <xf numFmtId="14" fontId="17" fillId="0" borderId="5" xfId="6" applyNumberFormat="1" applyFont="1" applyFill="1" applyBorder="1" applyAlignment="1">
      <alignment horizontal="center"/>
    </xf>
    <xf numFmtId="0" fontId="17" fillId="0" borderId="5" xfId="7" applyFont="1" applyFill="1" applyBorder="1" applyAlignment="1">
      <alignment horizontal="center"/>
    </xf>
    <xf numFmtId="0" fontId="3" fillId="6" borderId="18" xfId="7" applyFont="1" applyFill="1" applyBorder="1" applyAlignment="1">
      <alignment horizontal="center"/>
    </xf>
    <xf numFmtId="0" fontId="8" fillId="6" borderId="5" xfId="3" applyFont="1" applyFill="1" applyBorder="1" applyAlignment="1">
      <alignment horizontal="center"/>
    </xf>
    <xf numFmtId="14" fontId="17" fillId="6" borderId="5" xfId="6" applyNumberFormat="1" applyFont="1" applyFill="1" applyBorder="1" applyAlignment="1">
      <alignment horizontal="center"/>
    </xf>
    <xf numFmtId="0" fontId="17" fillId="6" borderId="5" xfId="7" applyFont="1" applyFill="1" applyBorder="1" applyAlignment="1">
      <alignment horizontal="center"/>
    </xf>
    <xf numFmtId="0" fontId="18" fillId="6" borderId="5" xfId="3" applyFont="1" applyFill="1" applyBorder="1" applyAlignment="1">
      <alignment horizontal="center"/>
    </xf>
    <xf numFmtId="43" fontId="8" fillId="6" borderId="17" xfId="4" applyFont="1" applyFill="1" applyBorder="1" applyAlignment="1">
      <alignment horizontal="center"/>
    </xf>
    <xf numFmtId="0" fontId="17" fillId="0" borderId="5" xfId="7" applyFont="1" applyFill="1" applyBorder="1" applyAlignment="1"/>
    <xf numFmtId="14" fontId="17" fillId="0" borderId="5" xfId="7" applyNumberFormat="1" applyFont="1" applyFill="1" applyBorder="1" applyAlignment="1">
      <alignment horizontal="center"/>
    </xf>
    <xf numFmtId="0" fontId="8" fillId="6" borderId="0" xfId="3" applyFont="1" applyFill="1" applyBorder="1"/>
    <xf numFmtId="43" fontId="8" fillId="6" borderId="5" xfId="4" applyFont="1" applyFill="1" applyBorder="1" applyAlignment="1">
      <alignment horizontal="center"/>
    </xf>
    <xf numFmtId="0" fontId="8" fillId="0" borderId="0" xfId="12" applyFont="1" applyFill="1"/>
    <xf numFmtId="0" fontId="8" fillId="0" borderId="0" xfId="12" applyFont="1" applyFill="1" applyAlignment="1">
      <alignment horizontal="center"/>
    </xf>
    <xf numFmtId="0" fontId="8" fillId="0" borderId="0" xfId="12" applyFont="1" applyFill="1" applyBorder="1" applyAlignment="1">
      <alignment horizontal="center"/>
    </xf>
    <xf numFmtId="43" fontId="8" fillId="0" borderId="0" xfId="4" applyFont="1" applyFill="1"/>
    <xf numFmtId="43" fontId="8" fillId="0" borderId="0" xfId="4" applyFont="1" applyFill="1" applyAlignment="1">
      <alignment horizontal="center"/>
    </xf>
    <xf numFmtId="0" fontId="15" fillId="0" borderId="5" xfId="12" applyFont="1" applyFill="1" applyBorder="1" applyAlignment="1">
      <alignment horizontal="center" vertical="center" wrapText="1"/>
    </xf>
    <xf numFmtId="167" fontId="15" fillId="0" borderId="5" xfId="12" applyNumberFormat="1" applyFont="1" applyFill="1" applyBorder="1" applyAlignment="1">
      <alignment horizontal="center" vertical="center" wrapText="1"/>
    </xf>
    <xf numFmtId="0" fontId="15" fillId="0" borderId="0" xfId="12" applyFont="1" applyFill="1" applyAlignment="1">
      <alignment horizontal="center"/>
    </xf>
    <xf numFmtId="43" fontId="8" fillId="0" borderId="5" xfId="4" applyFont="1" applyFill="1" applyBorder="1" applyAlignment="1">
      <alignment horizontal="left"/>
    </xf>
    <xf numFmtId="0" fontId="8" fillId="0" borderId="5" xfId="12" applyFont="1" applyBorder="1" applyAlignment="1">
      <alignment horizontal="center"/>
    </xf>
    <xf numFmtId="0" fontId="8" fillId="6" borderId="5" xfId="12" applyFont="1" applyFill="1" applyBorder="1" applyAlignment="1">
      <alignment horizontal="center"/>
    </xf>
    <xf numFmtId="43" fontId="8" fillId="6" borderId="5" xfId="4" applyFont="1" applyFill="1" applyBorder="1" applyAlignment="1">
      <alignment horizontal="left"/>
    </xf>
    <xf numFmtId="0" fontId="8" fillId="6" borderId="5" xfId="12" applyFont="1" applyFill="1" applyBorder="1"/>
    <xf numFmtId="43" fontId="8" fillId="6" borderId="5" xfId="4" applyFont="1" applyFill="1" applyBorder="1"/>
    <xf numFmtId="43" fontId="8" fillId="0" borderId="0" xfId="4" applyFont="1" applyFill="1" applyBorder="1"/>
    <xf numFmtId="0" fontId="22" fillId="0" borderId="0" xfId="21" applyFont="1"/>
    <xf numFmtId="166" fontId="22" fillId="0" borderId="0" xfId="21" applyNumberFormat="1" applyFont="1"/>
    <xf numFmtId="43" fontId="22" fillId="0" borderId="0" xfId="10" applyFont="1"/>
    <xf numFmtId="166" fontId="23" fillId="0" borderId="5" xfId="21" applyNumberFormat="1" applyFont="1" applyBorder="1" applyAlignment="1">
      <alignment horizontal="center" vertical="center" wrapText="1"/>
    </xf>
    <xf numFmtId="0" fontId="24" fillId="0" borderId="5" xfId="12" applyFont="1" applyFill="1" applyBorder="1" applyAlignment="1">
      <alignment horizontal="center" vertical="center" wrapText="1"/>
    </xf>
    <xf numFmtId="166" fontId="24" fillId="0" borderId="5" xfId="12" applyNumberFormat="1" applyFont="1" applyFill="1" applyBorder="1" applyAlignment="1">
      <alignment horizontal="center" vertical="center" wrapText="1"/>
    </xf>
    <xf numFmtId="43" fontId="24" fillId="0" borderId="5" xfId="10" applyFont="1" applyFill="1" applyBorder="1" applyAlignment="1">
      <alignment horizontal="center" vertical="center" wrapText="1"/>
    </xf>
    <xf numFmtId="0" fontId="23" fillId="0" borderId="5" xfId="21" applyFont="1" applyBorder="1" applyAlignment="1">
      <alignment horizontal="center" vertical="center" wrapText="1"/>
    </xf>
    <xf numFmtId="166" fontId="9" fillId="0" borderId="5" xfId="21" applyNumberFormat="1" applyFont="1" applyFill="1" applyBorder="1" applyAlignment="1">
      <alignment horizontal="left" vertical="center"/>
    </xf>
    <xf numFmtId="0" fontId="22" fillId="0" borderId="5" xfId="21" applyFont="1" applyBorder="1" applyAlignment="1"/>
    <xf numFmtId="0" fontId="22" fillId="0" borderId="5" xfId="21" applyFont="1" applyBorder="1"/>
    <xf numFmtId="0" fontId="22" fillId="0" borderId="5" xfId="21" applyFont="1" applyBorder="1" applyAlignment="1">
      <alignment horizontal="left"/>
    </xf>
    <xf numFmtId="166" fontId="22" fillId="0" borderId="5" xfId="21" applyNumberFormat="1" applyFont="1" applyBorder="1" applyAlignment="1">
      <alignment horizontal="left"/>
    </xf>
    <xf numFmtId="43" fontId="22" fillId="0" borderId="5" xfId="10" applyFont="1" applyBorder="1"/>
    <xf numFmtId="0" fontId="22" fillId="0" borderId="0" xfId="21" applyFont="1" applyBorder="1"/>
    <xf numFmtId="166" fontId="22" fillId="0" borderId="0" xfId="21" applyNumberFormat="1" applyFont="1" applyBorder="1"/>
    <xf numFmtId="43" fontId="22" fillId="0" borderId="0" xfId="10" applyFont="1" applyBorder="1"/>
    <xf numFmtId="0" fontId="0" fillId="0" borderId="0" xfId="0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20" xfId="0" applyBorder="1" applyAlignment="1">
      <alignment horizontal="left"/>
    </xf>
    <xf numFmtId="14" fontId="0" fillId="0" borderId="20" xfId="0" applyNumberFormat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1" fillId="0" borderId="6" xfId="1" applyFont="1" applyFill="1" applyBorder="1" applyAlignment="1">
      <alignment horizontal="center" wrapText="1"/>
    </xf>
    <xf numFmtId="3" fontId="0" fillId="5" borderId="0" xfId="0" applyNumberFormat="1" applyFill="1" applyBorder="1" applyAlignment="1">
      <alignment horizontal="center"/>
    </xf>
    <xf numFmtId="9" fontId="0" fillId="0" borderId="0" xfId="25" applyFont="1" applyAlignment="1">
      <alignment horizontal="center"/>
    </xf>
    <xf numFmtId="0" fontId="1" fillId="5" borderId="8" xfId="1" applyFont="1" applyFill="1" applyBorder="1" applyAlignment="1">
      <alignment horizontal="center" wrapText="1"/>
    </xf>
    <xf numFmtId="14" fontId="1" fillId="5" borderId="8" xfId="1" applyNumberFormat="1" applyFont="1" applyFill="1" applyBorder="1" applyAlignment="1">
      <alignment horizontal="center" wrapText="1"/>
    </xf>
    <xf numFmtId="0" fontId="2" fillId="5" borderId="0" xfId="1" applyFill="1" applyBorder="1" applyAlignment="1">
      <alignment horizontal="center"/>
    </xf>
    <xf numFmtId="0" fontId="1" fillId="5" borderId="8" xfId="2" applyFont="1" applyFill="1" applyBorder="1" applyAlignment="1">
      <alignment horizontal="center" wrapText="1"/>
    </xf>
    <xf numFmtId="1" fontId="1" fillId="5" borderId="8" xfId="1" applyNumberFormat="1" applyFont="1" applyFill="1" applyBorder="1" applyAlignment="1">
      <alignment horizontal="center" wrapText="1"/>
    </xf>
    <xf numFmtId="164" fontId="1" fillId="5" borderId="8" xfId="1" applyNumberFormat="1" applyFont="1" applyFill="1" applyBorder="1" applyAlignment="1">
      <alignment horizontal="center" wrapText="1"/>
    </xf>
    <xf numFmtId="14" fontId="0" fillId="5" borderId="0" xfId="0" applyNumberFormat="1" applyFill="1" applyBorder="1" applyAlignment="1">
      <alignment horizontal="center"/>
    </xf>
    <xf numFmtId="0" fontId="1" fillId="5" borderId="1" xfId="1" applyNumberFormat="1" applyFont="1" applyFill="1" applyBorder="1" applyAlignment="1">
      <alignment horizontal="center" wrapText="1"/>
    </xf>
    <xf numFmtId="0" fontId="1" fillId="5" borderId="8" xfId="1" applyNumberFormat="1" applyFont="1" applyFill="1" applyBorder="1" applyAlignment="1">
      <alignment horizontal="center" wrapText="1"/>
    </xf>
    <xf numFmtId="0" fontId="0" fillId="5" borderId="0" xfId="0" applyNumberFormat="1" applyFill="1" applyBorder="1" applyAlignment="1">
      <alignment horizontal="center"/>
    </xf>
    <xf numFmtId="0" fontId="0" fillId="5" borderId="0" xfId="0" applyNumberFormat="1" applyFill="1" applyAlignment="1">
      <alignment horizontal="center"/>
    </xf>
    <xf numFmtId="0" fontId="2" fillId="0" borderId="0" xfId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21" xfId="0" applyFont="1" applyBorder="1" applyAlignment="1">
      <alignment horizontal="left"/>
    </xf>
    <xf numFmtId="0" fontId="10" fillId="0" borderId="22" xfId="0" applyFont="1" applyBorder="1" applyAlignment="1">
      <alignment horizontal="left"/>
    </xf>
    <xf numFmtId="0" fontId="11" fillId="0" borderId="23" xfId="0" applyFont="1" applyBorder="1"/>
    <xf numFmtId="0" fontId="11" fillId="0" borderId="24" xfId="0" applyFont="1" applyFill="1" applyBorder="1"/>
    <xf numFmtId="0" fontId="11" fillId="0" borderId="24" xfId="0" applyFont="1" applyBorder="1"/>
    <xf numFmtId="0" fontId="10" fillId="0" borderId="24" xfId="0" applyFont="1" applyBorder="1"/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26" xfId="0" applyFont="1" applyBorder="1"/>
    <xf numFmtId="14" fontId="0" fillId="7" borderId="0" xfId="0" applyNumberFormat="1" applyFill="1" applyBorder="1" applyAlignment="1">
      <alignment horizontal="center"/>
    </xf>
    <xf numFmtId="0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0" xfId="0" applyNumberForma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1" fillId="5" borderId="6" xfId="1" applyFont="1" applyFill="1" applyBorder="1" applyAlignment="1">
      <alignment horizontal="center" wrapText="1"/>
    </xf>
    <xf numFmtId="0" fontId="1" fillId="5" borderId="28" xfId="1" applyFont="1" applyFill="1" applyBorder="1" applyAlignment="1">
      <alignment horizontal="center" wrapText="1"/>
    </xf>
    <xf numFmtId="0" fontId="0" fillId="0" borderId="27" xfId="0" applyBorder="1" applyAlignment="1">
      <alignment horizontal="center"/>
    </xf>
    <xf numFmtId="0" fontId="2" fillId="5" borderId="27" xfId="1" applyFill="1" applyBorder="1" applyAlignment="1">
      <alignment horizontal="center"/>
    </xf>
    <xf numFmtId="0" fontId="2" fillId="0" borderId="27" xfId="1" applyFill="1" applyBorder="1" applyAlignment="1">
      <alignment horizontal="center"/>
    </xf>
    <xf numFmtId="164" fontId="1" fillId="0" borderId="29" xfId="1" applyNumberFormat="1" applyFont="1" applyFill="1" applyBorder="1" applyAlignment="1">
      <alignment horizontal="center" wrapText="1"/>
    </xf>
    <xf numFmtId="164" fontId="1" fillId="5" borderId="29" xfId="1" applyNumberFormat="1" applyFont="1" applyFill="1" applyBorder="1" applyAlignment="1">
      <alignment horizontal="center" wrapText="1"/>
    </xf>
    <xf numFmtId="164" fontId="1" fillId="5" borderId="30" xfId="1" applyNumberFormat="1" applyFont="1" applyFill="1" applyBorder="1" applyAlignment="1">
      <alignment horizontal="center" wrapText="1"/>
    </xf>
    <xf numFmtId="0" fontId="0" fillId="5" borderId="27" xfId="0" applyFill="1" applyBorder="1" applyAlignment="1">
      <alignment horizontal="center"/>
    </xf>
    <xf numFmtId="14" fontId="0" fillId="0" borderId="27" xfId="0" applyNumberForma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7" borderId="27" xfId="0" applyNumberForma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" fillId="5" borderId="32" xfId="1" applyFill="1" applyBorder="1" applyAlignment="1">
      <alignment horizontal="center"/>
    </xf>
    <xf numFmtId="0" fontId="2" fillId="0" borderId="32" xfId="1" applyFill="1" applyBorder="1" applyAlignment="1">
      <alignment horizontal="center"/>
    </xf>
    <xf numFmtId="164" fontId="1" fillId="0" borderId="33" xfId="1" applyNumberFormat="1" applyFont="1" applyFill="1" applyBorder="1" applyAlignment="1">
      <alignment horizontal="center" wrapText="1"/>
    </xf>
    <xf numFmtId="164" fontId="1" fillId="5" borderId="33" xfId="1" applyNumberFormat="1" applyFont="1" applyFill="1" applyBorder="1" applyAlignment="1">
      <alignment horizontal="center" wrapText="1"/>
    </xf>
    <xf numFmtId="14" fontId="0" fillId="5" borderId="32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14" fontId="0" fillId="0" borderId="32" xfId="0" applyNumberFormat="1" applyFill="1" applyBorder="1" applyAlignment="1">
      <alignment horizontal="center"/>
    </xf>
    <xf numFmtId="14" fontId="0" fillId="7" borderId="32" xfId="0" applyNumberFormat="1" applyFill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0" fontId="1" fillId="5" borderId="33" xfId="1" applyFont="1" applyFill="1" applyBorder="1" applyAlignment="1">
      <alignment horizontal="center" wrapText="1"/>
    </xf>
    <xf numFmtId="0" fontId="1" fillId="0" borderId="33" xfId="1" applyFont="1" applyFill="1" applyBorder="1" applyAlignment="1">
      <alignment horizontal="center" wrapText="1"/>
    </xf>
    <xf numFmtId="0" fontId="1" fillId="5" borderId="34" xfId="1" applyFont="1" applyFill="1" applyBorder="1" applyAlignment="1">
      <alignment horizontal="center" wrapText="1"/>
    </xf>
    <xf numFmtId="14" fontId="0" fillId="5" borderId="27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 vertical="center"/>
    </xf>
    <xf numFmtId="164" fontId="1" fillId="5" borderId="34" xfId="1" applyNumberFormat="1" applyFont="1" applyFill="1" applyBorder="1" applyAlignment="1">
      <alignment horizontal="center" wrapText="1"/>
    </xf>
    <xf numFmtId="14" fontId="2" fillId="5" borderId="27" xfId="1" applyNumberFormat="1" applyFill="1" applyBorder="1" applyAlignment="1">
      <alignment horizontal="center"/>
    </xf>
    <xf numFmtId="14" fontId="2" fillId="5" borderId="0" xfId="1" applyNumberFormat="1" applyFill="1" applyBorder="1" applyAlignment="1">
      <alignment horizontal="center"/>
    </xf>
    <xf numFmtId="14" fontId="2" fillId="5" borderId="32" xfId="1" applyNumberFormat="1" applyFill="1" applyBorder="1" applyAlignment="1">
      <alignment horizontal="center"/>
    </xf>
    <xf numFmtId="0" fontId="1" fillId="0" borderId="35" xfId="1" applyFont="1" applyFill="1" applyBorder="1" applyAlignment="1">
      <alignment horizontal="center" wrapText="1"/>
    </xf>
    <xf numFmtId="14" fontId="1" fillId="0" borderId="35" xfId="1" applyNumberFormat="1" applyFont="1" applyFill="1" applyBorder="1" applyAlignment="1">
      <alignment horizontal="center" wrapText="1"/>
    </xf>
    <xf numFmtId="0" fontId="1" fillId="0" borderId="35" xfId="1" applyNumberFormat="1" applyFont="1" applyFill="1" applyBorder="1" applyAlignment="1">
      <alignment horizontal="center" wrapText="1"/>
    </xf>
    <xf numFmtId="0" fontId="0" fillId="0" borderId="36" xfId="0" applyFill="1" applyBorder="1" applyAlignment="1">
      <alignment horizontal="center"/>
    </xf>
    <xf numFmtId="14" fontId="0" fillId="0" borderId="36" xfId="0" applyNumberFormat="1" applyFill="1" applyBorder="1" applyAlignment="1">
      <alignment horizontal="center"/>
    </xf>
    <xf numFmtId="0" fontId="2" fillId="0" borderId="36" xfId="1" applyFill="1" applyBorder="1" applyAlignment="1">
      <alignment horizontal="center"/>
    </xf>
    <xf numFmtId="1" fontId="1" fillId="0" borderId="35" xfId="1" applyNumberFormat="1" applyFont="1" applyFill="1" applyBorder="1" applyAlignment="1">
      <alignment horizontal="center" wrapText="1"/>
    </xf>
    <xf numFmtId="0" fontId="1" fillId="0" borderId="37" xfId="1" applyFont="1" applyFill="1" applyBorder="1" applyAlignment="1">
      <alignment horizontal="center" wrapText="1"/>
    </xf>
    <xf numFmtId="0" fontId="2" fillId="0" borderId="38" xfId="1" applyFill="1" applyBorder="1" applyAlignment="1">
      <alignment horizontal="center"/>
    </xf>
    <xf numFmtId="0" fontId="2" fillId="0" borderId="39" xfId="1" applyFill="1" applyBorder="1" applyAlignment="1">
      <alignment horizontal="center"/>
    </xf>
    <xf numFmtId="164" fontId="1" fillId="0" borderId="40" xfId="1" applyNumberFormat="1" applyFont="1" applyFill="1" applyBorder="1" applyAlignment="1">
      <alignment horizontal="center" wrapText="1"/>
    </xf>
    <xf numFmtId="0" fontId="0" fillId="0" borderId="39" xfId="0" applyFill="1" applyBorder="1" applyAlignment="1">
      <alignment horizontal="center"/>
    </xf>
    <xf numFmtId="0" fontId="1" fillId="0" borderId="41" xfId="1" applyFont="1" applyFill="1" applyBorder="1" applyAlignment="1">
      <alignment horizontal="center" wrapText="1"/>
    </xf>
    <xf numFmtId="164" fontId="1" fillId="0" borderId="36" xfId="1" applyNumberFormat="1" applyFont="1" applyFill="1" applyBorder="1" applyAlignment="1">
      <alignment horizontal="center" wrapText="1"/>
    </xf>
    <xf numFmtId="164" fontId="1" fillId="0" borderId="39" xfId="1" applyNumberFormat="1" applyFont="1" applyFill="1" applyBorder="1" applyAlignment="1">
      <alignment horizontal="center" wrapText="1"/>
    </xf>
    <xf numFmtId="0" fontId="0" fillId="0" borderId="38" xfId="0" applyFill="1" applyBorder="1" applyAlignment="1">
      <alignment horizontal="center"/>
    </xf>
    <xf numFmtId="164" fontId="1" fillId="0" borderId="41" xfId="1" applyNumberFormat="1" applyFont="1" applyFill="1" applyBorder="1" applyAlignment="1">
      <alignment horizontal="center" wrapText="1"/>
    </xf>
    <xf numFmtId="0" fontId="1" fillId="5" borderId="35" xfId="1" applyFont="1" applyFill="1" applyBorder="1" applyAlignment="1">
      <alignment horizontal="center" wrapText="1"/>
    </xf>
    <xf numFmtId="14" fontId="1" fillId="5" borderId="35" xfId="1" applyNumberFormat="1" applyFont="1" applyFill="1" applyBorder="1" applyAlignment="1">
      <alignment horizontal="center" wrapText="1"/>
    </xf>
    <xf numFmtId="0" fontId="1" fillId="5" borderId="35" xfId="1" applyNumberFormat="1" applyFont="1" applyFill="1" applyBorder="1" applyAlignment="1">
      <alignment horizontal="center" wrapText="1"/>
    </xf>
    <xf numFmtId="0" fontId="0" fillId="5" borderId="36" xfId="0" applyFill="1" applyBorder="1" applyAlignment="1">
      <alignment horizontal="center"/>
    </xf>
    <xf numFmtId="0" fontId="1" fillId="5" borderId="35" xfId="2" applyFont="1" applyFill="1" applyBorder="1" applyAlignment="1">
      <alignment horizontal="center" wrapText="1"/>
    </xf>
    <xf numFmtId="1" fontId="1" fillId="5" borderId="35" xfId="1" applyNumberFormat="1" applyFont="1" applyFill="1" applyBorder="1" applyAlignment="1">
      <alignment horizontal="center" wrapText="1"/>
    </xf>
    <xf numFmtId="0" fontId="1" fillId="5" borderId="37" xfId="1" applyFont="1" applyFill="1" applyBorder="1" applyAlignment="1">
      <alignment horizontal="center" wrapText="1"/>
    </xf>
    <xf numFmtId="164" fontId="1" fillId="5" borderId="40" xfId="1" applyNumberFormat="1" applyFont="1" applyFill="1" applyBorder="1" applyAlignment="1">
      <alignment horizontal="center" wrapText="1"/>
    </xf>
    <xf numFmtId="164" fontId="1" fillId="5" borderId="35" xfId="1" applyNumberFormat="1" applyFont="1" applyFill="1" applyBorder="1" applyAlignment="1">
      <alignment horizontal="center" wrapText="1"/>
    </xf>
    <xf numFmtId="164" fontId="1" fillId="5" borderId="41" xfId="1" applyNumberFormat="1" applyFont="1" applyFill="1" applyBorder="1" applyAlignment="1">
      <alignment horizontal="center" wrapText="1"/>
    </xf>
    <xf numFmtId="14" fontId="0" fillId="5" borderId="36" xfId="0" applyNumberFormat="1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1" fillId="5" borderId="41" xfId="1" applyFont="1" applyFill="1" applyBorder="1" applyAlignment="1">
      <alignment horizontal="center" wrapText="1"/>
    </xf>
    <xf numFmtId="14" fontId="0" fillId="5" borderId="39" xfId="0" applyNumberFormat="1" applyFill="1" applyBorder="1" applyAlignment="1">
      <alignment horizontal="center"/>
    </xf>
    <xf numFmtId="14" fontId="0" fillId="5" borderId="38" xfId="0" applyNumberFormat="1" applyFill="1" applyBorder="1" applyAlignment="1">
      <alignment horizontal="center"/>
    </xf>
    <xf numFmtId="0" fontId="0" fillId="5" borderId="36" xfId="0" applyNumberFormat="1" applyFill="1" applyBorder="1" applyAlignment="1">
      <alignment horizontal="center"/>
    </xf>
    <xf numFmtId="3" fontId="0" fillId="5" borderId="36" xfId="0" applyNumberFormat="1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36" xfId="0" applyNumberFormat="1" applyBorder="1" applyAlignment="1">
      <alignment horizontal="center"/>
    </xf>
    <xf numFmtId="0" fontId="0" fillId="0" borderId="36" xfId="0" applyNumberFormat="1" applyBorder="1" applyAlignment="1">
      <alignment horizontal="center"/>
    </xf>
    <xf numFmtId="14" fontId="0" fillId="0" borderId="38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NumberForma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Border="1"/>
    <xf numFmtId="0" fontId="10" fillId="0" borderId="57" xfId="0" applyFont="1" applyBorder="1" applyAlignment="1">
      <alignment horizontal="left"/>
    </xf>
    <xf numFmtId="0" fontId="11" fillId="0" borderId="58" xfId="0" applyFont="1" applyBorder="1"/>
    <xf numFmtId="0" fontId="11" fillId="0" borderId="58" xfId="0" applyFont="1" applyFill="1" applyBorder="1"/>
    <xf numFmtId="0" fontId="10" fillId="0" borderId="58" xfId="0" applyFont="1" applyBorder="1"/>
    <xf numFmtId="0" fontId="10" fillId="0" borderId="58" xfId="0" applyFont="1" applyBorder="1" applyAlignment="1">
      <alignment horizontal="center"/>
    </xf>
    <xf numFmtId="0" fontId="10" fillId="0" borderId="59" xfId="0" applyFont="1" applyBorder="1"/>
    <xf numFmtId="0" fontId="2" fillId="5" borderId="36" xfId="1" applyFill="1" applyBorder="1" applyAlignment="1">
      <alignment horizontal="center"/>
    </xf>
    <xf numFmtId="14" fontId="2" fillId="5" borderId="39" xfId="1" applyNumberFormat="1" applyFill="1" applyBorder="1" applyAlignment="1">
      <alignment horizontal="center"/>
    </xf>
    <xf numFmtId="14" fontId="2" fillId="5" borderId="38" xfId="1" applyNumberFormat="1" applyFill="1" applyBorder="1" applyAlignment="1">
      <alignment horizontal="center"/>
    </xf>
    <xf numFmtId="0" fontId="2" fillId="5" borderId="39" xfId="1" applyFill="1" applyBorder="1" applyAlignment="1">
      <alignment horizontal="center"/>
    </xf>
    <xf numFmtId="0" fontId="1" fillId="5" borderId="7" xfId="1" applyFont="1" applyFill="1" applyBorder="1" applyAlignment="1">
      <alignment horizontal="center" wrapText="1"/>
    </xf>
    <xf numFmtId="0" fontId="1" fillId="5" borderId="1" xfId="1" quotePrefix="1" applyFont="1" applyFill="1" applyBorder="1" applyAlignment="1">
      <alignment horizontal="center" wrapText="1"/>
    </xf>
    <xf numFmtId="164" fontId="1" fillId="0" borderId="60" xfId="1" applyNumberFormat="1" applyFont="1" applyFill="1" applyBorder="1" applyAlignment="1">
      <alignment horizontal="center" wrapText="1"/>
    </xf>
    <xf numFmtId="164" fontId="1" fillId="0" borderId="61" xfId="1" applyNumberFormat="1" applyFont="1" applyFill="1" applyBorder="1" applyAlignment="1">
      <alignment horizontal="center" wrapText="1"/>
    </xf>
    <xf numFmtId="164" fontId="1" fillId="5" borderId="60" xfId="1" applyNumberFormat="1" applyFont="1" applyFill="1" applyBorder="1" applyAlignment="1">
      <alignment horizontal="center" wrapText="1"/>
    </xf>
    <xf numFmtId="164" fontId="1" fillId="5" borderId="61" xfId="1" applyNumberFormat="1" applyFont="1" applyFill="1" applyBorder="1" applyAlignment="1">
      <alignment horizontal="center" wrapText="1"/>
    </xf>
    <xf numFmtId="164" fontId="1" fillId="5" borderId="63" xfId="1" applyNumberFormat="1" applyFont="1" applyFill="1" applyBorder="1" applyAlignment="1">
      <alignment horizontal="center" wrapText="1"/>
    </xf>
    <xf numFmtId="0" fontId="28" fillId="2" borderId="64" xfId="28" applyFont="1" applyFill="1" applyBorder="1" applyAlignment="1">
      <alignment horizontal="center"/>
    </xf>
    <xf numFmtId="0" fontId="28" fillId="0" borderId="1" xfId="28" applyFont="1" applyFill="1" applyBorder="1" applyAlignment="1">
      <alignment horizontal="right" wrapText="1"/>
    </xf>
    <xf numFmtId="0" fontId="28" fillId="0" borderId="1" xfId="28" applyFont="1" applyFill="1" applyBorder="1" applyAlignment="1">
      <alignment wrapText="1"/>
    </xf>
    <xf numFmtId="14" fontId="28" fillId="0" borderId="1" xfId="28" applyNumberFormat="1" applyFont="1" applyFill="1" applyBorder="1" applyAlignment="1">
      <alignment horizontal="right" wrapText="1"/>
    </xf>
    <xf numFmtId="1" fontId="28" fillId="0" borderId="1" xfId="28" applyNumberFormat="1" applyFont="1" applyFill="1" applyBorder="1" applyAlignment="1">
      <alignment horizontal="right" wrapText="1"/>
    </xf>
    <xf numFmtId="14" fontId="28" fillId="2" borderId="64" xfId="28" applyNumberFormat="1" applyFont="1" applyFill="1" applyBorder="1" applyAlignment="1">
      <alignment horizontal="center"/>
    </xf>
    <xf numFmtId="14" fontId="27" fillId="0" borderId="0" xfId="28" applyNumberFormat="1"/>
    <xf numFmtId="14" fontId="0" fillId="0" borderId="0" xfId="0" applyNumberFormat="1"/>
    <xf numFmtId="0" fontId="0" fillId="0" borderId="36" xfId="0" applyBorder="1"/>
    <xf numFmtId="0" fontId="0" fillId="0" borderId="52" xfId="0" applyBorder="1"/>
    <xf numFmtId="0" fontId="28" fillId="2" borderId="64" xfId="28" applyNumberFormat="1" applyFont="1" applyFill="1" applyBorder="1" applyAlignment="1">
      <alignment horizontal="center"/>
    </xf>
    <xf numFmtId="0" fontId="28" fillId="0" borderId="1" xfId="28" applyNumberFormat="1" applyFont="1" applyFill="1" applyBorder="1" applyAlignment="1">
      <alignment wrapText="1"/>
    </xf>
    <xf numFmtId="0" fontId="0" fillId="0" borderId="0" xfId="0" applyNumberFormat="1"/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0" fontId="0" fillId="7" borderId="32" xfId="0" applyNumberFormat="1" applyFill="1" applyBorder="1" applyAlignment="1">
      <alignment horizontal="center"/>
    </xf>
    <xf numFmtId="0" fontId="0" fillId="7" borderId="31" xfId="0" applyNumberFormat="1" applyFill="1" applyBorder="1" applyAlignment="1">
      <alignment horizontal="center"/>
    </xf>
    <xf numFmtId="10" fontId="0" fillId="7" borderId="32" xfId="0" applyNumberFormat="1" applyFill="1" applyBorder="1" applyAlignment="1">
      <alignment horizontal="center"/>
    </xf>
    <xf numFmtId="10" fontId="0" fillId="7" borderId="31" xfId="0" applyNumberForma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0" borderId="5" xfId="5" applyFont="1" applyFill="1" applyBorder="1" applyAlignment="1">
      <alignment horizontal="center" wrapText="1"/>
    </xf>
    <xf numFmtId="14" fontId="7" fillId="4" borderId="5" xfId="3" applyNumberFormat="1" applyFont="1" applyFill="1" applyBorder="1" applyAlignment="1">
      <alignment horizontal="center" vertical="center"/>
    </xf>
    <xf numFmtId="0" fontId="1" fillId="0" borderId="5" xfId="1" applyFont="1" applyFill="1" applyBorder="1" applyAlignment="1">
      <alignment horizontal="center" wrapText="1"/>
    </xf>
    <xf numFmtId="14" fontId="1" fillId="0" borderId="5" xfId="1" applyNumberFormat="1" applyFont="1" applyFill="1" applyBorder="1" applyAlignment="1">
      <alignment horizontal="center" wrapText="1"/>
    </xf>
    <xf numFmtId="14" fontId="0" fillId="0" borderId="5" xfId="0" applyNumberFormat="1" applyBorder="1" applyAlignment="1">
      <alignment horizontal="center"/>
    </xf>
    <xf numFmtId="1" fontId="1" fillId="0" borderId="5" xfId="1" applyNumberFormat="1" applyFont="1" applyFill="1" applyBorder="1" applyAlignment="1">
      <alignment horizontal="center" wrapText="1"/>
    </xf>
    <xf numFmtId="0" fontId="1" fillId="0" borderId="5" xfId="1" quotePrefix="1" applyFont="1" applyFill="1" applyBorder="1" applyAlignment="1">
      <alignment horizontal="center" wrapText="1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6" xfId="0" applyNumberFormat="1" applyFill="1" applyBorder="1" applyAlignment="1">
      <alignment horizontal="center" vertical="center"/>
    </xf>
    <xf numFmtId="0" fontId="1" fillId="9" borderId="43" xfId="1" applyNumberFormat="1" applyFont="1" applyFill="1" applyBorder="1" applyAlignment="1">
      <alignment horizontal="center" wrapText="1"/>
    </xf>
    <xf numFmtId="14" fontId="1" fillId="9" borderId="43" xfId="1" applyNumberFormat="1" applyFont="1" applyFill="1" applyBorder="1" applyAlignment="1">
      <alignment horizontal="center" wrapText="1"/>
    </xf>
    <xf numFmtId="0" fontId="1" fillId="9" borderId="43" xfId="1" applyFont="1" applyFill="1" applyBorder="1" applyAlignment="1">
      <alignment horizontal="center" wrapText="1"/>
    </xf>
    <xf numFmtId="0" fontId="0" fillId="9" borderId="44" xfId="0" applyFill="1" applyBorder="1" applyAlignment="1">
      <alignment horizontal="center"/>
    </xf>
    <xf numFmtId="14" fontId="0" fillId="9" borderId="44" xfId="0" applyNumberFormat="1" applyFill="1" applyBorder="1" applyAlignment="1">
      <alignment horizontal="center"/>
    </xf>
    <xf numFmtId="1" fontId="1" fillId="9" borderId="43" xfId="1" applyNumberFormat="1" applyFont="1" applyFill="1" applyBorder="1" applyAlignment="1">
      <alignment horizontal="center" wrapText="1"/>
    </xf>
    <xf numFmtId="0" fontId="1" fillId="9" borderId="46" xfId="1" applyFont="1" applyFill="1" applyBorder="1" applyAlignment="1">
      <alignment horizontal="center" wrapText="1"/>
    </xf>
    <xf numFmtId="0" fontId="0" fillId="9" borderId="45" xfId="0" applyFill="1" applyBorder="1" applyAlignment="1">
      <alignment horizontal="center"/>
    </xf>
    <xf numFmtId="0" fontId="1" fillId="9" borderId="43" xfId="2" applyFont="1" applyFill="1" applyBorder="1" applyAlignment="1">
      <alignment horizontal="center" wrapText="1"/>
    </xf>
    <xf numFmtId="164" fontId="1" fillId="9" borderId="47" xfId="1" applyNumberFormat="1" applyFont="1" applyFill="1" applyBorder="1" applyAlignment="1">
      <alignment horizontal="center" wrapText="1"/>
    </xf>
    <xf numFmtId="164" fontId="1" fillId="9" borderId="43" xfId="1" applyNumberFormat="1" applyFont="1" applyFill="1" applyBorder="1" applyAlignment="1">
      <alignment horizontal="center" wrapText="1"/>
    </xf>
    <xf numFmtId="164" fontId="1" fillId="9" borderId="48" xfId="1" applyNumberFormat="1" applyFont="1" applyFill="1" applyBorder="1" applyAlignment="1">
      <alignment horizontal="center" wrapText="1"/>
    </xf>
    <xf numFmtId="0" fontId="0" fillId="9" borderId="49" xfId="0" applyFill="1" applyBorder="1" applyAlignment="1">
      <alignment horizontal="center"/>
    </xf>
    <xf numFmtId="0" fontId="1" fillId="9" borderId="48" xfId="1" applyFont="1" applyFill="1" applyBorder="1" applyAlignment="1">
      <alignment horizontal="center" wrapText="1"/>
    </xf>
    <xf numFmtId="14" fontId="0" fillId="9" borderId="49" xfId="0" applyNumberFormat="1" applyFill="1" applyBorder="1" applyAlignment="1">
      <alignment horizontal="center"/>
    </xf>
    <xf numFmtId="0" fontId="2" fillId="9" borderId="44" xfId="1" applyFill="1" applyBorder="1" applyAlignment="1">
      <alignment horizontal="center"/>
    </xf>
    <xf numFmtId="0" fontId="2" fillId="9" borderId="49" xfId="1" applyFill="1" applyBorder="1" applyAlignment="1">
      <alignment horizontal="center"/>
    </xf>
    <xf numFmtId="14" fontId="0" fillId="9" borderId="50" xfId="0" applyNumberFormat="1" applyFill="1" applyBorder="1" applyAlignment="1">
      <alignment horizontal="center"/>
    </xf>
    <xf numFmtId="164" fontId="1" fillId="9" borderId="62" xfId="1" applyNumberFormat="1" applyFont="1" applyFill="1" applyBorder="1" applyAlignment="1">
      <alignment horizontal="center" wrapText="1"/>
    </xf>
    <xf numFmtId="0" fontId="1" fillId="9" borderId="1" xfId="1" applyNumberFormat="1" applyFont="1" applyFill="1" applyBorder="1" applyAlignment="1">
      <alignment horizontal="center" wrapText="1"/>
    </xf>
    <xf numFmtId="14" fontId="1" fillId="9" borderId="1" xfId="1" applyNumberFormat="1" applyFont="1" applyFill="1" applyBorder="1" applyAlignment="1">
      <alignment horizontal="center" wrapText="1"/>
    </xf>
    <xf numFmtId="0" fontId="1" fillId="9" borderId="1" xfId="1" applyFont="1" applyFill="1" applyBorder="1" applyAlignment="1">
      <alignment horizontal="center" wrapText="1"/>
    </xf>
    <xf numFmtId="0" fontId="0" fillId="9" borderId="0" xfId="0" applyFill="1" applyBorder="1" applyAlignment="1">
      <alignment horizontal="center"/>
    </xf>
    <xf numFmtId="14" fontId="0" fillId="9" borderId="0" xfId="0" applyNumberFormat="1" applyFill="1" applyBorder="1" applyAlignment="1">
      <alignment horizontal="center"/>
    </xf>
    <xf numFmtId="1" fontId="1" fillId="9" borderId="1" xfId="1" applyNumberFormat="1" applyFont="1" applyFill="1" applyBorder="1" applyAlignment="1">
      <alignment horizontal="center" wrapText="1"/>
    </xf>
    <xf numFmtId="0" fontId="1" fillId="9" borderId="6" xfId="1" applyFont="1" applyFill="1" applyBorder="1" applyAlignment="1">
      <alignment horizontal="center" wrapText="1"/>
    </xf>
    <xf numFmtId="0" fontId="0" fillId="9" borderId="0" xfId="0" applyFill="1" applyAlignment="1">
      <alignment horizontal="center"/>
    </xf>
    <xf numFmtId="0" fontId="1" fillId="9" borderId="1" xfId="2" applyFont="1" applyFill="1" applyBorder="1" applyAlignment="1">
      <alignment horizontal="center" wrapText="1"/>
    </xf>
    <xf numFmtId="164" fontId="1" fillId="9" borderId="29" xfId="1" applyNumberFormat="1" applyFont="1" applyFill="1" applyBorder="1" applyAlignment="1">
      <alignment horizontal="center" wrapText="1"/>
    </xf>
    <xf numFmtId="164" fontId="1" fillId="9" borderId="1" xfId="1" applyNumberFormat="1" applyFont="1" applyFill="1" applyBorder="1" applyAlignment="1">
      <alignment horizontal="center" wrapText="1"/>
    </xf>
    <xf numFmtId="164" fontId="1" fillId="9" borderId="33" xfId="1" applyNumberFormat="1" applyFont="1" applyFill="1" applyBorder="1" applyAlignment="1">
      <alignment horizontal="center" wrapText="1"/>
    </xf>
    <xf numFmtId="0" fontId="0" fillId="9" borderId="32" xfId="0" applyFill="1" applyBorder="1" applyAlignment="1">
      <alignment horizontal="center"/>
    </xf>
    <xf numFmtId="0" fontId="1" fillId="9" borderId="33" xfId="1" applyFont="1" applyFill="1" applyBorder="1" applyAlignment="1">
      <alignment horizontal="center" wrapText="1"/>
    </xf>
    <xf numFmtId="14" fontId="2" fillId="9" borderId="27" xfId="1" applyNumberFormat="1" applyFill="1" applyBorder="1" applyAlignment="1">
      <alignment horizontal="center"/>
    </xf>
    <xf numFmtId="14" fontId="0" fillId="9" borderId="32" xfId="0" applyNumberFormat="1" applyFill="1" applyBorder="1" applyAlignment="1">
      <alignment horizontal="center"/>
    </xf>
    <xf numFmtId="0" fontId="2" fillId="9" borderId="0" xfId="1" applyFill="1" applyBorder="1" applyAlignment="1">
      <alignment horizontal="center"/>
    </xf>
    <xf numFmtId="0" fontId="2" fillId="9" borderId="32" xfId="1" applyFill="1" applyBorder="1" applyAlignment="1">
      <alignment horizontal="center"/>
    </xf>
    <xf numFmtId="14" fontId="0" fillId="9" borderId="27" xfId="0" applyNumberFormat="1" applyFill="1" applyBorder="1" applyAlignment="1">
      <alignment horizontal="center"/>
    </xf>
    <xf numFmtId="164" fontId="1" fillId="9" borderId="60" xfId="1" applyNumberFormat="1" applyFont="1" applyFill="1" applyBorder="1" applyAlignment="1">
      <alignment horizontal="center" wrapText="1"/>
    </xf>
    <xf numFmtId="14" fontId="0" fillId="9" borderId="0" xfId="0" applyNumberFormat="1" applyFill="1" applyAlignment="1">
      <alignment horizontal="center"/>
    </xf>
    <xf numFmtId="164" fontId="1" fillId="9" borderId="0" xfId="1" applyNumberFormat="1" applyFont="1" applyFill="1" applyBorder="1" applyAlignment="1">
      <alignment horizontal="center" wrapText="1"/>
    </xf>
    <xf numFmtId="164" fontId="1" fillId="9" borderId="32" xfId="1" applyNumberFormat="1" applyFont="1" applyFill="1" applyBorder="1" applyAlignment="1">
      <alignment horizontal="center" wrapText="1"/>
    </xf>
    <xf numFmtId="0" fontId="0" fillId="9" borderId="27" xfId="0" applyFill="1" applyBorder="1" applyAlignment="1">
      <alignment horizontal="center"/>
    </xf>
    <xf numFmtId="14" fontId="2" fillId="9" borderId="0" xfId="1" applyNumberFormat="1" applyFill="1" applyBorder="1" applyAlignment="1">
      <alignment horizontal="center"/>
    </xf>
    <xf numFmtId="14" fontId="2" fillId="9" borderId="32" xfId="1" applyNumberFormat="1" applyFill="1" applyBorder="1" applyAlignment="1">
      <alignment horizontal="center"/>
    </xf>
    <xf numFmtId="0" fontId="1" fillId="9" borderId="35" xfId="1" applyNumberFormat="1" applyFont="1" applyFill="1" applyBorder="1" applyAlignment="1">
      <alignment horizontal="center" wrapText="1"/>
    </xf>
    <xf numFmtId="14" fontId="1" fillId="9" borderId="35" xfId="1" applyNumberFormat="1" applyFont="1" applyFill="1" applyBorder="1" applyAlignment="1">
      <alignment horizontal="center" wrapText="1"/>
    </xf>
    <xf numFmtId="0" fontId="1" fillId="9" borderId="35" xfId="1" applyFont="1" applyFill="1" applyBorder="1" applyAlignment="1">
      <alignment horizontal="center" wrapText="1"/>
    </xf>
    <xf numFmtId="0" fontId="0" fillId="9" borderId="36" xfId="0" applyFill="1" applyBorder="1" applyAlignment="1">
      <alignment horizontal="center"/>
    </xf>
    <xf numFmtId="14" fontId="0" fillId="9" borderId="36" xfId="0" applyNumberFormat="1" applyFill="1" applyBorder="1" applyAlignment="1">
      <alignment horizontal="center"/>
    </xf>
    <xf numFmtId="1" fontId="1" fillId="9" borderId="35" xfId="1" applyNumberFormat="1" applyFont="1" applyFill="1" applyBorder="1" applyAlignment="1">
      <alignment horizontal="center" wrapText="1"/>
    </xf>
    <xf numFmtId="0" fontId="1" fillId="9" borderId="37" xfId="1" applyFont="1" applyFill="1" applyBorder="1" applyAlignment="1">
      <alignment horizontal="center" wrapText="1"/>
    </xf>
    <xf numFmtId="0" fontId="1" fillId="9" borderId="35" xfId="2" applyFont="1" applyFill="1" applyBorder="1" applyAlignment="1">
      <alignment horizontal="center" wrapText="1"/>
    </xf>
    <xf numFmtId="164" fontId="1" fillId="9" borderId="40" xfId="1" applyNumberFormat="1" applyFont="1" applyFill="1" applyBorder="1" applyAlignment="1">
      <alignment horizontal="center" wrapText="1"/>
    </xf>
    <xf numFmtId="164" fontId="1" fillId="9" borderId="35" xfId="1" applyNumberFormat="1" applyFont="1" applyFill="1" applyBorder="1" applyAlignment="1">
      <alignment horizontal="center" wrapText="1"/>
    </xf>
    <xf numFmtId="164" fontId="1" fillId="9" borderId="41" xfId="1" applyNumberFormat="1" applyFont="1" applyFill="1" applyBorder="1" applyAlignment="1">
      <alignment horizontal="center" wrapText="1"/>
    </xf>
    <xf numFmtId="0" fontId="0" fillId="9" borderId="39" xfId="0" applyFill="1" applyBorder="1" applyAlignment="1">
      <alignment horizontal="center"/>
    </xf>
    <xf numFmtId="0" fontId="1" fillId="9" borderId="41" xfId="1" applyFont="1" applyFill="1" applyBorder="1" applyAlignment="1">
      <alignment horizontal="center" wrapText="1"/>
    </xf>
    <xf numFmtId="14" fontId="0" fillId="9" borderId="39" xfId="0" applyNumberFormat="1" applyFill="1" applyBorder="1" applyAlignment="1">
      <alignment horizontal="center"/>
    </xf>
    <xf numFmtId="0" fontId="2" fillId="9" borderId="36" xfId="1" applyFill="1" applyBorder="1" applyAlignment="1">
      <alignment horizontal="center"/>
    </xf>
    <xf numFmtId="0" fontId="2" fillId="9" borderId="39" xfId="1" applyFill="1" applyBorder="1" applyAlignment="1">
      <alignment horizontal="center"/>
    </xf>
    <xf numFmtId="14" fontId="0" fillId="9" borderId="38" xfId="0" applyNumberFormat="1" applyFill="1" applyBorder="1" applyAlignment="1">
      <alignment horizontal="center"/>
    </xf>
    <xf numFmtId="164" fontId="1" fillId="9" borderId="61" xfId="1" applyNumberFormat="1" applyFont="1" applyFill="1" applyBorder="1" applyAlignment="1">
      <alignment horizontal="center" wrapText="1"/>
    </xf>
    <xf numFmtId="0" fontId="2" fillId="9" borderId="52" xfId="1" applyNumberFormat="1" applyFill="1" applyBorder="1" applyAlignment="1">
      <alignment horizontal="center"/>
    </xf>
    <xf numFmtId="14" fontId="1" fillId="9" borderId="51" xfId="1" applyNumberFormat="1" applyFont="1" applyFill="1" applyBorder="1" applyAlignment="1">
      <alignment horizontal="center" wrapText="1"/>
    </xf>
    <xf numFmtId="0" fontId="1" fillId="9" borderId="51" xfId="1" applyFont="1" applyFill="1" applyBorder="1" applyAlignment="1">
      <alignment horizontal="center" wrapText="1"/>
    </xf>
    <xf numFmtId="0" fontId="0" fillId="9" borderId="52" xfId="0" applyFill="1" applyBorder="1" applyAlignment="1">
      <alignment horizontal="center"/>
    </xf>
    <xf numFmtId="0" fontId="2" fillId="9" borderId="52" xfId="1" applyFill="1" applyBorder="1" applyAlignment="1">
      <alignment horizontal="center"/>
    </xf>
    <xf numFmtId="0" fontId="1" fillId="9" borderId="42" xfId="1" applyFont="1" applyFill="1" applyBorder="1" applyAlignment="1">
      <alignment horizontal="center" wrapText="1"/>
    </xf>
    <xf numFmtId="14" fontId="2" fillId="9" borderId="52" xfId="1" applyNumberFormat="1" applyFill="1" applyBorder="1" applyAlignment="1">
      <alignment horizontal="center"/>
    </xf>
    <xf numFmtId="0" fontId="1" fillId="9" borderId="51" xfId="2" applyFont="1" applyFill="1" applyBorder="1" applyAlignment="1">
      <alignment horizontal="center" wrapText="1"/>
    </xf>
    <xf numFmtId="0" fontId="1" fillId="9" borderId="52" xfId="1" applyFont="1" applyFill="1" applyBorder="1" applyAlignment="1">
      <alignment horizontal="center" wrapText="1"/>
    </xf>
    <xf numFmtId="0" fontId="2" fillId="9" borderId="53" xfId="1" applyFill="1" applyBorder="1" applyAlignment="1">
      <alignment horizontal="center"/>
    </xf>
    <xf numFmtId="0" fontId="2" fillId="9" borderId="54" xfId="1" applyFill="1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1" fillId="9" borderId="55" xfId="1" applyFont="1" applyFill="1" applyBorder="1" applyAlignment="1">
      <alignment horizontal="center" wrapText="1"/>
    </xf>
    <xf numFmtId="14" fontId="0" fillId="9" borderId="54" xfId="0" applyNumberFormat="1" applyFill="1" applyBorder="1" applyAlignment="1">
      <alignment horizontal="center"/>
    </xf>
    <xf numFmtId="14" fontId="0" fillId="9" borderId="53" xfId="0" applyNumberFormat="1" applyFill="1" applyBorder="1" applyAlignment="1">
      <alignment horizontal="center"/>
    </xf>
    <xf numFmtId="0" fontId="1" fillId="9" borderId="8" xfId="1" applyNumberFormat="1" applyFont="1" applyFill="1" applyBorder="1" applyAlignment="1">
      <alignment horizontal="center" wrapText="1"/>
    </xf>
    <xf numFmtId="14" fontId="1" fillId="9" borderId="8" xfId="1" applyNumberFormat="1" applyFont="1" applyFill="1" applyBorder="1" applyAlignment="1">
      <alignment horizontal="center" wrapText="1"/>
    </xf>
    <xf numFmtId="0" fontId="1" fillId="9" borderId="8" xfId="1" applyFont="1" applyFill="1" applyBorder="1" applyAlignment="1">
      <alignment horizontal="center" wrapText="1"/>
    </xf>
    <xf numFmtId="1" fontId="1" fillId="9" borderId="8" xfId="1" applyNumberFormat="1" applyFont="1" applyFill="1" applyBorder="1" applyAlignment="1">
      <alignment horizontal="center" wrapText="1"/>
    </xf>
    <xf numFmtId="3" fontId="0" fillId="9" borderId="0" xfId="0" applyNumberFormat="1" applyFill="1" applyBorder="1" applyAlignment="1">
      <alignment horizontal="center"/>
    </xf>
    <xf numFmtId="0" fontId="1" fillId="9" borderId="28" xfId="1" applyFont="1" applyFill="1" applyBorder="1" applyAlignment="1">
      <alignment horizontal="center" wrapText="1"/>
    </xf>
    <xf numFmtId="0" fontId="1" fillId="9" borderId="8" xfId="2" applyFont="1" applyFill="1" applyBorder="1" applyAlignment="1">
      <alignment horizontal="center" wrapText="1"/>
    </xf>
    <xf numFmtId="0" fontId="1" fillId="9" borderId="34" xfId="1" applyFont="1" applyFill="1" applyBorder="1" applyAlignment="1">
      <alignment horizontal="center" wrapText="1"/>
    </xf>
    <xf numFmtId="164" fontId="1" fillId="9" borderId="63" xfId="1" applyNumberFormat="1" applyFont="1" applyFill="1" applyBorder="1" applyAlignment="1">
      <alignment horizontal="center" wrapText="1"/>
    </xf>
    <xf numFmtId="0" fontId="0" fillId="9" borderId="0" xfId="0" applyNumberFormat="1" applyFill="1" applyAlignment="1">
      <alignment horizontal="center"/>
    </xf>
    <xf numFmtId="1" fontId="0" fillId="9" borderId="32" xfId="0" applyNumberFormat="1" applyFill="1" applyBorder="1" applyAlignment="1">
      <alignment horizontal="center"/>
    </xf>
    <xf numFmtId="0" fontId="0" fillId="9" borderId="0" xfId="0" applyNumberFormat="1" applyFill="1" applyBorder="1" applyAlignment="1">
      <alignment horizontal="center"/>
    </xf>
    <xf numFmtId="0" fontId="0" fillId="9" borderId="0" xfId="0" applyNumberFormat="1" applyFill="1" applyBorder="1" applyAlignment="1">
      <alignment horizontal="center" vertical="center"/>
    </xf>
    <xf numFmtId="0" fontId="0" fillId="9" borderId="31" xfId="0" applyFill="1" applyBorder="1" applyAlignment="1">
      <alignment horizontal="center"/>
    </xf>
    <xf numFmtId="14" fontId="0" fillId="9" borderId="31" xfId="0" applyNumberFormat="1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9" borderId="44" xfId="0" applyNumberFormat="1" applyFill="1" applyBorder="1" applyAlignment="1">
      <alignment horizontal="center"/>
    </xf>
    <xf numFmtId="0" fontId="0" fillId="9" borderId="36" xfId="0" applyNumberForma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7" borderId="0" xfId="25" applyNumberFormat="1" applyFont="1" applyFill="1" applyBorder="1" applyAlignment="1">
      <alignment horizontal="center"/>
    </xf>
    <xf numFmtId="9" fontId="0" fillId="7" borderId="0" xfId="25" applyFont="1" applyFill="1" applyBorder="1" applyAlignment="1">
      <alignment horizontal="center"/>
    </xf>
    <xf numFmtId="0" fontId="0" fillId="7" borderId="27" xfId="0" applyNumberFormat="1" applyFill="1" applyBorder="1" applyAlignment="1">
      <alignment horizontal="center"/>
    </xf>
    <xf numFmtId="10" fontId="0" fillId="7" borderId="27" xfId="0" applyNumberForma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6" fillId="9" borderId="0" xfId="0" applyFont="1" applyFill="1" applyBorder="1" applyAlignment="1">
      <alignment horizontal="center" vertical="center"/>
    </xf>
    <xf numFmtId="14" fontId="6" fillId="9" borderId="0" xfId="0" applyNumberFormat="1" applyFont="1" applyFill="1" applyBorder="1" applyAlignment="1">
      <alignment horizontal="center" vertical="center"/>
    </xf>
    <xf numFmtId="0" fontId="0" fillId="9" borderId="44" xfId="0" applyNumberFormat="1" applyFill="1" applyBorder="1" applyAlignment="1">
      <alignment horizontal="center" vertical="center"/>
    </xf>
    <xf numFmtId="0" fontId="0" fillId="9" borderId="50" xfId="0" applyFill="1" applyBorder="1" applyAlignment="1">
      <alignment horizontal="center"/>
    </xf>
    <xf numFmtId="0" fontId="9" fillId="0" borderId="18" xfId="29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0" fontId="28" fillId="0" borderId="1" xfId="28" applyNumberFormat="1" applyFont="1" applyFill="1" applyBorder="1" applyAlignment="1">
      <alignment horizontal="right" wrapText="1"/>
    </xf>
    <xf numFmtId="14" fontId="8" fillId="0" borderId="0" xfId="3" applyNumberFormat="1" applyFont="1" applyFill="1" applyBorder="1" applyAlignment="1">
      <alignment horizontal="center"/>
    </xf>
    <xf numFmtId="14" fontId="15" fillId="0" borderId="5" xfId="3" applyNumberFormat="1" applyFont="1" applyFill="1" applyBorder="1" applyAlignment="1">
      <alignment horizontal="center" vertical="center" wrapText="1"/>
    </xf>
    <xf numFmtId="14" fontId="4" fillId="0" borderId="5" xfId="6" applyNumberFormat="1" applyFont="1" applyBorder="1" applyAlignment="1">
      <alignment horizontal="center"/>
    </xf>
    <xf numFmtId="14" fontId="4" fillId="0" borderId="5" xfId="7" applyNumberFormat="1" applyFont="1" applyBorder="1" applyAlignment="1">
      <alignment horizontal="center"/>
    </xf>
    <xf numFmtId="0" fontId="8" fillId="0" borderId="5" xfId="3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/>
    </xf>
    <xf numFmtId="0" fontId="1" fillId="0" borderId="5" xfId="5" applyFont="1" applyFill="1" applyBorder="1" applyAlignment="1">
      <alignment horizontal="center" wrapText="1"/>
    </xf>
    <xf numFmtId="0" fontId="30" fillId="0" borderId="5" xfId="6" applyFont="1" applyFill="1" applyBorder="1" applyAlignment="1">
      <alignment horizontal="center" vertical="center"/>
    </xf>
    <xf numFmtId="0" fontId="1" fillId="6" borderId="5" xfId="7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52" xfId="0" applyNumberFormat="1" applyFill="1" applyBorder="1" applyAlignment="1">
      <alignment horizontal="center"/>
    </xf>
    <xf numFmtId="14" fontId="0" fillId="0" borderId="52" xfId="0" applyNumberFormat="1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0" fillId="0" borderId="52" xfId="0" applyNumberFormat="1" applyFill="1" applyBorder="1" applyAlignment="1">
      <alignment horizontal="center" vertical="center"/>
    </xf>
    <xf numFmtId="14" fontId="1" fillId="0" borderId="29" xfId="1" applyNumberFormat="1" applyFont="1" applyFill="1" applyBorder="1" applyAlignment="1">
      <alignment horizontal="center" wrapText="1"/>
    </xf>
    <xf numFmtId="14" fontId="2" fillId="0" borderId="0" xfId="1" applyNumberFormat="1" applyFill="1" applyBorder="1" applyAlignment="1">
      <alignment horizontal="center"/>
    </xf>
    <xf numFmtId="14" fontId="2" fillId="0" borderId="32" xfId="1" applyNumberFormat="1" applyFill="1" applyBorder="1" applyAlignment="1">
      <alignment horizontal="center"/>
    </xf>
    <xf numFmtId="14" fontId="1" fillId="0" borderId="33" xfId="1" applyNumberFormat="1" applyFont="1" applyFill="1" applyBorder="1" applyAlignment="1">
      <alignment horizontal="center" wrapText="1"/>
    </xf>
    <xf numFmtId="14" fontId="1" fillId="0" borderId="40" xfId="1" applyNumberFormat="1" applyFont="1" applyFill="1" applyBorder="1" applyAlignment="1">
      <alignment horizontal="center" wrapText="1"/>
    </xf>
    <xf numFmtId="14" fontId="2" fillId="0" borderId="36" xfId="1" applyNumberFormat="1" applyFill="1" applyBorder="1" applyAlignment="1">
      <alignment horizontal="center"/>
    </xf>
    <xf numFmtId="14" fontId="1" fillId="0" borderId="41" xfId="1" applyNumberFormat="1" applyFont="1" applyFill="1" applyBorder="1" applyAlignment="1">
      <alignment horizontal="center" wrapText="1"/>
    </xf>
    <xf numFmtId="14" fontId="1" fillId="9" borderId="47" xfId="1" applyNumberFormat="1" applyFont="1" applyFill="1" applyBorder="1" applyAlignment="1">
      <alignment horizontal="center" wrapText="1"/>
    </xf>
    <xf numFmtId="14" fontId="1" fillId="9" borderId="48" xfId="1" applyNumberFormat="1" applyFont="1" applyFill="1" applyBorder="1" applyAlignment="1">
      <alignment horizontal="center" wrapText="1"/>
    </xf>
    <xf numFmtId="14" fontId="1" fillId="9" borderId="29" xfId="1" applyNumberFormat="1" applyFont="1" applyFill="1" applyBorder="1" applyAlignment="1">
      <alignment horizontal="center" wrapText="1"/>
    </xf>
    <xf numFmtId="14" fontId="1" fillId="9" borderId="33" xfId="1" applyNumberFormat="1" applyFont="1" applyFill="1" applyBorder="1" applyAlignment="1">
      <alignment horizontal="center" wrapText="1"/>
    </xf>
    <xf numFmtId="14" fontId="1" fillId="5" borderId="29" xfId="1" applyNumberFormat="1" applyFont="1" applyFill="1" applyBorder="1" applyAlignment="1">
      <alignment horizontal="center" wrapText="1"/>
    </xf>
    <xf numFmtId="14" fontId="1" fillId="5" borderId="33" xfId="1" applyNumberFormat="1" applyFont="1" applyFill="1" applyBorder="1" applyAlignment="1">
      <alignment horizontal="center" wrapText="1"/>
    </xf>
    <xf numFmtId="14" fontId="1" fillId="5" borderId="40" xfId="1" applyNumberFormat="1" applyFont="1" applyFill="1" applyBorder="1" applyAlignment="1">
      <alignment horizontal="center" wrapText="1"/>
    </xf>
    <xf numFmtId="14" fontId="1" fillId="5" borderId="41" xfId="1" applyNumberFormat="1" applyFont="1" applyFill="1" applyBorder="1" applyAlignment="1">
      <alignment horizontal="center" wrapText="1"/>
    </xf>
    <xf numFmtId="14" fontId="1" fillId="5" borderId="30" xfId="1" applyNumberFormat="1" applyFont="1" applyFill="1" applyBorder="1" applyAlignment="1">
      <alignment horizontal="center" wrapText="1"/>
    </xf>
    <xf numFmtId="14" fontId="1" fillId="5" borderId="34" xfId="1" applyNumberFormat="1" applyFont="1" applyFill="1" applyBorder="1" applyAlignment="1">
      <alignment horizontal="center" wrapText="1"/>
    </xf>
    <xf numFmtId="14" fontId="1" fillId="9" borderId="40" xfId="1" applyNumberFormat="1" applyFont="1" applyFill="1" applyBorder="1" applyAlignment="1">
      <alignment horizontal="center" wrapText="1"/>
    </xf>
    <xf numFmtId="14" fontId="1" fillId="9" borderId="41" xfId="1" applyNumberFormat="1" applyFont="1" applyFill="1" applyBorder="1" applyAlignment="1">
      <alignment horizontal="center" wrapText="1"/>
    </xf>
    <xf numFmtId="14" fontId="2" fillId="9" borderId="53" xfId="1" applyNumberFormat="1" applyFill="1" applyBorder="1" applyAlignment="1">
      <alignment horizontal="center"/>
    </xf>
    <xf numFmtId="14" fontId="2" fillId="9" borderId="54" xfId="1" applyNumberFormat="1" applyFill="1" applyBorder="1" applyAlignment="1">
      <alignment horizontal="center"/>
    </xf>
    <xf numFmtId="14" fontId="1" fillId="9" borderId="30" xfId="1" applyNumberFormat="1" applyFont="1" applyFill="1" applyBorder="1" applyAlignment="1">
      <alignment horizontal="center" wrapText="1"/>
    </xf>
    <xf numFmtId="14" fontId="1" fillId="9" borderId="34" xfId="1" applyNumberFormat="1" applyFont="1" applyFill="1" applyBorder="1" applyAlignment="1">
      <alignment horizontal="center" wrapText="1"/>
    </xf>
    <xf numFmtId="14" fontId="0" fillId="0" borderId="53" xfId="0" applyNumberFormat="1" applyFill="1" applyBorder="1" applyAlignment="1">
      <alignment horizontal="center"/>
    </xf>
    <xf numFmtId="14" fontId="0" fillId="0" borderId="54" xfId="0" applyNumberForma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4" fontId="0" fillId="8" borderId="5" xfId="0" applyNumberFormat="1" applyFill="1" applyBorder="1" applyAlignment="1">
      <alignment horizontal="center"/>
    </xf>
    <xf numFmtId="9" fontId="0" fillId="8" borderId="5" xfId="25" applyFont="1" applyFill="1" applyBorder="1" applyAlignment="1">
      <alignment horizontal="center"/>
    </xf>
    <xf numFmtId="0" fontId="0" fillId="0" borderId="5" xfId="0" pivotButton="1" applyBorder="1" applyAlignment="1">
      <alignment horizontal="center"/>
    </xf>
    <xf numFmtId="9" fontId="0" fillId="0" borderId="5" xfId="25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0" fillId="9" borderId="36" xfId="0" applyNumberFormat="1" applyFill="1" applyBorder="1" applyAlignment="1">
      <alignment horizontal="center" vertical="center"/>
    </xf>
    <xf numFmtId="0" fontId="0" fillId="9" borderId="38" xfId="0" applyFill="1" applyBorder="1" applyAlignment="1">
      <alignment horizontal="center"/>
    </xf>
    <xf numFmtId="14" fontId="0" fillId="0" borderId="39" xfId="0" applyNumberFormat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31" fillId="0" borderId="0" xfId="0" applyFont="1" applyAlignment="1">
      <alignment vertical="center" wrapText="1"/>
    </xf>
    <xf numFmtId="0" fontId="32" fillId="4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33" fillId="0" borderId="0" xfId="0" applyFont="1"/>
    <xf numFmtId="0" fontId="34" fillId="0" borderId="67" xfId="0" applyFont="1" applyBorder="1" applyAlignment="1">
      <alignment vertical="top" wrapText="1"/>
    </xf>
    <xf numFmtId="0" fontId="34" fillId="0" borderId="0" xfId="0" applyFont="1" applyAlignment="1">
      <alignment wrapText="1"/>
    </xf>
    <xf numFmtId="0" fontId="33" fillId="0" borderId="0" xfId="0" applyFont="1" applyAlignment="1">
      <alignment wrapText="1"/>
    </xf>
    <xf numFmtId="0" fontId="32" fillId="9" borderId="0" xfId="0" applyFont="1" applyFill="1" applyAlignment="1">
      <alignment vertical="center"/>
    </xf>
    <xf numFmtId="0" fontId="35" fillId="4" borderId="0" xfId="0" applyFont="1" applyFill="1" applyAlignment="1">
      <alignment vertical="center"/>
    </xf>
    <xf numFmtId="0" fontId="35" fillId="9" borderId="0" xfId="0" applyFont="1" applyFill="1" applyAlignment="1">
      <alignment vertical="center"/>
    </xf>
    <xf numFmtId="0" fontId="35" fillId="3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14" fontId="8" fillId="0" borderId="0" xfId="3" applyNumberFormat="1" applyFont="1" applyFill="1" applyBorder="1" applyAlignment="1">
      <alignment horizontal="center" vertical="center" wrapText="1"/>
    </xf>
    <xf numFmtId="14" fontId="8" fillId="6" borderId="0" xfId="3" applyNumberFormat="1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NumberFormat="1" applyFont="1" applyFill="1" applyBorder="1" applyAlignment="1">
      <alignment horizontal="center" vertical="center"/>
    </xf>
    <xf numFmtId="0" fontId="0" fillId="7" borderId="36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0" xfId="0" applyNumberFormat="1" applyFill="1" applyAlignment="1">
      <alignment horizontal="center"/>
    </xf>
    <xf numFmtId="0" fontId="0" fillId="7" borderId="36" xfId="0" applyNumberFormat="1" applyFill="1" applyBorder="1" applyAlignment="1">
      <alignment horizontal="center"/>
    </xf>
    <xf numFmtId="0" fontId="0" fillId="7" borderId="44" xfId="0" applyNumberFormat="1" applyFill="1" applyBorder="1" applyAlignment="1">
      <alignment horizontal="center"/>
    </xf>
    <xf numFmtId="0" fontId="0" fillId="7" borderId="52" xfId="0" applyNumberFormat="1" applyFill="1" applyBorder="1" applyAlignment="1">
      <alignment horizontal="center"/>
    </xf>
    <xf numFmtId="0" fontId="6" fillId="7" borderId="0" xfId="0" applyFont="1" applyFill="1" applyBorder="1" applyAlignment="1">
      <alignment horizontal="center" vertical="center"/>
    </xf>
    <xf numFmtId="0" fontId="0" fillId="7" borderId="0" xfId="25" applyNumberFormat="1" applyFont="1" applyFill="1" applyAlignment="1">
      <alignment horizontal="center"/>
    </xf>
    <xf numFmtId="9" fontId="0" fillId="7" borderId="0" xfId="25" applyFont="1" applyFill="1" applyAlignment="1">
      <alignment horizontal="center"/>
    </xf>
    <xf numFmtId="0" fontId="2" fillId="7" borderId="32" xfId="1" applyNumberFormat="1" applyFill="1" applyBorder="1" applyAlignment="1">
      <alignment horizontal="center"/>
    </xf>
    <xf numFmtId="10" fontId="2" fillId="7" borderId="32" xfId="1" applyNumberFormat="1" applyFill="1" applyBorder="1" applyAlignment="1">
      <alignment horizontal="center"/>
    </xf>
    <xf numFmtId="0" fontId="1" fillId="7" borderId="60" xfId="1" applyNumberFormat="1" applyFont="1" applyFill="1" applyBorder="1" applyAlignment="1">
      <alignment horizontal="center" wrapText="1"/>
    </xf>
    <xf numFmtId="10" fontId="1" fillId="7" borderId="60" xfId="1" applyNumberFormat="1" applyFont="1" applyFill="1" applyBorder="1" applyAlignment="1">
      <alignment horizontal="center" wrapText="1"/>
    </xf>
    <xf numFmtId="0" fontId="1" fillId="7" borderId="61" xfId="1" applyNumberFormat="1" applyFont="1" applyFill="1" applyBorder="1" applyAlignment="1">
      <alignment horizontal="center" wrapText="1"/>
    </xf>
    <xf numFmtId="10" fontId="1" fillId="7" borderId="61" xfId="1" applyNumberFormat="1" applyFont="1" applyFill="1" applyBorder="1" applyAlignment="1">
      <alignment horizontal="center" wrapText="1"/>
    </xf>
    <xf numFmtId="14" fontId="0" fillId="7" borderId="36" xfId="0" applyNumberFormat="1" applyFill="1" applyBorder="1" applyAlignment="1">
      <alignment horizontal="center"/>
    </xf>
    <xf numFmtId="0" fontId="0" fillId="7" borderId="36" xfId="25" applyNumberFormat="1" applyFont="1" applyFill="1" applyBorder="1" applyAlignment="1">
      <alignment horizontal="center"/>
    </xf>
    <xf numFmtId="9" fontId="0" fillId="7" borderId="36" xfId="25" applyFont="1" applyFill="1" applyBorder="1" applyAlignment="1">
      <alignment horizontal="center"/>
    </xf>
    <xf numFmtId="0" fontId="1" fillId="7" borderId="62" xfId="1" applyNumberFormat="1" applyFont="1" applyFill="1" applyBorder="1" applyAlignment="1">
      <alignment horizontal="center" wrapText="1"/>
    </xf>
    <xf numFmtId="10" fontId="1" fillId="7" borderId="62" xfId="1" applyNumberFormat="1" applyFont="1" applyFill="1" applyBorder="1" applyAlignment="1">
      <alignment horizontal="center" wrapText="1"/>
    </xf>
    <xf numFmtId="14" fontId="0" fillId="7" borderId="44" xfId="0" applyNumberFormat="1" applyFill="1" applyBorder="1" applyAlignment="1">
      <alignment horizontal="center"/>
    </xf>
    <xf numFmtId="0" fontId="0" fillId="7" borderId="44" xfId="25" applyNumberFormat="1" applyFont="1" applyFill="1" applyBorder="1" applyAlignment="1">
      <alignment horizontal="center"/>
    </xf>
    <xf numFmtId="9" fontId="0" fillId="7" borderId="44" xfId="25" applyFont="1" applyFill="1" applyBorder="1" applyAlignment="1">
      <alignment horizontal="center"/>
    </xf>
    <xf numFmtId="0" fontId="1" fillId="7" borderId="63" xfId="1" applyNumberFormat="1" applyFont="1" applyFill="1" applyBorder="1" applyAlignment="1">
      <alignment horizontal="center" wrapText="1"/>
    </xf>
    <xf numFmtId="10" fontId="1" fillId="7" borderId="63" xfId="1" applyNumberFormat="1" applyFont="1" applyFill="1" applyBorder="1" applyAlignment="1">
      <alignment horizontal="center" wrapText="1"/>
    </xf>
    <xf numFmtId="0" fontId="2" fillId="7" borderId="54" xfId="1" applyNumberFormat="1" applyFill="1" applyBorder="1" applyAlignment="1">
      <alignment horizontal="center"/>
    </xf>
    <xf numFmtId="10" fontId="2" fillId="7" borderId="54" xfId="1" applyNumberFormat="1" applyFill="1" applyBorder="1" applyAlignment="1">
      <alignment horizontal="center"/>
    </xf>
    <xf numFmtId="14" fontId="0" fillId="7" borderId="52" xfId="0" applyNumberFormat="1" applyFill="1" applyBorder="1" applyAlignment="1">
      <alignment horizontal="center"/>
    </xf>
    <xf numFmtId="0" fontId="0" fillId="7" borderId="52" xfId="25" applyNumberFormat="1" applyFont="1" applyFill="1" applyBorder="1" applyAlignment="1">
      <alignment horizontal="center"/>
    </xf>
    <xf numFmtId="9" fontId="0" fillId="7" borderId="52" xfId="25" applyFont="1" applyFill="1" applyBorder="1" applyAlignment="1">
      <alignment horizontal="center"/>
    </xf>
    <xf numFmtId="0" fontId="0" fillId="7" borderId="39" xfId="0" applyNumberFormat="1" applyFill="1" applyBorder="1" applyAlignment="1">
      <alignment horizontal="center"/>
    </xf>
    <xf numFmtId="10" fontId="0" fillId="7" borderId="39" xfId="0" applyNumberFormat="1" applyFill="1" applyBorder="1" applyAlignment="1">
      <alignment horizontal="center"/>
    </xf>
    <xf numFmtId="0" fontId="0" fillId="7" borderId="56" xfId="0" applyNumberFormat="1" applyFill="1" applyBorder="1" applyAlignment="1">
      <alignment horizontal="center"/>
    </xf>
    <xf numFmtId="10" fontId="0" fillId="7" borderId="56" xfId="0" applyNumberFormat="1" applyFill="1" applyBorder="1" applyAlignment="1">
      <alignment horizontal="center"/>
    </xf>
    <xf numFmtId="0" fontId="0" fillId="7" borderId="38" xfId="0" applyNumberFormat="1" applyFill="1" applyBorder="1" applyAlignment="1">
      <alignment horizontal="center"/>
    </xf>
    <xf numFmtId="10" fontId="0" fillId="7" borderId="38" xfId="0" applyNumberForma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10" fontId="0" fillId="7" borderId="0" xfId="0" applyNumberFormat="1" applyFill="1" applyBorder="1" applyAlignment="1">
      <alignment horizontal="center"/>
    </xf>
    <xf numFmtId="10" fontId="0" fillId="7" borderId="50" xfId="0" applyNumberFormat="1" applyFill="1" applyBorder="1" applyAlignment="1">
      <alignment horizontal="center"/>
    </xf>
    <xf numFmtId="0" fontId="1" fillId="7" borderId="1" xfId="1" applyFont="1" applyFill="1" applyBorder="1" applyAlignment="1">
      <alignment horizontal="center" wrapText="1"/>
    </xf>
    <xf numFmtId="0" fontId="1" fillId="7" borderId="35" xfId="1" applyFont="1" applyFill="1" applyBorder="1" applyAlignment="1">
      <alignment horizontal="center" wrapText="1"/>
    </xf>
    <xf numFmtId="0" fontId="1" fillId="7" borderId="43" xfId="1" applyFont="1" applyFill="1" applyBorder="1" applyAlignment="1">
      <alignment horizontal="center" wrapText="1"/>
    </xf>
    <xf numFmtId="0" fontId="1" fillId="7" borderId="8" xfId="1" applyFont="1" applyFill="1" applyBorder="1" applyAlignment="1">
      <alignment horizontal="center" wrapText="1"/>
    </xf>
    <xf numFmtId="0" fontId="1" fillId="7" borderId="51" xfId="1" applyFont="1" applyFill="1" applyBorder="1" applyAlignment="1">
      <alignment horizontal="center" wrapText="1"/>
    </xf>
    <xf numFmtId="0" fontId="0" fillId="5" borderId="27" xfId="0" applyNumberFormat="1" applyFill="1" applyBorder="1" applyAlignment="1">
      <alignment horizontal="center"/>
    </xf>
    <xf numFmtId="10" fontId="0" fillId="5" borderId="27" xfId="0" applyNumberFormat="1" applyFill="1" applyBorder="1" applyAlignment="1">
      <alignment horizontal="center"/>
    </xf>
    <xf numFmtId="0" fontId="0" fillId="5" borderId="0" xfId="25" applyNumberFormat="1" applyFont="1" applyFill="1" applyBorder="1" applyAlignment="1">
      <alignment horizontal="center"/>
    </xf>
    <xf numFmtId="9" fontId="0" fillId="5" borderId="0" xfId="25" applyFont="1" applyFill="1" applyBorder="1" applyAlignment="1">
      <alignment horizontal="center"/>
    </xf>
    <xf numFmtId="0" fontId="0" fillId="9" borderId="27" xfId="0" applyNumberFormat="1" applyFill="1" applyBorder="1" applyAlignment="1">
      <alignment horizontal="center"/>
    </xf>
    <xf numFmtId="10" fontId="0" fillId="9" borderId="27" xfId="0" applyNumberFormat="1" applyFill="1" applyBorder="1" applyAlignment="1">
      <alignment horizontal="center"/>
    </xf>
    <xf numFmtId="0" fontId="0" fillId="9" borderId="0" xfId="25" applyNumberFormat="1" applyFont="1" applyFill="1" applyBorder="1" applyAlignment="1">
      <alignment horizontal="center"/>
    </xf>
    <xf numFmtId="9" fontId="0" fillId="9" borderId="0" xfId="25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36" fillId="5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9" borderId="0" xfId="0" applyFont="1" applyFill="1" applyAlignment="1">
      <alignment horizontal="center"/>
    </xf>
    <xf numFmtId="0" fontId="36" fillId="0" borderId="36" xfId="0" applyFont="1" applyBorder="1" applyAlignment="1">
      <alignment horizontal="center"/>
    </xf>
    <xf numFmtId="0" fontId="8" fillId="0" borderId="0" xfId="30" applyFont="1" applyFill="1" applyBorder="1" applyAlignment="1">
      <alignment horizontal="center"/>
    </xf>
    <xf numFmtId="0" fontId="8" fillId="0" borderId="0" xfId="30" applyNumberFormat="1" applyFont="1" applyFill="1" applyBorder="1" applyAlignment="1">
      <alignment horizontal="center"/>
    </xf>
    <xf numFmtId="0" fontId="8" fillId="0" borderId="0" xfId="30" applyNumberFormat="1" applyFont="1" applyFill="1" applyBorder="1" applyAlignment="1">
      <alignment horizontal="center" wrapText="1"/>
    </xf>
    <xf numFmtId="164" fontId="8" fillId="0" borderId="0" xfId="3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 vertical="center" wrapText="1"/>
    </xf>
    <xf numFmtId="0" fontId="37" fillId="0" borderId="0" xfId="0" applyFont="1" applyFill="1" applyAlignment="1">
      <alignment horizontal="center"/>
    </xf>
    <xf numFmtId="0" fontId="37" fillId="0" borderId="0" xfId="0" applyFont="1" applyBorder="1" applyAlignment="1">
      <alignment horizontal="center"/>
    </xf>
    <xf numFmtId="0" fontId="37" fillId="7" borderId="0" xfId="0" applyFont="1" applyFill="1" applyBorder="1" applyAlignment="1">
      <alignment horizontal="center"/>
    </xf>
    <xf numFmtId="0" fontId="36" fillId="5" borderId="0" xfId="0" applyFont="1" applyFill="1" applyBorder="1" applyAlignment="1">
      <alignment horizontal="center"/>
    </xf>
    <xf numFmtId="0" fontId="36" fillId="9" borderId="36" xfId="0" applyFont="1" applyFill="1" applyBorder="1" applyAlignment="1">
      <alignment horizontal="center"/>
    </xf>
    <xf numFmtId="3" fontId="0" fillId="9" borderId="36" xfId="0" applyNumberFormat="1" applyFill="1" applyBorder="1" applyAlignment="1">
      <alignment horizontal="center"/>
    </xf>
    <xf numFmtId="14" fontId="0" fillId="9" borderId="56" xfId="0" applyNumberFormat="1" applyFill="1" applyBorder="1" applyAlignment="1">
      <alignment horizontal="center"/>
    </xf>
    <xf numFmtId="0" fontId="0" fillId="9" borderId="56" xfId="0" applyNumberFormat="1" applyFill="1" applyBorder="1" applyAlignment="1">
      <alignment horizontal="center"/>
    </xf>
    <xf numFmtId="10" fontId="0" fillId="9" borderId="56" xfId="0" applyNumberFormat="1" applyFill="1" applyBorder="1" applyAlignment="1">
      <alignment horizontal="center"/>
    </xf>
    <xf numFmtId="0" fontId="0" fillId="9" borderId="36" xfId="25" applyNumberFormat="1" applyFont="1" applyFill="1" applyBorder="1" applyAlignment="1">
      <alignment horizontal="center"/>
    </xf>
    <xf numFmtId="9" fontId="0" fillId="9" borderId="36" xfId="25" applyFont="1" applyFill="1" applyBorder="1" applyAlignment="1">
      <alignment horizontal="center"/>
    </xf>
    <xf numFmtId="16" fontId="0" fillId="0" borderId="0" xfId="0" applyNumberFormat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9" borderId="32" xfId="0" applyNumberFormat="1" applyFill="1" applyBorder="1" applyAlignment="1">
      <alignment horizontal="center"/>
    </xf>
    <xf numFmtId="10" fontId="0" fillId="9" borderId="32" xfId="0" applyNumberFormat="1" applyFill="1" applyBorder="1" applyAlignment="1">
      <alignment horizontal="center"/>
    </xf>
    <xf numFmtId="0" fontId="0" fillId="5" borderId="32" xfId="0" applyNumberFormat="1" applyFill="1" applyBorder="1" applyAlignment="1">
      <alignment horizontal="center"/>
    </xf>
    <xf numFmtId="10" fontId="0" fillId="5" borderId="32" xfId="0" applyNumberFormat="1" applyFill="1" applyBorder="1" applyAlignment="1">
      <alignment horizontal="center"/>
    </xf>
    <xf numFmtId="0" fontId="0" fillId="5" borderId="0" xfId="25" applyNumberFormat="1" applyFont="1" applyFill="1" applyAlignment="1">
      <alignment horizontal="center"/>
    </xf>
    <xf numFmtId="9" fontId="0" fillId="5" borderId="0" xfId="25" applyFont="1" applyFill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165" fontId="10" fillId="3" borderId="0" xfId="0" quotePrefix="1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4" fillId="3" borderId="15" xfId="0" applyFont="1" applyFill="1" applyBorder="1" applyAlignment="1">
      <alignment horizontal="center" wrapText="1"/>
    </xf>
    <xf numFmtId="0" fontId="14" fillId="3" borderId="13" xfId="0" applyFont="1" applyFill="1" applyBorder="1" applyAlignment="1">
      <alignment horizontal="center" wrapText="1"/>
    </xf>
    <xf numFmtId="0" fontId="11" fillId="3" borderId="15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3" borderId="12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Alignment="1">
      <alignment horizontal="left"/>
    </xf>
    <xf numFmtId="0" fontId="0" fillId="0" borderId="66" xfId="0" applyBorder="1" applyAlignment="1">
      <alignment horizontal="center"/>
    </xf>
    <xf numFmtId="0" fontId="36" fillId="9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0" borderId="0" xfId="29" applyFont="1" applyFill="1" applyBorder="1" applyAlignment="1">
      <alignment horizontal="center" vertical="center" wrapText="1"/>
    </xf>
    <xf numFmtId="0" fontId="8" fillId="0" borderId="0" xfId="29" applyFont="1" applyFill="1" applyBorder="1" applyAlignment="1">
      <alignment horizontal="center" vertical="center"/>
    </xf>
    <xf numFmtId="0" fontId="8" fillId="0" borderId="0" xfId="29" applyFont="1" applyFill="1" applyBorder="1" applyAlignment="1">
      <alignment vertical="center" wrapText="1"/>
    </xf>
    <xf numFmtId="0" fontId="8" fillId="0" borderId="0" xfId="29" applyNumberFormat="1" applyFont="1" applyFill="1" applyBorder="1" applyAlignment="1">
      <alignment horizontal="center" vertical="center"/>
    </xf>
    <xf numFmtId="15" fontId="8" fillId="0" borderId="0" xfId="29" applyNumberFormat="1" applyFont="1" applyFill="1" applyBorder="1" applyAlignment="1">
      <alignment horizontal="center" vertical="center" wrapText="1"/>
    </xf>
    <xf numFmtId="0" fontId="8" fillId="0" borderId="0" xfId="29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 wrapText="1"/>
    </xf>
    <xf numFmtId="15" fontId="8" fillId="0" borderId="0" xfId="0" applyNumberFormat="1" applyFont="1" applyFill="1" applyBorder="1" applyAlignment="1">
      <alignment horizontal="center" vertical="center"/>
    </xf>
    <xf numFmtId="15" fontId="8" fillId="0" borderId="0" xfId="0" applyNumberFormat="1" applyFont="1" applyFill="1" applyBorder="1" applyAlignment="1">
      <alignment horizontal="center" vertical="center" wrapText="1"/>
    </xf>
    <xf numFmtId="16" fontId="8" fillId="0" borderId="0" xfId="0" applyNumberFormat="1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right" vertical="center" wrapText="1"/>
    </xf>
    <xf numFmtId="15" fontId="8" fillId="0" borderId="0" xfId="0" applyNumberFormat="1" applyFont="1" applyFill="1" applyBorder="1" applyAlignment="1">
      <alignment horizontal="right" vertical="center" wrapText="1"/>
    </xf>
    <xf numFmtId="0" fontId="8" fillId="0" borderId="0" xfId="31" applyFont="1" applyFill="1" applyBorder="1" applyAlignment="1">
      <alignment horizontal="right" wrapText="1"/>
    </xf>
    <xf numFmtId="0" fontId="8" fillId="0" borderId="0" xfId="31" applyFont="1" applyFill="1" applyBorder="1" applyAlignment="1">
      <alignment wrapText="1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right" vertical="center"/>
    </xf>
    <xf numFmtId="0" fontId="17" fillId="0" borderId="5" xfId="1" applyFont="1" applyFill="1" applyBorder="1" applyAlignment="1">
      <alignment horizontal="center" wrapText="1"/>
    </xf>
    <xf numFmtId="0" fontId="38" fillId="0" borderId="5" xfId="0" applyFont="1" applyBorder="1" applyAlignment="1">
      <alignment horizontal="center"/>
    </xf>
    <xf numFmtId="3" fontId="38" fillId="0" borderId="5" xfId="0" applyNumberFormat="1" applyFont="1" applyBorder="1" applyAlignment="1">
      <alignment horizontal="center"/>
    </xf>
    <xf numFmtId="3" fontId="38" fillId="0" borderId="5" xfId="0" applyNumberFormat="1" applyFont="1" applyFill="1" applyBorder="1" applyAlignment="1">
      <alignment horizontal="center"/>
    </xf>
    <xf numFmtId="0" fontId="15" fillId="0" borderId="5" xfId="12" applyFont="1" applyBorder="1" applyAlignment="1">
      <alignment horizontal="center" vertical="center" wrapText="1"/>
    </xf>
    <xf numFmtId="0" fontId="39" fillId="4" borderId="5" xfId="12" applyFont="1" applyFill="1" applyBorder="1" applyAlignment="1">
      <alignment horizontal="center" vertical="center"/>
    </xf>
    <xf numFmtId="0" fontId="39" fillId="0" borderId="5" xfId="12" applyFont="1" applyBorder="1" applyAlignment="1">
      <alignment horizontal="center"/>
    </xf>
    <xf numFmtId="0" fontId="40" fillId="0" borderId="5" xfId="27" applyFont="1" applyFill="1" applyBorder="1" applyAlignment="1">
      <alignment horizontal="center"/>
    </xf>
    <xf numFmtId="0" fontId="40" fillId="0" borderId="5" xfId="26" applyFont="1" applyFill="1" applyBorder="1" applyAlignment="1">
      <alignment horizontal="center"/>
    </xf>
    <xf numFmtId="0" fontId="40" fillId="6" borderId="5" xfId="26" applyFont="1" applyFill="1" applyBorder="1" applyAlignment="1">
      <alignment horizontal="center"/>
    </xf>
    <xf numFmtId="0" fontId="40" fillId="0" borderId="5" xfId="1" applyFont="1" applyFill="1" applyBorder="1" applyAlignment="1">
      <alignment horizontal="center" wrapText="1"/>
    </xf>
    <xf numFmtId="0" fontId="40" fillId="0" borderId="5" xfId="5" applyFont="1" applyFill="1" applyBorder="1" applyAlignment="1">
      <alignment horizontal="center" wrapText="1"/>
    </xf>
    <xf numFmtId="0" fontId="41" fillId="0" borderId="5" xfId="6" applyFont="1" applyFill="1" applyBorder="1" applyAlignment="1">
      <alignment horizontal="center" vertical="center"/>
    </xf>
    <xf numFmtId="0" fontId="42" fillId="0" borderId="5" xfId="27" applyFont="1" applyFill="1" applyBorder="1" applyAlignment="1">
      <alignment horizontal="center" vertical="center"/>
    </xf>
    <xf numFmtId="0" fontId="43" fillId="6" borderId="5" xfId="26" applyFont="1" applyFill="1" applyBorder="1" applyAlignment="1">
      <alignment horizontal="center"/>
    </xf>
    <xf numFmtId="0" fontId="40" fillId="6" borderId="18" xfId="26" applyFont="1" applyFill="1" applyBorder="1" applyAlignment="1">
      <alignment horizontal="center"/>
    </xf>
    <xf numFmtId="0" fontId="40" fillId="5" borderId="5" xfId="26" applyFont="1" applyFill="1" applyBorder="1" applyAlignment="1">
      <alignment horizontal="center"/>
    </xf>
    <xf numFmtId="0" fontId="40" fillId="5" borderId="18" xfId="26" applyFont="1" applyFill="1" applyBorder="1" applyAlignment="1">
      <alignment horizontal="center"/>
    </xf>
    <xf numFmtId="0" fontId="8" fillId="5" borderId="5" xfId="12" applyFont="1" applyFill="1" applyBorder="1" applyAlignment="1">
      <alignment horizontal="center"/>
    </xf>
    <xf numFmtId="43" fontId="8" fillId="5" borderId="5" xfId="4" applyFont="1" applyFill="1" applyBorder="1" applyAlignment="1">
      <alignment horizontal="center"/>
    </xf>
    <xf numFmtId="43" fontId="8" fillId="5" borderId="5" xfId="4" applyFont="1" applyFill="1" applyBorder="1" applyAlignment="1">
      <alignment horizontal="left"/>
    </xf>
    <xf numFmtId="0" fontId="8" fillId="5" borderId="0" xfId="12" applyFont="1" applyFill="1"/>
    <xf numFmtId="0" fontId="1" fillId="5" borderId="5" xfId="7" applyFont="1" applyFill="1" applyBorder="1" applyAlignment="1">
      <alignment horizontal="center"/>
    </xf>
    <xf numFmtId="0" fontId="3" fillId="5" borderId="18" xfId="7" applyFont="1" applyFill="1" applyBorder="1" applyAlignment="1">
      <alignment horizontal="center"/>
    </xf>
    <xf numFmtId="0" fontId="8" fillId="5" borderId="5" xfId="3" applyFont="1" applyFill="1" applyBorder="1" applyAlignment="1">
      <alignment horizontal="center"/>
    </xf>
    <xf numFmtId="14" fontId="17" fillId="5" borderId="5" xfId="6" applyNumberFormat="1" applyFont="1" applyFill="1" applyBorder="1" applyAlignment="1">
      <alignment horizontal="center"/>
    </xf>
    <xf numFmtId="0" fontId="17" fillId="5" borderId="5" xfId="7" applyFont="1" applyFill="1" applyBorder="1" applyAlignment="1">
      <alignment horizontal="center"/>
    </xf>
    <xf numFmtId="0" fontId="18" fillId="5" borderId="5" xfId="3" applyFont="1" applyFill="1" applyBorder="1" applyAlignment="1">
      <alignment horizontal="center"/>
    </xf>
    <xf numFmtId="14" fontId="17" fillId="5" borderId="5" xfId="7" applyNumberFormat="1" applyFont="1" applyFill="1" applyBorder="1" applyAlignment="1">
      <alignment horizontal="center"/>
    </xf>
    <xf numFmtId="14" fontId="8" fillId="5" borderId="0" xfId="3" applyNumberFormat="1" applyFont="1" applyFill="1" applyBorder="1" applyAlignment="1">
      <alignment horizontal="center"/>
    </xf>
    <xf numFmtId="0" fontId="8" fillId="5" borderId="0" xfId="3" applyFont="1" applyFill="1" applyBorder="1" applyAlignment="1">
      <alignment horizontal="center" vertical="center" wrapText="1"/>
    </xf>
    <xf numFmtId="0" fontId="8" fillId="5" borderId="0" xfId="3" applyFont="1" applyFill="1" applyBorder="1"/>
  </cellXfs>
  <cellStyles count="32">
    <cellStyle name="0,0_x000d__x000a_NA_x000d__x000a_" xfId="8"/>
    <cellStyle name="Comma 2" xfId="4"/>
    <cellStyle name="Comma 2 2" xfId="9"/>
    <cellStyle name="Comma 3" xfId="10"/>
    <cellStyle name="Excel Built-in Normal" xfId="11"/>
    <cellStyle name="Hyperlink" xfId="29" builtinId="8"/>
    <cellStyle name="Normal" xfId="0" builtinId="0"/>
    <cellStyle name="Normal 10" xfId="12"/>
    <cellStyle name="Normal 14" xfId="13"/>
    <cellStyle name="Normal 2" xfId="3"/>
    <cellStyle name="Normal 2 2" xfId="14"/>
    <cellStyle name="Normal 3" xfId="15"/>
    <cellStyle name="Normal 4" xfId="16"/>
    <cellStyle name="Normal 5" xfId="17"/>
    <cellStyle name="Normal 5 2" xfId="18"/>
    <cellStyle name="Normal 6" xfId="19"/>
    <cellStyle name="Normal 7" xfId="20"/>
    <cellStyle name="Normal 8" xfId="21"/>
    <cellStyle name="Normal_DBM" xfId="28"/>
    <cellStyle name="Normal_Print" xfId="31"/>
    <cellStyle name="Normal_Print_1" xfId="30"/>
    <cellStyle name="Normal_Sheet1" xfId="2"/>
    <cellStyle name="Normal_Sheet1_1" xfId="5"/>
    <cellStyle name="Normal_Sheet1_3" xfId="6"/>
    <cellStyle name="Normal_Sheet1_3 2" xfId="27"/>
    <cellStyle name="Normal_Sheet2" xfId="1"/>
    <cellStyle name="Normal_Sheet2 2" xfId="7"/>
    <cellStyle name="Normal_Sheet2 2 2" xfId="26"/>
    <cellStyle name="Percent" xfId="25" builtinId="5"/>
    <cellStyle name="Percent 2" xfId="22"/>
    <cellStyle name="Style 1" xfId="23"/>
    <cellStyle name="Style 1 2" xfId="24"/>
  </cellStyles>
  <dxfs count="3"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Report!$G$4:$G$21</c:f>
              <c:numCache>
                <c:formatCode>0%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0.9939393939393939</c:v>
                </c:pt>
                <c:pt idx="9">
                  <c:v>0.90082644628099173</c:v>
                </c:pt>
                <c:pt idx="10">
                  <c:v>1</c:v>
                </c:pt>
                <c:pt idx="11">
                  <c:v>0.72727272727272729</c:v>
                </c:pt>
                <c:pt idx="12">
                  <c:v>0.90909090909090906</c:v>
                </c:pt>
                <c:pt idx="13">
                  <c:v>0.89839572192513373</c:v>
                </c:pt>
                <c:pt idx="14">
                  <c:v>0.89772727272727271</c:v>
                </c:pt>
                <c:pt idx="15">
                  <c:v>0.75757575757575757</c:v>
                </c:pt>
                <c:pt idx="16">
                  <c:v>0.55944055944055948</c:v>
                </c:pt>
                <c:pt idx="17">
                  <c:v>0.54545454545454541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387264"/>
        <c:axId val="99435648"/>
      </c:lineChart>
      <c:catAx>
        <c:axId val="99387264"/>
        <c:scaling>
          <c:orientation val="minMax"/>
        </c:scaling>
        <c:delete val="0"/>
        <c:axPos val="b"/>
        <c:majorTickMark val="out"/>
        <c:minorTickMark val="none"/>
        <c:tickLblPos val="nextTo"/>
        <c:crossAx val="99435648"/>
        <c:crosses val="autoZero"/>
        <c:auto val="1"/>
        <c:lblAlgn val="ctr"/>
        <c:lblOffset val="100"/>
        <c:noMultiLvlLbl val="0"/>
      </c:catAx>
      <c:valAx>
        <c:axId val="994356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9387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66</xdr:col>
          <xdr:colOff>57150</xdr:colOff>
          <xdr:row>0</xdr:row>
          <xdr:rowOff>0</xdr:rowOff>
        </xdr:from>
        <xdr:to>
          <xdr:col>66</xdr:col>
          <xdr:colOff>685800</xdr:colOff>
          <xdr:row>1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600075</xdr:colOff>
          <xdr:row>0</xdr:row>
          <xdr:rowOff>19050</xdr:rowOff>
        </xdr:from>
        <xdr:to>
          <xdr:col>64</xdr:col>
          <xdr:colOff>533400</xdr:colOff>
          <xdr:row>1</xdr:row>
          <xdr:rowOff>76200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0</xdr:row>
          <xdr:rowOff>0</xdr:rowOff>
        </xdr:from>
        <xdr:to>
          <xdr:col>5</xdr:col>
          <xdr:colOff>1543050</xdr:colOff>
          <xdr:row>1</xdr:row>
          <xdr:rowOff>76200</xdr:rowOff>
        </xdr:to>
        <xdr:sp macro="" textlink="">
          <xdr:nvSpPr>
            <xdr:cNvPr id="1053" name="CommandButton10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66675</xdr:colOff>
          <xdr:row>0</xdr:row>
          <xdr:rowOff>0</xdr:rowOff>
        </xdr:from>
        <xdr:to>
          <xdr:col>5</xdr:col>
          <xdr:colOff>704850</xdr:colOff>
          <xdr:row>1</xdr:row>
          <xdr:rowOff>57150</xdr:rowOff>
        </xdr:to>
        <xdr:sp macro="" textlink="">
          <xdr:nvSpPr>
            <xdr:cNvPr id="1054" name="CommandButton1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4067175</xdr:colOff>
          <xdr:row>0</xdr:row>
          <xdr:rowOff>0</xdr:rowOff>
        </xdr:from>
        <xdr:to>
          <xdr:col>4</xdr:col>
          <xdr:colOff>4705350</xdr:colOff>
          <xdr:row>1</xdr:row>
          <xdr:rowOff>57150</xdr:rowOff>
        </xdr:to>
        <xdr:sp macro="" textlink="">
          <xdr:nvSpPr>
            <xdr:cNvPr id="1055" name="CommandButton12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3305175</xdr:colOff>
          <xdr:row>0</xdr:row>
          <xdr:rowOff>0</xdr:rowOff>
        </xdr:from>
        <xdr:to>
          <xdr:col>4</xdr:col>
          <xdr:colOff>4000500</xdr:colOff>
          <xdr:row>1</xdr:row>
          <xdr:rowOff>95250</xdr:rowOff>
        </xdr:to>
        <xdr:sp macro="" textlink="">
          <xdr:nvSpPr>
            <xdr:cNvPr id="1056" name="CommandButton13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2286000</xdr:colOff>
          <xdr:row>0</xdr:row>
          <xdr:rowOff>0</xdr:rowOff>
        </xdr:from>
        <xdr:to>
          <xdr:col>4</xdr:col>
          <xdr:colOff>3238500</xdr:colOff>
          <xdr:row>1</xdr:row>
          <xdr:rowOff>95250</xdr:rowOff>
        </xdr:to>
        <xdr:sp macro="" textlink="">
          <xdr:nvSpPr>
            <xdr:cNvPr id="1058" name="CommandButton15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1514475</xdr:colOff>
          <xdr:row>0</xdr:row>
          <xdr:rowOff>0</xdr:rowOff>
        </xdr:from>
        <xdr:to>
          <xdr:col>4</xdr:col>
          <xdr:colOff>2238375</xdr:colOff>
          <xdr:row>1</xdr:row>
          <xdr:rowOff>76200</xdr:rowOff>
        </xdr:to>
        <xdr:sp macro="" textlink="">
          <xdr:nvSpPr>
            <xdr:cNvPr id="1059" name="CommandButton16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819150</xdr:colOff>
          <xdr:row>0</xdr:row>
          <xdr:rowOff>0</xdr:rowOff>
        </xdr:from>
        <xdr:to>
          <xdr:col>4</xdr:col>
          <xdr:colOff>1438275</xdr:colOff>
          <xdr:row>1</xdr:row>
          <xdr:rowOff>57150</xdr:rowOff>
        </xdr:to>
        <xdr:sp macro="" textlink="">
          <xdr:nvSpPr>
            <xdr:cNvPr id="1060" name="CommandButton17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0</xdr:rowOff>
        </xdr:from>
        <xdr:to>
          <xdr:col>4</xdr:col>
          <xdr:colOff>781050</xdr:colOff>
          <xdr:row>1</xdr:row>
          <xdr:rowOff>95250</xdr:rowOff>
        </xdr:to>
        <xdr:sp macro="" textlink="">
          <xdr:nvSpPr>
            <xdr:cNvPr id="1061" name="CommandButton18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2124075</xdr:colOff>
          <xdr:row>0</xdr:row>
          <xdr:rowOff>0</xdr:rowOff>
        </xdr:from>
        <xdr:to>
          <xdr:col>3</xdr:col>
          <xdr:colOff>3114675</xdr:colOff>
          <xdr:row>1</xdr:row>
          <xdr:rowOff>114300</xdr:rowOff>
        </xdr:to>
        <xdr:sp macro="" textlink="">
          <xdr:nvSpPr>
            <xdr:cNvPr id="1062" name="CommandButton19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1257300</xdr:colOff>
          <xdr:row>0</xdr:row>
          <xdr:rowOff>0</xdr:rowOff>
        </xdr:from>
        <xdr:to>
          <xdr:col>3</xdr:col>
          <xdr:colOff>1962150</xdr:colOff>
          <xdr:row>1</xdr:row>
          <xdr:rowOff>76200</xdr:rowOff>
        </xdr:to>
        <xdr:sp macro="" textlink="">
          <xdr:nvSpPr>
            <xdr:cNvPr id="1063" name="CommandButton20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0</xdr:row>
          <xdr:rowOff>0</xdr:rowOff>
        </xdr:from>
        <xdr:to>
          <xdr:col>3</xdr:col>
          <xdr:colOff>1257300</xdr:colOff>
          <xdr:row>1</xdr:row>
          <xdr:rowOff>76200</xdr:rowOff>
        </xdr:to>
        <xdr:sp macro="" textlink="">
          <xdr:nvSpPr>
            <xdr:cNvPr id="1064" name="CommandButton1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112</xdr:row>
      <xdr:rowOff>0</xdr:rowOff>
    </xdr:from>
    <xdr:to>
      <xdr:col>0</xdr:col>
      <xdr:colOff>9525</xdr:colOff>
      <xdr:row>112</xdr:row>
      <xdr:rowOff>9525</xdr:rowOff>
    </xdr:to>
    <xdr:pic>
      <xdr:nvPicPr>
        <xdr:cNvPr id="2" name="Picture 1" descr="https://ssl.gstatic.com/ui/v1/icons/mail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23441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0</xdr:row>
      <xdr:rowOff>180975</xdr:rowOff>
    </xdr:from>
    <xdr:to>
      <xdr:col>11</xdr:col>
      <xdr:colOff>2676525</xdr:colOff>
      <xdr:row>15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SG%20Reports%20Team\Mark's%20Folder\Payroll%20Documents\OT%20Trackers%20(Night%20and%20Day)\1024%20to%201104\Dayshift%20OT%20Tracker%202011.1024-1104approv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fs\psg\Reports\Attendance\Leave%20Application%20Form\Leave%20Application%20Form_Da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SG%20Reports%20Team\Narvs\xxPSG\NightShift%20Schedule\Night%20Shift%20Schedule%20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OT Summary"/>
      <sheetName val="Fixer"/>
      <sheetName val="Applications"/>
      <sheetName val="Final Approval Support (WEA)"/>
      <sheetName val="Final Approval Operations (OT)"/>
    </sheetNames>
    <sheetDataSet>
      <sheetData sheetId="0">
        <row r="2">
          <cell r="I2" t="str">
            <v>Approved</v>
          </cell>
          <cell r="J2" t="str">
            <v>Regular OT</v>
          </cell>
          <cell r="L2" t="str">
            <v>ABRIGO, Janet Panting</v>
          </cell>
        </row>
        <row r="3">
          <cell r="I3" t="str">
            <v>Rejected</v>
          </cell>
          <cell r="J3" t="str">
            <v>Regular Holiday OT</v>
          </cell>
          <cell r="L3" t="str">
            <v>ALIMARIO, Marife</v>
          </cell>
        </row>
        <row r="4">
          <cell r="J4" t="str">
            <v>Special Holiday OT</v>
          </cell>
          <cell r="L4" t="str">
            <v>BIENTO, Ian Leslie</v>
          </cell>
        </row>
        <row r="5">
          <cell r="J5" t="str">
            <v>Rest Day OT</v>
          </cell>
          <cell r="L5" t="str">
            <v>LIM, Adelita P.</v>
          </cell>
        </row>
        <row r="6">
          <cell r="L6" t="str">
            <v>LINDOGAN, Rommar Butas</v>
          </cell>
        </row>
        <row r="7">
          <cell r="L7" t="str">
            <v>NOORA, Dyan Karen Rapsing</v>
          </cell>
        </row>
        <row r="8">
          <cell r="L8" t="str">
            <v>MEJIA, Jennifer</v>
          </cell>
        </row>
        <row r="9">
          <cell r="L9" t="str">
            <v>BRIÑAS, Perterean A.</v>
          </cell>
        </row>
        <row r="10">
          <cell r="L10" t="str">
            <v>LAPORRE, Kathleene Mae De La Cruz</v>
          </cell>
        </row>
        <row r="11">
          <cell r="L11" t="str">
            <v>SEGOVIA, Benigno Clemente</v>
          </cell>
        </row>
        <row r="12">
          <cell r="L12" t="str">
            <v>TAURO, Ruel Canita</v>
          </cell>
        </row>
        <row r="13">
          <cell r="L13" t="str">
            <v>PADMANABHAN, Vivek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 Details"/>
      <sheetName val="Leave Application Form"/>
      <sheetName val="Applications"/>
      <sheetName val="Reference"/>
      <sheetName val="Approved Leaves"/>
      <sheetName val="March 2011"/>
      <sheetName val="April 2011"/>
      <sheetName val="May 2011"/>
      <sheetName val="Applied Leaves ALL"/>
      <sheetName val="Latest Leaves Approved"/>
      <sheetName val="Approved Leaves2"/>
      <sheetName val="Leave Balance"/>
      <sheetName val="HO Credits"/>
      <sheetName val="Attendance"/>
      <sheetName val="June 2011"/>
      <sheetName val="July 2011"/>
      <sheetName val="January2011"/>
      <sheetName val="February2011"/>
      <sheetName val="HO Credits old"/>
    </sheetNames>
    <sheetDataSet>
      <sheetData sheetId="0"/>
      <sheetData sheetId="1"/>
      <sheetData sheetId="2"/>
      <sheetData sheetId="3">
        <row r="2">
          <cell r="A2" t="str">
            <v>Less than 1 month tenure for newly implemented accounts</v>
          </cell>
          <cell r="B2" t="str">
            <v>Vacation Leave</v>
          </cell>
          <cell r="D2" t="str">
            <v>Approved</v>
          </cell>
        </row>
        <row r="3">
          <cell r="A3" t="str">
            <v>Less than 2 months of tenure for non regularized employees</v>
          </cell>
          <cell r="B3" t="str">
            <v>Personal Leave</v>
          </cell>
          <cell r="D3" t="str">
            <v>Denied</v>
          </cell>
        </row>
        <row r="4">
          <cell r="A4" t="str">
            <v>Less than 2 weeks in advance for the date of filing of the Leave Application form</v>
          </cell>
          <cell r="B4" t="str">
            <v>Sick Leave</v>
          </cell>
          <cell r="D4" t="str">
            <v>Approved (LWOP)</v>
          </cell>
        </row>
        <row r="5">
          <cell r="A5" t="str">
            <v>Discretion of the Team Leader / Operations Manager</v>
          </cell>
          <cell r="B5" t="str">
            <v>Emergency Leave</v>
          </cell>
        </row>
        <row r="6">
          <cell r="A6" t="str">
            <v>Performance Issues</v>
          </cell>
          <cell r="B6" t="str">
            <v>Maternity Leave</v>
          </cell>
        </row>
        <row r="7">
          <cell r="A7" t="str">
            <v>Attendance Issues</v>
          </cell>
          <cell r="B7" t="str">
            <v>Paternity Leave</v>
          </cell>
        </row>
        <row r="8">
          <cell r="A8" t="str">
            <v>Adverse impact to operations</v>
          </cell>
          <cell r="B8" t="str">
            <v>Bereavement Leave</v>
          </cell>
        </row>
        <row r="9">
          <cell r="A9" t="str">
            <v>Insufficient Leave credits</v>
          </cell>
          <cell r="B9" t="str">
            <v>Half Day SIL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EmpID</v>
          </cell>
        </row>
      </sheetData>
      <sheetData sheetId="12">
        <row r="1">
          <cell r="A1" t="str">
            <v>Emp ID</v>
          </cell>
        </row>
      </sheetData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IDs"/>
      <sheetName val="Dec 19 - Dec 30"/>
      <sheetName val="Jan 2 - Jan 13"/>
      <sheetName val="Jan 16 - Jan 27"/>
      <sheetName val="Jan 30 - Feb 10"/>
      <sheetName val="Feb 13 - Feb 24"/>
      <sheetName val="Feb 27 - Mar 9"/>
      <sheetName val="Mar 12 - Mar 23"/>
      <sheetName val="Mar 26 - Apr 6"/>
      <sheetName val="Apr 9 - Apr 20"/>
      <sheetName val="Payroll week"/>
      <sheetName val="Apr 23 - May 4"/>
      <sheetName val="May 7 - May 18"/>
      <sheetName val="May 21 - Jun 1"/>
      <sheetName val="Jun 4 - Jun 15"/>
      <sheetName val="Jun 18 - Jun 22"/>
      <sheetName val="Schedules"/>
      <sheetName val="Night Diff"/>
      <sheetName val="Sheet1"/>
      <sheetName val="Jun 18 - Jun 29"/>
      <sheetName val="Jul 2 - Jul 13"/>
      <sheetName val="SchedCha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B1" t="str">
            <v>EmpID</v>
          </cell>
        </row>
      </sheetData>
      <sheetData sheetId="15">
        <row r="1">
          <cell r="B1" t="str">
            <v>EmpID</v>
          </cell>
        </row>
      </sheetData>
      <sheetData sheetId="16">
        <row r="3">
          <cell r="A3" t="str">
            <v>2 PM - 11 PM</v>
          </cell>
        </row>
        <row r="4">
          <cell r="A4" t="str">
            <v>2:30 PM - 11:30 PM</v>
          </cell>
        </row>
        <row r="5">
          <cell r="A5" t="str">
            <v>3 PM - 12 AM</v>
          </cell>
        </row>
        <row r="6">
          <cell r="A6" t="str">
            <v>3:30 PM - 12:30 AM</v>
          </cell>
        </row>
        <row r="7">
          <cell r="A7" t="str">
            <v>4 PM - 1 AM</v>
          </cell>
        </row>
        <row r="8">
          <cell r="A8" t="str">
            <v>4:30 PM - 1:30 AM</v>
          </cell>
        </row>
        <row r="9">
          <cell r="A9" t="str">
            <v>5 PM - 2 AM</v>
          </cell>
        </row>
        <row r="10">
          <cell r="A10" t="str">
            <v>5:30 PM - 2:30 AM</v>
          </cell>
        </row>
        <row r="11">
          <cell r="A11" t="str">
            <v>6 PM - 3 AM</v>
          </cell>
        </row>
        <row r="12">
          <cell r="A12" t="str">
            <v>6:30 PM - 3:30 AM</v>
          </cell>
        </row>
        <row r="13">
          <cell r="A13" t="str">
            <v>7 PM - 4 AM</v>
          </cell>
        </row>
        <row r="14">
          <cell r="A14" t="str">
            <v>7:30 PM - 4:30 AM</v>
          </cell>
        </row>
        <row r="15">
          <cell r="A15" t="str">
            <v>8 PM - 5 AM</v>
          </cell>
        </row>
        <row r="16">
          <cell r="A16" t="str">
            <v>8:30 PM - 5:30 AM</v>
          </cell>
        </row>
        <row r="17">
          <cell r="A17" t="str">
            <v>9 PM - 6 AM</v>
          </cell>
        </row>
        <row r="18">
          <cell r="A18" t="str">
            <v>9:30 PM - 6:30 AM</v>
          </cell>
        </row>
        <row r="19">
          <cell r="A19" t="str">
            <v>10 PM - 7 AM</v>
          </cell>
        </row>
        <row r="20">
          <cell r="A20" t="str">
            <v>10:30 PM - 7:30 AM</v>
          </cell>
        </row>
        <row r="21">
          <cell r="A21" t="str">
            <v>11 PM - 8 AM</v>
          </cell>
        </row>
        <row r="22">
          <cell r="A22" t="str">
            <v>11:30 PM - 8:30 AM</v>
          </cell>
        </row>
        <row r="23">
          <cell r="A23" t="str">
            <v>12 AM - 9 AM</v>
          </cell>
        </row>
        <row r="24">
          <cell r="A24" t="str">
            <v>12:30 AM - 9:30 AM</v>
          </cell>
        </row>
        <row r="25">
          <cell r="A25" t="str">
            <v>1 AM - 10 AM</v>
          </cell>
        </row>
        <row r="26">
          <cell r="A26" t="str">
            <v>1:30 AM - 10:30 AM</v>
          </cell>
        </row>
        <row r="27">
          <cell r="A27" t="str">
            <v>2 AM - 11 AM</v>
          </cell>
        </row>
        <row r="28">
          <cell r="A28" t="str">
            <v>2:30 AM - 11:30 AM</v>
          </cell>
        </row>
        <row r="29">
          <cell r="A29" t="str">
            <v>3 AM - 12 PM</v>
          </cell>
        </row>
        <row r="30">
          <cell r="A30" t="str">
            <v>3:30 AM - 12:30 PM</v>
          </cell>
        </row>
        <row r="31">
          <cell r="A31" t="str">
            <v>4 AM - 1 PM</v>
          </cell>
        </row>
        <row r="32">
          <cell r="A32" t="str">
            <v>4:30 AM - 1:30 PM</v>
          </cell>
        </row>
        <row r="33">
          <cell r="A33" t="str">
            <v>5 AM - 2 PM</v>
          </cell>
        </row>
        <row r="34">
          <cell r="A34" t="str">
            <v>5:30 AM - 2:30 PM</v>
          </cell>
        </row>
        <row r="35">
          <cell r="A35" t="str">
            <v>6 AM - 3 PM</v>
          </cell>
        </row>
        <row r="36">
          <cell r="A36" t="str">
            <v>6:30 AM - 3:30 PM</v>
          </cell>
        </row>
        <row r="37">
          <cell r="A37" t="str">
            <v>7 AM - 4 PM</v>
          </cell>
        </row>
        <row r="38">
          <cell r="A38" t="str">
            <v>7:30 AM - 4:30 PM</v>
          </cell>
        </row>
        <row r="39">
          <cell r="A39" t="str">
            <v>8 AM - 5 PM</v>
          </cell>
        </row>
        <row r="40">
          <cell r="A40" t="str">
            <v>8:30 AM - 5:30 PM</v>
          </cell>
        </row>
        <row r="41">
          <cell r="A41" t="str">
            <v>9 AM - 6 PM</v>
          </cell>
        </row>
        <row r="42">
          <cell r="A42" t="str">
            <v>9:30 AM - 6:30 PM</v>
          </cell>
        </row>
        <row r="43">
          <cell r="A43" t="str">
            <v>10 AM - 7 PM</v>
          </cell>
        </row>
        <row r="44">
          <cell r="A44" t="str">
            <v>10:30 AM - 7:30 PM</v>
          </cell>
        </row>
        <row r="45">
          <cell r="A45" t="str">
            <v>11 AM - 8 PM</v>
          </cell>
        </row>
        <row r="46">
          <cell r="A46" t="str">
            <v>11:30 AM - 8:30 PM</v>
          </cell>
        </row>
        <row r="47">
          <cell r="A47" t="str">
            <v>12 PM - 9 PM</v>
          </cell>
        </row>
        <row r="48">
          <cell r="A48" t="str">
            <v>12:30 PM - 9:30 PM</v>
          </cell>
        </row>
        <row r="49">
          <cell r="A49" t="str">
            <v>1 PM - 10 PM</v>
          </cell>
        </row>
        <row r="50">
          <cell r="A50" t="str">
            <v>1:30 PM - 10:30 PM</v>
          </cell>
        </row>
        <row r="51">
          <cell r="A51" t="str">
            <v>HO</v>
          </cell>
        </row>
        <row r="52">
          <cell r="A52" t="str">
            <v>DAYSHIFT</v>
          </cell>
        </row>
        <row r="53">
          <cell r="A53" t="str">
            <v>OFF</v>
          </cell>
        </row>
        <row r="54">
          <cell r="A54" t="str">
            <v>VTO</v>
          </cell>
        </row>
        <row r="55">
          <cell r="A55" t="str">
            <v>PLA</v>
          </cell>
        </row>
        <row r="56">
          <cell r="A56" t="str">
            <v>P</v>
          </cell>
        </row>
        <row r="57">
          <cell r="A57" t="str">
            <v>L</v>
          </cell>
        </row>
        <row r="58">
          <cell r="A58" t="str">
            <v>UT</v>
          </cell>
        </row>
        <row r="59">
          <cell r="A59" t="str">
            <v>HD</v>
          </cell>
        </row>
        <row r="60">
          <cell r="A60" t="str">
            <v>HD SIL</v>
          </cell>
        </row>
        <row r="61">
          <cell r="A61" t="str">
            <v>HC</v>
          </cell>
        </row>
        <row r="62">
          <cell r="A62" t="str">
            <v>ML</v>
          </cell>
        </row>
        <row r="63">
          <cell r="A63" t="str">
            <v>PL</v>
          </cell>
        </row>
        <row r="64">
          <cell r="A64" t="str">
            <v>PH</v>
          </cell>
        </row>
        <row r="65">
          <cell r="A65" t="str">
            <v>LWOP</v>
          </cell>
        </row>
        <row r="66">
          <cell r="A66" t="str">
            <v>WFH</v>
          </cell>
        </row>
        <row r="67">
          <cell r="A67" t="str">
            <v>UL</v>
          </cell>
        </row>
        <row r="68">
          <cell r="A68" t="str">
            <v>UL SIL</v>
          </cell>
        </row>
        <row r="69">
          <cell r="A69" t="str">
            <v>NCNS</v>
          </cell>
        </row>
        <row r="70">
          <cell r="A70" t="str">
            <v>RTWN</v>
          </cell>
        </row>
        <row r="71">
          <cell r="A71" t="str">
            <v>AWOL</v>
          </cell>
        </row>
        <row r="72">
          <cell r="A72" t="str">
            <v>S</v>
          </cell>
        </row>
        <row r="73">
          <cell r="A73" t="str">
            <v>Flexi Sched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iel L. Ramirez Jr" refreshedDate="42139.484220949074" createdVersion="4" refreshedVersion="4" minRefreshableVersion="3" recordCount="290">
  <cacheSource type="worksheet">
    <worksheetSource ref="CA1:CA1048576" sheet="Main"/>
  </cacheSource>
  <cacheFields count="1">
    <cacheField name="Wave" numFmtId="0">
      <sharedItems containsBlank="1" containsMixedTypes="1" containsNumber="1" containsInteger="1" minValue="179" maxValue="196" count="20">
        <m/>
        <s v="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0"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1"/>
  </r>
  <r>
    <x v="1"/>
  </r>
  <r>
    <x v="1"/>
  </r>
  <r>
    <x v="5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6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7"/>
  </r>
  <r>
    <x v="1"/>
  </r>
  <r>
    <x v="1"/>
  </r>
  <r>
    <x v="1"/>
  </r>
  <r>
    <x v="1"/>
  </r>
  <r>
    <x v="8"/>
  </r>
  <r>
    <x v="1"/>
  </r>
  <r>
    <x v="1"/>
  </r>
  <r>
    <x v="1"/>
  </r>
  <r>
    <x v="1"/>
  </r>
  <r>
    <x v="1"/>
  </r>
  <r>
    <x v="1"/>
  </r>
  <r>
    <x v="1"/>
  </r>
  <r>
    <x v="9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5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6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7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8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9"/>
  </r>
  <r>
    <x v="1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22" firstHeaderRow="1" firstDataRow="1" firstDataCol="1"/>
  <pivotFields count="1">
    <pivotField axis="axisRow" showAll="0">
      <items count="21">
        <item x="2"/>
        <item x="3"/>
        <item x="4"/>
        <item x="5"/>
        <item x="6"/>
        <item x="7"/>
        <item x="8"/>
        <item h="1" x="0"/>
        <item x="9"/>
        <item h="1" x="1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formats count="3"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290"/>
  <sheetViews>
    <sheetView tabSelected="1" zoomScale="60" zoomScaleNormal="60" workbookViewId="0">
      <pane ySplit="2" topLeftCell="A256" activePane="bottomLeft" state="frozen"/>
      <selection pane="bottomLeft" activeCell="B271" sqref="B271"/>
    </sheetView>
  </sheetViews>
  <sheetFormatPr defaultColWidth="203.7109375" defaultRowHeight="15" x14ac:dyDescent="0.25"/>
  <cols>
    <col min="1" max="1" width="7" style="7" customWidth="1"/>
    <col min="2" max="2" width="10.85546875" style="16" customWidth="1"/>
    <col min="3" max="3" width="10.140625" style="1" customWidth="1"/>
    <col min="4" max="4" width="50.5703125" style="1" customWidth="1"/>
    <col min="5" max="5" width="76.140625" style="1" customWidth="1"/>
    <col min="6" max="6" width="45.140625" style="1" customWidth="1"/>
    <col min="7" max="7" width="10.42578125" style="1" hidden="1" customWidth="1"/>
    <col min="8" max="8" width="6.28515625" style="1" hidden="1" customWidth="1"/>
    <col min="9" max="9" width="10.85546875" style="1" hidden="1" customWidth="1"/>
    <col min="10" max="10" width="9.140625" style="1" hidden="1" customWidth="1"/>
    <col min="11" max="11" width="12.28515625" style="490" hidden="1" customWidth="1"/>
    <col min="12" max="12" width="10.85546875" style="1" hidden="1" customWidth="1"/>
    <col min="13" max="13" width="11.5703125" style="1" hidden="1" customWidth="1"/>
    <col min="14" max="14" width="12" style="156" hidden="1" customWidth="1"/>
    <col min="15" max="15" width="10.42578125" style="1" hidden="1" customWidth="1"/>
    <col min="16" max="16" width="6.85546875" style="1" hidden="1" customWidth="1"/>
    <col min="17" max="17" width="39.140625" style="1" hidden="1" customWidth="1"/>
    <col min="18" max="18" width="26.85546875" style="1" hidden="1" customWidth="1"/>
    <col min="19" max="19" width="14.7109375" style="156" hidden="1" customWidth="1"/>
    <col min="20" max="20" width="13.42578125" style="156" hidden="1" customWidth="1"/>
    <col min="21" max="21" width="45.5703125" style="1" hidden="1" customWidth="1"/>
    <col min="22" max="22" width="17" style="1" hidden="1" customWidth="1"/>
    <col min="23" max="23" width="23.7109375" style="1" hidden="1" customWidth="1"/>
    <col min="24" max="24" width="17.5703125" style="1" hidden="1" customWidth="1"/>
    <col min="25" max="25" width="37.7109375" style="1" hidden="1" customWidth="1"/>
    <col min="26" max="26" width="8.42578125" style="1" hidden="1" customWidth="1"/>
    <col min="27" max="27" width="13.28515625" style="1" hidden="1" customWidth="1"/>
    <col min="28" max="28" width="16.28515625" style="1" hidden="1" customWidth="1"/>
    <col min="29" max="29" width="27.5703125" style="1" hidden="1" customWidth="1"/>
    <col min="30" max="30" width="11.85546875" style="1" hidden="1" customWidth="1"/>
    <col min="31" max="31" width="11.28515625" style="1" hidden="1" customWidth="1"/>
    <col min="32" max="32" width="9.7109375" style="1" hidden="1" customWidth="1"/>
    <col min="33" max="33" width="12" style="1" hidden="1" customWidth="1"/>
    <col min="34" max="34" width="34" style="1" hidden="1" customWidth="1"/>
    <col min="35" max="35" width="28.28515625" style="1" hidden="1" customWidth="1"/>
    <col min="36" max="36" width="22.5703125" style="156" hidden="1" customWidth="1"/>
    <col min="37" max="37" width="13.7109375" style="1" hidden="1" customWidth="1"/>
    <col min="38" max="38" width="16.5703125" style="1" hidden="1" customWidth="1"/>
    <col min="39" max="39" width="32.5703125" style="1" hidden="1" customWidth="1"/>
    <col min="40" max="40" width="11.5703125" style="16" hidden="1" customWidth="1"/>
    <col min="41" max="41" width="99.140625" style="1" hidden="1" customWidth="1"/>
    <col min="42" max="42" width="85.5703125" style="1" hidden="1" customWidth="1"/>
    <col min="43" max="43" width="9" style="1" hidden="1" customWidth="1"/>
    <col min="44" max="44" width="14.7109375" style="1" hidden="1" customWidth="1"/>
    <col min="45" max="45" width="10.85546875" style="159" hidden="1" customWidth="1"/>
    <col min="46" max="47" width="10.85546875" style="112" hidden="1" customWidth="1"/>
    <col min="48" max="48" width="10.85546875" style="172" hidden="1" customWidth="1"/>
    <col min="49" max="49" width="10.85546875" style="169" hidden="1" customWidth="1"/>
    <col min="50" max="50" width="13.7109375" style="112" hidden="1" customWidth="1"/>
    <col min="51" max="51" width="14.140625" style="112" hidden="1" customWidth="1"/>
    <col min="52" max="52" width="10.85546875" style="112" hidden="1" customWidth="1"/>
    <col min="53" max="53" width="12.28515625" style="112" hidden="1" customWidth="1"/>
    <col min="54" max="54" width="10.85546875" style="172" hidden="1" customWidth="1"/>
    <col min="55" max="55" width="10.85546875" style="159" hidden="1" customWidth="1"/>
    <col min="56" max="56" width="14.85546875" style="172" hidden="1" customWidth="1"/>
    <col min="57" max="57" width="10.85546875" style="159" hidden="1" customWidth="1"/>
    <col min="58" max="58" width="17" style="172" hidden="1" customWidth="1"/>
    <col min="59" max="59" width="10.85546875" style="159" hidden="1" customWidth="1"/>
    <col min="60" max="60" width="17.7109375" style="188" hidden="1" customWidth="1"/>
    <col min="61" max="61" width="10.85546875" style="172" hidden="1" customWidth="1"/>
    <col min="62" max="62" width="10.85546875" style="159" customWidth="1"/>
    <col min="63" max="63" width="10.85546875" style="112" customWidth="1"/>
    <col min="64" max="64" width="10.85546875" style="172" customWidth="1"/>
    <col min="65" max="65" width="10.85546875" style="159" customWidth="1"/>
    <col min="66" max="66" width="10.85546875" style="112" customWidth="1"/>
    <col min="67" max="67" width="12.28515625" style="172" customWidth="1"/>
    <col min="68" max="68" width="10.85546875" style="159" customWidth="1"/>
    <col min="69" max="69" width="10.85546875" style="112" customWidth="1"/>
    <col min="70" max="70" width="10.85546875" style="172" customWidth="1"/>
    <col min="71" max="71" width="10.85546875" style="169" hidden="1" customWidth="1"/>
    <col min="72" max="72" width="10.85546875" style="170" hidden="1" customWidth="1"/>
    <col min="73" max="73" width="10.85546875" style="181" hidden="1" customWidth="1"/>
    <col min="74" max="74" width="44.7109375" style="172" hidden="1" customWidth="1"/>
    <col min="75" max="75" width="94.85546875" style="275" hidden="1" customWidth="1"/>
    <col min="76" max="76" width="14.7109375" style="275" hidden="1" customWidth="1"/>
    <col min="77" max="77" width="12.28515625" style="275" hidden="1" customWidth="1"/>
    <col min="78" max="78" width="13" style="277" hidden="1" customWidth="1"/>
    <col min="79" max="79" width="7" style="156" hidden="1" customWidth="1"/>
    <col min="80" max="80" width="10.85546875" style="155" hidden="1" customWidth="1"/>
    <col min="81" max="81" width="7" style="156" hidden="1" customWidth="1"/>
    <col min="82" max="82" width="8" style="156" hidden="1" customWidth="1"/>
    <col min="83" max="83" width="11.28515625" style="156" hidden="1" customWidth="1"/>
    <col min="84" max="84" width="12.5703125" style="495" hidden="1" customWidth="1"/>
    <col min="85" max="85" width="6.28515625" style="496" hidden="1" customWidth="1"/>
    <col min="86" max="86" width="30.42578125" style="156" hidden="1" customWidth="1"/>
    <col min="87" max="88" width="17.28515625" style="155" hidden="1" customWidth="1"/>
    <col min="89" max="89" width="5.85546875" style="156" hidden="1" customWidth="1"/>
    <col min="90" max="90" width="8.42578125" style="156" hidden="1" customWidth="1"/>
    <col min="91" max="91" width="7" style="156" hidden="1" customWidth="1"/>
    <col min="92" max="92" width="5.42578125" style="156" hidden="1" customWidth="1"/>
    <col min="93" max="93" width="6.28515625" style="156" hidden="1" customWidth="1"/>
    <col min="94" max="94" width="5.42578125" style="156" hidden="1" customWidth="1"/>
    <col min="95" max="95" width="8" style="156" hidden="1" customWidth="1"/>
    <col min="96" max="96" width="6.85546875" style="156" hidden="1" customWidth="1"/>
    <col min="97" max="97" width="8.28515625" style="156" hidden="1" customWidth="1"/>
    <col min="98" max="98" width="5.140625" style="156" hidden="1" customWidth="1"/>
    <col min="99" max="100" width="6.28515625" style="156" hidden="1" customWidth="1"/>
    <col min="101" max="102" width="4" style="156" hidden="1" customWidth="1"/>
    <col min="103" max="103" width="8" style="156" hidden="1" customWidth="1"/>
    <col min="104" max="105" width="4" style="1" bestFit="1" customWidth="1"/>
    <col min="106" max="106" width="13.42578125" style="1" bestFit="1" customWidth="1"/>
    <col min="107" max="16384" width="203.7109375" style="1"/>
  </cols>
  <sheetData>
    <row r="1" spans="1:106" x14ac:dyDescent="0.25">
      <c r="A1" s="7" t="s">
        <v>486</v>
      </c>
      <c r="N1" s="156">
        <f>COUNTIF(N3:N1048576,"READY!")</f>
        <v>50</v>
      </c>
      <c r="AY1" s="112" t="s">
        <v>521</v>
      </c>
      <c r="AZ1" s="112" t="s">
        <v>2034</v>
      </c>
      <c r="BA1" s="112" t="s">
        <v>2035</v>
      </c>
      <c r="BV1" s="172" t="s">
        <v>938</v>
      </c>
      <c r="CA1" s="156" t="s">
        <v>486</v>
      </c>
    </row>
    <row r="2" spans="1:106" x14ac:dyDescent="0.25">
      <c r="B2" s="16" t="s">
        <v>20</v>
      </c>
      <c r="C2" s="1" t="s">
        <v>0</v>
      </c>
      <c r="D2" s="1" t="s">
        <v>1</v>
      </c>
      <c r="E2" s="1" t="s">
        <v>239</v>
      </c>
      <c r="F2" s="1" t="s">
        <v>296</v>
      </c>
      <c r="G2" s="1" t="s">
        <v>471</v>
      </c>
      <c r="H2" s="1" t="s">
        <v>1570</v>
      </c>
      <c r="I2" s="1" t="s">
        <v>1902</v>
      </c>
      <c r="J2" s="1" t="s">
        <v>1926</v>
      </c>
      <c r="K2" s="490" t="s">
        <v>1212</v>
      </c>
      <c r="L2" s="1" t="s">
        <v>1213</v>
      </c>
      <c r="M2" s="1" t="s">
        <v>345</v>
      </c>
      <c r="N2" s="156" t="s">
        <v>515</v>
      </c>
      <c r="O2" s="1" t="s">
        <v>297</v>
      </c>
      <c r="P2" s="1" t="s">
        <v>688</v>
      </c>
      <c r="Q2" s="1" t="s">
        <v>209</v>
      </c>
      <c r="R2" s="1" t="s">
        <v>211</v>
      </c>
      <c r="S2" s="156" t="s">
        <v>1569</v>
      </c>
      <c r="T2" s="156" t="s">
        <v>1568</v>
      </c>
      <c r="U2" s="1" t="s">
        <v>423</v>
      </c>
      <c r="V2" s="1" t="s">
        <v>202</v>
      </c>
      <c r="W2" s="1" t="s">
        <v>203</v>
      </c>
      <c r="X2" s="1" t="s">
        <v>204</v>
      </c>
      <c r="Y2" s="1" t="s">
        <v>212</v>
      </c>
      <c r="Z2" s="1" t="s">
        <v>206</v>
      </c>
      <c r="AA2" s="1" t="s">
        <v>207</v>
      </c>
      <c r="AB2" s="1" t="s">
        <v>208</v>
      </c>
      <c r="AC2" s="1" t="s">
        <v>465</v>
      </c>
      <c r="AD2" s="1" t="s">
        <v>466</v>
      </c>
      <c r="AE2" s="1" t="s">
        <v>490</v>
      </c>
      <c r="AF2" s="1" t="s">
        <v>491</v>
      </c>
      <c r="AG2" s="1" t="s">
        <v>742</v>
      </c>
      <c r="AH2" s="1" t="s">
        <v>213</v>
      </c>
      <c r="AI2" s="1" t="s">
        <v>241</v>
      </c>
      <c r="AJ2" s="156" t="s">
        <v>1126</v>
      </c>
      <c r="AK2" s="1" t="s">
        <v>1128</v>
      </c>
      <c r="AL2" s="1" t="s">
        <v>242</v>
      </c>
      <c r="AM2" s="1" t="s">
        <v>295</v>
      </c>
      <c r="AN2" s="16" t="s">
        <v>205</v>
      </c>
      <c r="AO2" s="1" t="s">
        <v>479</v>
      </c>
      <c r="AP2" s="1" t="s">
        <v>478</v>
      </c>
      <c r="AQ2" s="1" t="s">
        <v>210</v>
      </c>
      <c r="AR2" s="1" t="s">
        <v>463</v>
      </c>
      <c r="AS2" s="159" t="s">
        <v>2</v>
      </c>
      <c r="AT2" s="112" t="s">
        <v>3</v>
      </c>
      <c r="AU2" s="112" t="s">
        <v>4</v>
      </c>
      <c r="AV2" s="172" t="s">
        <v>27</v>
      </c>
      <c r="AW2" s="169" t="s">
        <v>15</v>
      </c>
      <c r="AX2" s="112" t="s">
        <v>9</v>
      </c>
      <c r="AY2" s="112">
        <v>1902</v>
      </c>
      <c r="AZ2" s="112">
        <v>1905</v>
      </c>
      <c r="BA2" s="112">
        <v>2305</v>
      </c>
      <c r="BB2" s="172">
        <v>2316</v>
      </c>
      <c r="BC2" s="159" t="s">
        <v>6</v>
      </c>
      <c r="BD2" s="172" t="s">
        <v>9</v>
      </c>
      <c r="BE2" s="159" t="s">
        <v>7</v>
      </c>
      <c r="BF2" s="172" t="s">
        <v>9</v>
      </c>
      <c r="BG2" s="159" t="s">
        <v>5</v>
      </c>
      <c r="BH2" s="188" t="s">
        <v>9</v>
      </c>
      <c r="BI2" s="172" t="s">
        <v>8</v>
      </c>
      <c r="BJ2" s="159" t="s">
        <v>10</v>
      </c>
      <c r="BK2" s="112" t="s">
        <v>812</v>
      </c>
      <c r="BL2" s="172" t="s">
        <v>544</v>
      </c>
      <c r="BM2" s="159" t="s">
        <v>11</v>
      </c>
      <c r="BN2" s="112" t="s">
        <v>12</v>
      </c>
      <c r="BO2" s="172" t="s">
        <v>13</v>
      </c>
      <c r="BP2" s="159" t="s">
        <v>14</v>
      </c>
      <c r="BQ2" s="112" t="s">
        <v>16</v>
      </c>
      <c r="BR2" s="172" t="s">
        <v>17</v>
      </c>
      <c r="BS2" s="169" t="s">
        <v>18</v>
      </c>
      <c r="BT2" s="170" t="s">
        <v>19</v>
      </c>
      <c r="BU2" s="181" t="s">
        <v>1643</v>
      </c>
      <c r="BV2" s="172" t="s">
        <v>45</v>
      </c>
      <c r="BW2" s="275" t="s">
        <v>45</v>
      </c>
      <c r="BX2" s="275" t="s">
        <v>520</v>
      </c>
      <c r="BY2" s="275" t="s">
        <v>522</v>
      </c>
      <c r="BZ2" s="277" t="s">
        <v>519</v>
      </c>
      <c r="CB2" s="155" t="s">
        <v>20</v>
      </c>
      <c r="CC2" s="156" t="s">
        <v>1183</v>
      </c>
      <c r="CD2" s="156" t="s">
        <v>1123</v>
      </c>
      <c r="CE2" s="156" t="s">
        <v>483</v>
      </c>
      <c r="CF2" s="495" t="s">
        <v>484</v>
      </c>
      <c r="CG2" s="496" t="s">
        <v>1124</v>
      </c>
      <c r="CH2" s="156" t="s">
        <v>1182</v>
      </c>
      <c r="CI2" s="155" t="s">
        <v>1653</v>
      </c>
      <c r="CJ2" s="155" t="s">
        <v>1653</v>
      </c>
      <c r="CK2" s="156" t="s">
        <v>6</v>
      </c>
      <c r="CL2" s="156" t="s">
        <v>7</v>
      </c>
      <c r="CM2" s="156" t="s">
        <v>5</v>
      </c>
      <c r="CN2" s="156" t="s">
        <v>10</v>
      </c>
      <c r="CO2" s="156" t="s">
        <v>11</v>
      </c>
      <c r="CP2" s="156" t="s">
        <v>2</v>
      </c>
      <c r="CQ2" s="156" t="s">
        <v>3</v>
      </c>
      <c r="CR2" s="156" t="s">
        <v>4</v>
      </c>
      <c r="CS2" s="156" t="s">
        <v>27</v>
      </c>
      <c r="CT2" s="156" t="s">
        <v>15</v>
      </c>
      <c r="CU2" s="156">
        <v>1905</v>
      </c>
      <c r="CV2" s="156">
        <v>2305</v>
      </c>
      <c r="CW2" s="156" t="s">
        <v>302</v>
      </c>
      <c r="CX2" s="156" t="s">
        <v>298</v>
      </c>
      <c r="CY2" s="156" t="s">
        <v>1123</v>
      </c>
    </row>
    <row r="3" spans="1:106" s="113" customFormat="1" x14ac:dyDescent="0.25">
      <c r="A3" s="130"/>
      <c r="B3" s="12">
        <v>42012</v>
      </c>
      <c r="C3" s="11">
        <v>1082217</v>
      </c>
      <c r="D3" s="11" t="s">
        <v>46</v>
      </c>
      <c r="E3" s="11" t="str">
        <f t="shared" ref="E3:E32" si="0">IF(P3="(*_*)","",IF(BC3&lt;1,"SSS, ","")&amp;IF(BE3&lt;1,"HDMF, ","")&amp;IF(BG3&lt;1,"PHIC, ","")&amp;IF(BJ3&lt;1,"NBI, ","")&amp;IF(BM3&lt;1,"NSO, ","")&amp;IF(AS3&lt;1,"Info, ","")&amp;IF(AT3&lt;1,"AWOL, ","")&amp;IF(AU3&lt;1,"Hand, ","")&amp;IF(AV3&lt;1,"Waiver, ","")&amp;IF(AW3&lt;1,"TIN, ","")&amp;IF(AZ3&lt;1,"1905, ","")&amp;IF(BA3&lt;1,"2305, ",""))</f>
        <v/>
      </c>
      <c r="F3" s="11" t="str">
        <f t="shared" ref="F3:F32" si="1">IF(P3="(*_*)","",IF(BI3&lt;1,"MDR, ","")&amp;IF(BS3&lt;1,"JO, ","")&amp;IF(BT3&lt;1,"Contract, ","")&amp;IF(BU3&lt;1,"Confi, ","")&amp;IF(BQ3&lt;1,"TOR, ","")&amp;IF(BR3&lt;1,"COE, ","")&amp;IF(BP3&lt;1,"2x2, ",""))</f>
        <v/>
      </c>
      <c r="K3" s="152"/>
      <c r="N3" s="153" t="str">
        <f t="shared" ref="N3:N66" si="2">IF(AND(M3&gt;0,AW3="")=TRUE,"UPDATE!",IF(AND(BM3&gt;0,AZ3&gt;0,BA3&gt;0,M3="",P3&lt;&gt;"(*_*)")=TRUE,"READY!",""))</f>
        <v/>
      </c>
      <c r="O3" s="113" t="s">
        <v>298</v>
      </c>
      <c r="P3" s="113" t="s">
        <v>689</v>
      </c>
      <c r="Q3" s="11" t="s">
        <v>49</v>
      </c>
      <c r="R3" s="14">
        <v>9173454065</v>
      </c>
      <c r="S3" s="153">
        <f>IFERROR(IF(SEARCH("/",R3)&gt;0,REPLACE(R3,11,22,""),R3),R3)</f>
        <v>9173454065</v>
      </c>
      <c r="T3" s="153" t="str">
        <f t="shared" ref="T3:T66" si="3">IFERROR(IF(SEARCH("/",R3)&gt;0,REPLACE(R3,1,11,""),""),"")</f>
        <v/>
      </c>
      <c r="Y3" s="11" t="s">
        <v>48</v>
      </c>
      <c r="Z3" s="11" t="s">
        <v>49</v>
      </c>
      <c r="AA3" s="11"/>
      <c r="AB3" s="11"/>
      <c r="AC3" s="11"/>
      <c r="AD3" s="11"/>
      <c r="AH3" s="157" t="s">
        <v>47</v>
      </c>
      <c r="AI3" s="11"/>
      <c r="AJ3" s="527"/>
      <c r="AK3" s="11"/>
      <c r="AL3" s="11"/>
      <c r="AM3" s="11"/>
      <c r="AN3" s="191"/>
      <c r="AO3" s="11" t="s">
        <v>49</v>
      </c>
      <c r="AP3" s="11"/>
      <c r="AQ3" s="11" t="s">
        <v>50</v>
      </c>
      <c r="AR3" s="11"/>
      <c r="AS3" s="160"/>
      <c r="AT3" s="125"/>
      <c r="AU3" s="125"/>
      <c r="AV3" s="173"/>
      <c r="AW3" s="190"/>
      <c r="AX3" s="11" t="s">
        <v>49</v>
      </c>
      <c r="BB3" s="182"/>
      <c r="BC3" s="160"/>
      <c r="BD3" s="184" t="s">
        <v>49</v>
      </c>
      <c r="BE3" s="160"/>
      <c r="BF3" s="184" t="s">
        <v>49</v>
      </c>
      <c r="BG3" s="160"/>
      <c r="BH3" s="11" t="s">
        <v>49</v>
      </c>
      <c r="BI3" s="182"/>
      <c r="BJ3" s="160"/>
      <c r="BK3" s="125"/>
      <c r="BL3" s="173"/>
      <c r="BM3" s="160"/>
      <c r="BN3" s="125"/>
      <c r="BO3" s="173"/>
      <c r="BP3" s="165"/>
      <c r="BQ3" s="125"/>
      <c r="BR3" s="173"/>
      <c r="BS3" s="190"/>
      <c r="BT3" s="191"/>
      <c r="BU3" s="192"/>
      <c r="BV3" s="173"/>
      <c r="BW3" s="497" t="s">
        <v>49</v>
      </c>
      <c r="BX3" s="497" t="str">
        <f t="shared" ref="BX3:BX34" si="4">IF(O3="n","",COUNT(BM3,BJ3,BG3,BE3,BC3,AW3,AV3,AU3,AT3,AS3,AZ3))</f>
        <v/>
      </c>
      <c r="BY3" s="497" t="str">
        <f t="shared" ref="BY3:BY66" si="5">IF(O3="n","",11)</f>
        <v/>
      </c>
      <c r="BZ3" s="498" t="str">
        <f>IFERROR(BX3/BY3,"")</f>
        <v/>
      </c>
      <c r="CA3" s="153"/>
      <c r="CB3" s="151"/>
      <c r="CC3" s="153"/>
      <c r="CD3" s="153"/>
      <c r="CE3" s="153"/>
      <c r="CF3" s="396"/>
      <c r="CG3" s="397"/>
      <c r="CH3" s="153"/>
      <c r="CI3" s="151"/>
      <c r="CJ3" s="151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</row>
    <row r="4" spans="1:106" s="10" customFormat="1" x14ac:dyDescent="0.25">
      <c r="A4" s="6"/>
      <c r="B4" s="3">
        <v>42012</v>
      </c>
      <c r="C4" s="2">
        <v>1082218</v>
      </c>
      <c r="D4" s="2" t="s">
        <v>51</v>
      </c>
      <c r="E4" s="2" t="str">
        <f t="shared" si="0"/>
        <v xml:space="preserve">NBI, Info, AWOL, Hand, Waiver, </v>
      </c>
      <c r="F4" s="2" t="str">
        <f t="shared" si="1"/>
        <v xml:space="preserve">MDR, Contract, Confi, 2x2, </v>
      </c>
      <c r="K4" s="152"/>
      <c r="M4" s="135">
        <v>42024</v>
      </c>
      <c r="N4" s="153" t="str">
        <f t="shared" si="2"/>
        <v/>
      </c>
      <c r="O4" s="10" t="s">
        <v>298</v>
      </c>
      <c r="Q4" s="2" t="s">
        <v>49</v>
      </c>
      <c r="R4" s="4">
        <v>9368788894</v>
      </c>
      <c r="S4" s="153">
        <f>IFERROR(IF(SEARCH("/",R4)&gt;0,REPLACE(R4,11,22,""),R4),R4)</f>
        <v>9368788894</v>
      </c>
      <c r="T4" s="153" t="str">
        <f t="shared" si="3"/>
        <v/>
      </c>
      <c r="Y4" s="2" t="s">
        <v>48</v>
      </c>
      <c r="Z4" s="2" t="s">
        <v>49</v>
      </c>
      <c r="AA4" s="2"/>
      <c r="AB4" s="2"/>
      <c r="AC4" s="2"/>
      <c r="AD4" s="2"/>
      <c r="AH4" s="120" t="s">
        <v>52</v>
      </c>
      <c r="AI4" s="2"/>
      <c r="AJ4" s="527"/>
      <c r="AK4" s="2"/>
      <c r="AL4" s="2"/>
      <c r="AM4" s="2"/>
      <c r="AN4" s="3">
        <v>31990</v>
      </c>
      <c r="AO4" s="2" t="s">
        <v>49</v>
      </c>
      <c r="AP4" s="2"/>
      <c r="AQ4" s="2" t="s">
        <v>53</v>
      </c>
      <c r="AR4" s="2"/>
      <c r="AS4" s="161"/>
      <c r="AT4" s="134"/>
      <c r="AU4" s="134"/>
      <c r="AV4" s="174"/>
      <c r="AW4" s="427">
        <v>42027</v>
      </c>
      <c r="AX4" s="2" t="s">
        <v>55</v>
      </c>
      <c r="AZ4" s="136">
        <v>1</v>
      </c>
      <c r="BA4" s="135">
        <v>42024</v>
      </c>
      <c r="BB4" s="178"/>
      <c r="BC4" s="162">
        <v>42027</v>
      </c>
      <c r="BD4" s="185" t="s">
        <v>54</v>
      </c>
      <c r="BE4" s="162">
        <v>42027</v>
      </c>
      <c r="BF4" s="185" t="s">
        <v>57</v>
      </c>
      <c r="BG4" s="162">
        <v>42027</v>
      </c>
      <c r="BH4" s="2" t="s">
        <v>56</v>
      </c>
      <c r="BI4" s="178"/>
      <c r="BJ4" s="161"/>
      <c r="BK4" s="134"/>
      <c r="BL4" s="174"/>
      <c r="BM4" s="162">
        <v>42027</v>
      </c>
      <c r="BN4" s="134"/>
      <c r="BO4" s="174"/>
      <c r="BP4" s="167"/>
      <c r="BQ4" s="5">
        <v>42027</v>
      </c>
      <c r="BR4" s="175">
        <v>42027</v>
      </c>
      <c r="BS4" s="427">
        <v>42033</v>
      </c>
      <c r="BT4" s="428"/>
      <c r="BU4" s="429"/>
      <c r="BV4" s="174"/>
      <c r="BW4" s="497" t="s">
        <v>49</v>
      </c>
      <c r="BX4" s="497" t="str">
        <f t="shared" si="4"/>
        <v/>
      </c>
      <c r="BY4" s="497" t="str">
        <f t="shared" si="5"/>
        <v/>
      </c>
      <c r="BZ4" s="498" t="str">
        <f t="shared" ref="BZ4:BZ67" si="6">IFERROR(BX4/BY4,"")</f>
        <v/>
      </c>
      <c r="CA4" s="153"/>
      <c r="CB4" s="151"/>
      <c r="CC4" s="153"/>
      <c r="CD4" s="153"/>
      <c r="CE4" s="153"/>
      <c r="CF4" s="396"/>
      <c r="CG4" s="397"/>
      <c r="CH4" s="153"/>
      <c r="CI4" s="151"/>
      <c r="CJ4" s="151"/>
      <c r="CK4" s="153"/>
      <c r="CL4" s="153"/>
      <c r="CM4" s="153"/>
      <c r="CN4" s="153"/>
      <c r="CO4" s="153"/>
      <c r="CP4" s="153"/>
      <c r="CQ4" s="153"/>
      <c r="CR4" s="153"/>
      <c r="CS4" s="153"/>
      <c r="CT4" s="153"/>
      <c r="CU4" s="153"/>
      <c r="CV4" s="153"/>
      <c r="CW4" s="153"/>
      <c r="CX4" s="153"/>
      <c r="CY4" s="153"/>
    </row>
    <row r="5" spans="1:106" s="10" customFormat="1" x14ac:dyDescent="0.25">
      <c r="A5" s="6"/>
      <c r="B5" s="3">
        <v>42012</v>
      </c>
      <c r="C5" s="2">
        <v>1082219</v>
      </c>
      <c r="D5" s="2" t="s">
        <v>58</v>
      </c>
      <c r="E5" s="2" t="str">
        <f t="shared" si="0"/>
        <v xml:space="preserve">Hand, 1905, </v>
      </c>
      <c r="F5" s="2" t="str">
        <f t="shared" si="1"/>
        <v xml:space="preserve">MDR, Contract, 2x2, </v>
      </c>
      <c r="K5" s="152"/>
      <c r="N5" s="153" t="str">
        <f t="shared" si="2"/>
        <v/>
      </c>
      <c r="O5" s="10" t="s">
        <v>298</v>
      </c>
      <c r="Q5" s="2" t="s">
        <v>49</v>
      </c>
      <c r="R5" s="4">
        <v>9062053726</v>
      </c>
      <c r="S5" s="153">
        <f>IFERROR(IF(SEARCH("/",R5)&gt;0,REPLACE(R5,11,22,""),R5),R5)</f>
        <v>9062053726</v>
      </c>
      <c r="T5" s="153" t="str">
        <f t="shared" si="3"/>
        <v/>
      </c>
      <c r="Y5" s="2" t="s">
        <v>48</v>
      </c>
      <c r="Z5" s="2" t="s">
        <v>49</v>
      </c>
      <c r="AA5" s="2"/>
      <c r="AB5" s="2"/>
      <c r="AC5" s="2"/>
      <c r="AD5" s="2"/>
      <c r="AH5" s="120" t="s">
        <v>52</v>
      </c>
      <c r="AI5" s="2"/>
      <c r="AJ5" s="527"/>
      <c r="AK5" s="2"/>
      <c r="AL5" s="2"/>
      <c r="AM5" s="2"/>
      <c r="AN5" s="3">
        <v>29737</v>
      </c>
      <c r="AO5" s="2" t="s">
        <v>49</v>
      </c>
      <c r="AP5" s="2"/>
      <c r="AQ5" s="2" t="s">
        <v>49</v>
      </c>
      <c r="AR5" s="2"/>
      <c r="AS5" s="162">
        <v>42016</v>
      </c>
      <c r="AT5" s="5">
        <v>42016</v>
      </c>
      <c r="AU5" s="134"/>
      <c r="AV5" s="175">
        <v>42019</v>
      </c>
      <c r="AW5" s="427">
        <v>42016</v>
      </c>
      <c r="AX5" s="2" t="s">
        <v>60</v>
      </c>
      <c r="BA5" s="135">
        <v>42016</v>
      </c>
      <c r="BB5" s="179"/>
      <c r="BC5" s="162">
        <v>42016</v>
      </c>
      <c r="BD5" s="185" t="s">
        <v>59</v>
      </c>
      <c r="BE5" s="162">
        <v>42016</v>
      </c>
      <c r="BF5" s="185" t="s">
        <v>61</v>
      </c>
      <c r="BG5" s="162">
        <v>42016</v>
      </c>
      <c r="BH5" s="2" t="s">
        <v>1636</v>
      </c>
      <c r="BI5" s="178"/>
      <c r="BJ5" s="162">
        <v>42031</v>
      </c>
      <c r="BK5" s="5"/>
      <c r="BL5" s="175"/>
      <c r="BM5" s="162">
        <v>42016</v>
      </c>
      <c r="BN5" s="134"/>
      <c r="BO5" s="174"/>
      <c r="BP5" s="167"/>
      <c r="BQ5" s="5">
        <v>42031</v>
      </c>
      <c r="BR5" s="175">
        <v>42016</v>
      </c>
      <c r="BS5" s="427">
        <v>42016</v>
      </c>
      <c r="BT5" s="428"/>
      <c r="BU5" s="430">
        <v>42031</v>
      </c>
      <c r="BV5" s="252"/>
      <c r="BW5" s="499" t="s">
        <v>62</v>
      </c>
      <c r="BX5" s="499" t="str">
        <f t="shared" si="4"/>
        <v/>
      </c>
      <c r="BY5" s="499" t="str">
        <f t="shared" si="5"/>
        <v/>
      </c>
      <c r="BZ5" s="500" t="str">
        <f t="shared" si="6"/>
        <v/>
      </c>
      <c r="CA5" s="153"/>
      <c r="CB5" s="151"/>
      <c r="CC5" s="153"/>
      <c r="CD5" s="153"/>
      <c r="CE5" s="153"/>
      <c r="CF5" s="396"/>
      <c r="CG5" s="397"/>
      <c r="CH5" s="153"/>
      <c r="CI5" s="151"/>
      <c r="CJ5" s="151"/>
      <c r="CK5" s="153"/>
      <c r="CL5" s="153"/>
      <c r="CM5" s="153"/>
      <c r="CN5" s="153"/>
      <c r="CO5" s="153"/>
      <c r="CP5" s="153"/>
      <c r="CQ5" s="153"/>
      <c r="CR5" s="153"/>
      <c r="CS5" s="153"/>
      <c r="CT5" s="153"/>
      <c r="CU5" s="153"/>
      <c r="CV5" s="153"/>
      <c r="CW5" s="153"/>
      <c r="CX5" s="153"/>
      <c r="CY5" s="153"/>
    </row>
    <row r="6" spans="1:106" s="196" customFormat="1" ht="15.75" thickBot="1" x14ac:dyDescent="0.3">
      <c r="A6" s="195"/>
      <c r="B6" s="194">
        <v>42012</v>
      </c>
      <c r="C6" s="193">
        <v>1082220</v>
      </c>
      <c r="D6" s="193" t="s">
        <v>63</v>
      </c>
      <c r="E6" s="193" t="str">
        <f t="shared" si="0"/>
        <v xml:space="preserve">NSO, Info, AWOL, Hand, Waiver, </v>
      </c>
      <c r="F6" s="193" t="str">
        <f t="shared" si="1"/>
        <v xml:space="preserve">MDR, Contract, TOR, 2x2, </v>
      </c>
      <c r="K6" s="491"/>
      <c r="M6" s="197">
        <v>42038</v>
      </c>
      <c r="N6" s="487" t="str">
        <f t="shared" si="2"/>
        <v/>
      </c>
      <c r="O6" s="196" t="s">
        <v>298</v>
      </c>
      <c r="Q6" s="193" t="s">
        <v>49</v>
      </c>
      <c r="R6" s="199">
        <v>9321321947</v>
      </c>
      <c r="S6" s="487">
        <f>IFERROR(IF(SEARCH("/",R6)&gt;0,REPLACE(R6,11,22,""),R6),R6)</f>
        <v>9321321947</v>
      </c>
      <c r="T6" s="487" t="str">
        <f t="shared" si="3"/>
        <v/>
      </c>
      <c r="Y6" s="193" t="s">
        <v>64</v>
      </c>
      <c r="Z6" s="193" t="s">
        <v>49</v>
      </c>
      <c r="AA6" s="193"/>
      <c r="AB6" s="193"/>
      <c r="AC6" s="193"/>
      <c r="AD6" s="193"/>
      <c r="AH6" s="200" t="s">
        <v>52</v>
      </c>
      <c r="AI6" s="193"/>
      <c r="AJ6" s="528"/>
      <c r="AK6" s="193"/>
      <c r="AL6" s="193"/>
      <c r="AM6" s="193"/>
      <c r="AN6" s="194">
        <v>31137</v>
      </c>
      <c r="AO6" s="193" t="s">
        <v>49</v>
      </c>
      <c r="AP6" s="193"/>
      <c r="AQ6" s="193" t="s">
        <v>53</v>
      </c>
      <c r="AR6" s="193"/>
      <c r="AS6" s="201"/>
      <c r="AT6" s="198"/>
      <c r="AU6" s="198"/>
      <c r="AV6" s="202"/>
      <c r="AW6" s="431">
        <v>42031</v>
      </c>
      <c r="AX6" s="193" t="s">
        <v>66</v>
      </c>
      <c r="AZ6" s="197">
        <v>42038</v>
      </c>
      <c r="BA6" s="197">
        <v>42038</v>
      </c>
      <c r="BB6" s="204"/>
      <c r="BC6" s="203">
        <v>42031</v>
      </c>
      <c r="BD6" s="205" t="s">
        <v>65</v>
      </c>
      <c r="BE6" s="203">
        <v>42031</v>
      </c>
      <c r="BF6" s="205" t="s">
        <v>67</v>
      </c>
      <c r="BG6" s="203">
        <v>42031</v>
      </c>
      <c r="BH6" s="193" t="s">
        <v>1637</v>
      </c>
      <c r="BI6" s="204"/>
      <c r="BJ6" s="203">
        <v>42031</v>
      </c>
      <c r="BK6" s="206"/>
      <c r="BL6" s="207"/>
      <c r="BM6" s="201"/>
      <c r="BN6" s="198"/>
      <c r="BO6" s="202"/>
      <c r="BP6" s="208"/>
      <c r="BQ6" s="198"/>
      <c r="BR6" s="209">
        <v>42031</v>
      </c>
      <c r="BS6" s="431">
        <v>42031</v>
      </c>
      <c r="BT6" s="432"/>
      <c r="BU6" s="433">
        <v>42031</v>
      </c>
      <c r="BV6" s="253"/>
      <c r="BW6" s="501" t="s">
        <v>68</v>
      </c>
      <c r="BX6" s="501" t="str">
        <f t="shared" si="4"/>
        <v/>
      </c>
      <c r="BY6" s="501" t="str">
        <f t="shared" si="5"/>
        <v/>
      </c>
      <c r="BZ6" s="502" t="str">
        <f t="shared" si="6"/>
        <v/>
      </c>
      <c r="CA6" s="487"/>
      <c r="CB6" s="503"/>
      <c r="CC6" s="487"/>
      <c r="CD6" s="487"/>
      <c r="CE6" s="487"/>
      <c r="CF6" s="504"/>
      <c r="CG6" s="505"/>
      <c r="CH6" s="487"/>
      <c r="CI6" s="503"/>
      <c r="CJ6" s="503"/>
      <c r="CK6" s="487"/>
      <c r="CL6" s="487"/>
      <c r="CM6" s="487"/>
      <c r="CN6" s="487"/>
      <c r="CO6" s="487"/>
      <c r="CP6" s="487"/>
      <c r="CQ6" s="487"/>
      <c r="CR6" s="487"/>
      <c r="CS6" s="487"/>
      <c r="CT6" s="487"/>
      <c r="CU6" s="487"/>
      <c r="CV6" s="487"/>
      <c r="CW6" s="487"/>
      <c r="CX6" s="487"/>
      <c r="CY6" s="487"/>
    </row>
    <row r="7" spans="1:106" s="298" customFormat="1" ht="15.75" thickTop="1" x14ac:dyDescent="0.25">
      <c r="A7" s="295">
        <v>179</v>
      </c>
      <c r="B7" s="296">
        <v>42016</v>
      </c>
      <c r="C7" s="297">
        <v>1082221</v>
      </c>
      <c r="D7" s="297" t="s">
        <v>69</v>
      </c>
      <c r="E7" s="297" t="str">
        <f t="shared" si="0"/>
        <v/>
      </c>
      <c r="F7" s="297" t="str">
        <f t="shared" si="1"/>
        <v/>
      </c>
      <c r="G7" s="298" t="s">
        <v>475</v>
      </c>
      <c r="K7" s="492" t="str">
        <f t="shared" ref="K7:K38" ca="1" si="7">IF(IF(OR(O7="c",O7="n"),"",IF(L7="",IF((TODAY()-B7)&gt;20,"Dedlyn!",(B7+18)-TODAY()),L7-TODAY()))&lt;1,"Dedlyn!",IF(OR(O7="c",O7="n"),"",IF(L7="",IF((TODAY()-B7)&gt;20,"Dedlyn!",(B7+18)-TODAY()),L7-TODAY())))</f>
        <v/>
      </c>
      <c r="M7" s="299">
        <v>42046</v>
      </c>
      <c r="N7" s="488" t="str">
        <f t="shared" si="2"/>
        <v/>
      </c>
      <c r="O7" s="298" t="s">
        <v>302</v>
      </c>
      <c r="Q7" s="297" t="s">
        <v>71</v>
      </c>
      <c r="R7" s="300">
        <v>9276056877</v>
      </c>
      <c r="S7" s="488">
        <f t="shared" ref="S7:S70" si="8">IFERROR(IF(SEARCH("/",R7)&gt;0,REPLACE(R7,11,11,""),R7),R7)</f>
        <v>9276056877</v>
      </c>
      <c r="T7" s="488" t="str">
        <f t="shared" si="3"/>
        <v/>
      </c>
      <c r="U7" s="302" t="s">
        <v>458</v>
      </c>
      <c r="V7" s="298" t="s">
        <v>531</v>
      </c>
      <c r="W7" s="298" t="s">
        <v>529</v>
      </c>
      <c r="Y7" s="297" t="s">
        <v>73</v>
      </c>
      <c r="Z7" s="297" t="s">
        <v>70</v>
      </c>
      <c r="AA7" s="297"/>
      <c r="AB7" s="297"/>
      <c r="AC7" s="297"/>
      <c r="AD7" s="297"/>
      <c r="AH7" s="301" t="s">
        <v>52</v>
      </c>
      <c r="AI7" s="297"/>
      <c r="AJ7" s="529"/>
      <c r="AK7" s="297"/>
      <c r="AL7" s="297"/>
      <c r="AM7" s="297"/>
      <c r="AN7" s="296">
        <v>33154</v>
      </c>
      <c r="AO7" s="303" t="s">
        <v>214</v>
      </c>
      <c r="AP7" s="303"/>
      <c r="AQ7" s="297" t="s">
        <v>50</v>
      </c>
      <c r="AR7" s="297"/>
      <c r="AS7" s="304">
        <v>42017</v>
      </c>
      <c r="AT7" s="305">
        <v>42017</v>
      </c>
      <c r="AU7" s="305">
        <v>42017</v>
      </c>
      <c r="AV7" s="306">
        <v>42017</v>
      </c>
      <c r="AW7" s="434">
        <v>42017</v>
      </c>
      <c r="AX7" s="297" t="s">
        <v>739</v>
      </c>
      <c r="AZ7" s="299">
        <v>42040</v>
      </c>
      <c r="BA7" s="299">
        <v>42017</v>
      </c>
      <c r="BB7" s="307"/>
      <c r="BC7" s="304">
        <v>42017</v>
      </c>
      <c r="BD7" s="308" t="s">
        <v>34</v>
      </c>
      <c r="BE7" s="304">
        <v>42017</v>
      </c>
      <c r="BF7" s="308" t="s">
        <v>1638</v>
      </c>
      <c r="BG7" s="304">
        <v>42019</v>
      </c>
      <c r="BH7" s="296" t="s">
        <v>1629</v>
      </c>
      <c r="BI7" s="309">
        <v>42017</v>
      </c>
      <c r="BJ7" s="304">
        <v>42017</v>
      </c>
      <c r="BK7" s="305"/>
      <c r="BL7" s="306"/>
      <c r="BM7" s="304">
        <v>42017</v>
      </c>
      <c r="BN7" s="310"/>
      <c r="BO7" s="311"/>
      <c r="BP7" s="312">
        <v>42017</v>
      </c>
      <c r="BQ7" s="305">
        <v>42017</v>
      </c>
      <c r="BR7" s="306">
        <v>42017</v>
      </c>
      <c r="BS7" s="434">
        <v>42017</v>
      </c>
      <c r="BT7" s="296">
        <v>42017</v>
      </c>
      <c r="BU7" s="435">
        <v>42017</v>
      </c>
      <c r="BV7" s="313"/>
      <c r="BW7" s="506" t="str">
        <f t="shared" ref="BW7:BW51" si="9">IF(AZ7&gt;3,"1905 ","")&amp;IF(AND(M7="",AZ7&gt;3)=TRUE,"(for processing) ","")&amp;IF(AZ7&lt;4,"",MONTH(AZ7)&amp;"/"&amp;DAY(AZ7)&amp;"/"&amp;YEAR(AZ7)&amp;", ")&amp;IF(BA7&gt;3,"2305 ","")&amp;IF(AND(M7="",BA7&gt;3)=TRUE,"(for processing) ","")&amp;IF(BA7&lt;4,"",MONTH(BA7)&amp;"/"&amp;DAY(BA7)&amp;"/"&amp;YEAR(BA7)&amp;", ")&amp;IF(BI7&gt;0,"MDR ","")&amp;IF(BI7=0,"",MONTH(BI7)&amp;"/"&amp;DAY(BI7)&amp;"/"&amp;YEAR(BI7)&amp;", ")&amp;IF(BK7&gt;0,"NBI receipt "&amp;MONTH(BK7)&amp;"/"&amp;DAY(BK7)&amp;"/"&amp;YEAR(BK7)&amp;", ","") &amp;BV7&amp;IF(BB7&gt;0,"2316 ","")&amp;IF(BB7=0,"",MONTH(BB7)&amp;"/"&amp;DAY(BB7)&amp;"/"&amp;YEAR(BB7)&amp;", ")</f>
        <v xml:space="preserve">1905 2/5/2015, 2305 1/13/2015, MDR 1/13/2015, </v>
      </c>
      <c r="BX7" s="506">
        <f t="shared" si="4"/>
        <v>11</v>
      </c>
      <c r="BY7" s="506">
        <f t="shared" si="5"/>
        <v>11</v>
      </c>
      <c r="BZ7" s="507">
        <f t="shared" si="6"/>
        <v>1</v>
      </c>
      <c r="CA7" s="488" t="str">
        <f t="shared" ref="CA7:CA33" si="10">IF(OR((A7-A8)&gt;-1,A8="")=TRUE,"",A7)</f>
        <v/>
      </c>
      <c r="CB7" s="508" t="str">
        <f>IFERROR(CA7*7+40763,"")</f>
        <v/>
      </c>
      <c r="CC7" s="488" t="str">
        <f ca="1">IFERROR(ROUND(IF(CB7="","",(TODAY()-CB7)/7)+1,0),"")</f>
        <v/>
      </c>
      <c r="CD7" s="488" t="str">
        <f t="shared" ref="CD7:CD38" si="11">IF(CG7="","",CY7)</f>
        <v/>
      </c>
      <c r="CE7" s="488" t="str">
        <f t="shared" ref="CE7:CE38" si="12">IF(CG7="","",CW7)</f>
        <v/>
      </c>
      <c r="CF7" s="509" t="str">
        <f t="shared" ref="CF7:CF70" si="13">IF(CG7="","",CY7-CW7)</f>
        <v/>
      </c>
      <c r="CG7" s="510" t="str">
        <f t="shared" ref="CG7:CG38" si="14">IF(CB7="","",SUM(CK7:CU7)/((CY7)*11))</f>
        <v/>
      </c>
      <c r="CH7" s="488" t="str">
        <f t="shared" ref="CH7:CH38" si="15">IF(CB7="","",IF(MIN(CK7:CU7)&gt;CY7,"",CONCATENATE(IF(SUM(IF(CK7&lt;CL7,1,0),IF(CK7&lt;CM7,1,0),IF(CK7&lt;CN7,1,0),IF(CK7&lt;CO7,1,0),IF(CK7&lt;CP7,1,0),IF(CK7&lt;CQ7,1,0),IF(CK7&lt;CR7,1,0),IF(CK7&lt;CS7,1,0),IF(CK7&lt;CT7,1,0),IF(CK7&lt;CU7,1,0))&gt;7,"SSS ("&amp;CY7-CK7&amp;") ",""),IF(SUM(IF(CL7&lt;CK7,1,0),IF(CL7&lt;CM7,1,0),IF(CL7&lt;CN7,1,0),IF(CL7&lt;CO7,1,0),IF(CL7&lt;CP7,1,0),IF(CL7&lt;CQ7,1,0),IF(CL7&lt;CR7,1,0),IF(CL7&lt;CS7,1,0),IF(CL7&lt;CT7,1,0),IF(CL7&lt;CU7,1,0))&gt;7,"HDMF ("&amp;CY7-CL7&amp;") ",""),IF(SUM(IF(CM7&lt;CK7,1,0),IF(CM7&lt;CL7,1,0),IF(CM7&lt;CN7,1,0),IF(CM7&lt;CO7,1,0),IF(CM7&lt;CP7,1,0),IF(CM7&lt;CQ7,1,0),IF(CM7&lt;CR7,1,0),IF(CM7&lt;CS7,1,0),IF(CM7&lt;CT7,1,0),IF(CM7&lt;CU7,1,0))&gt;7,"PHIC ("&amp;CY7-CM7&amp;") ",""),IF(SUM(IF(CN7&lt;CK7,1,0),IF(CN7&lt;CL7,1,0),IF(CN7&lt;CM7,1,0),IF(CN7&lt;CO7,1,0),IF(CN7&lt;CP7,1,0),IF(CN7&lt;CQ7,1,0),IF(CN7&lt;CR7,1,0),IF(CN7&lt;CS7,1,0),IF(CN7&lt;CT7,1,0),IF(CN7&lt;CU7,1,0))&gt;7,"NBI ("&amp;CY7-CN7&amp;") ",""),IF(SUM(IF(CO7&lt;CK7,1,0),IF(CO7&lt;CL7,1,0),IF(CO7&lt;CN7,1,0),IF(CO7&lt;CM7,1,0),IF(CO7&lt;CP7,1,0),IF(CO7&lt;CQ7,1,0),IF(CO7&lt;CR7,1,0),IF(CO7&lt;CS7,1,0),IF(CO7&lt;CT7,1,0),IF(CO7&lt;CU7,1,0))&gt;7,"NSO ("&amp;CY7-CO7&amp;") ",""),IF(SUM(IF(CP7&lt;CK7,1,0),IF(CP7&lt;CL7,1,0),IF(CP7&lt;CN7,1,0),IF(CP7&lt;CO7,1,0),IF(CP7&lt;CM7,1,0),IF(CP7&lt;CQ7,1,0),IF(CP7&lt;CR7,1,0),IF(CP7&lt;CS7,1,0),IF(CP7&lt;CT7,1,0),IF(CP7&lt;CU7,1,0))&gt;7,"Info ("&amp;CY7-CP7&amp;") ",""),IF(SUM(IF(CQ7&lt;CK7,1,0),IF(CQ7&lt;CL7,1,0),IF(CQ7&lt;CN7,1,0),IF(CQ7&lt;CO7,1,0),IF(CQ7&lt;CP7,1,0),IF(CQ7&lt;CM7,1,0),IF(CQ7&lt;CR7,1,0),IF(CQ7&lt;CS7,1,0),IF(CQ7&lt;CT7,1,0),IF(CQ7&lt;CU7,1,0))&gt;7,"AWOL ("&amp;CY7-CQ7&amp;") ",""),IF(SUM(IF(CR7&lt;CK7,1,0),IF(CR7&lt;CL7,1,0),IF(CR7&lt;CN7,1,0),IF(CR7&lt;CO7,1,0),IF(CR7&lt;CP7,1,0),IF(CR7&lt;CQ7,1,0),IF(CR7&lt;CM7,1,0),IF(CR7&lt;CS7,1,0),IF(CR7&lt;CT7,1,0),IF(CR7&lt;CU7,1,0))&gt;7,"Hand ("&amp;CY7-CR7&amp;") ",""),IF(SUM(IF(CS7&lt;CK7,1,0),IF(CS7&lt;CL7,1,0),IF(CS7&lt;CN7,1,0),IF(CS7&lt;CO7,1,0),IF(CS7&lt;CP7,1,0),IF(CS7&lt;CQ7,1,0),IF(CS7&lt;CR7,1,0),IF(CS7&lt;CM7,1,0),IF(CS7&lt;CT7,1,0),IF(CS7&lt;CU7,1,0))&gt;7,"Waiver ("&amp;CY7-CS7&amp;") ",""),IF(SUM(IF(CT7&lt;CK7,1,0),IF(CT7&lt;CL7,1,0),IF(CT7&lt;CN7,1,0),IF(CT7&lt;CO7,1,0),IF(CT7&lt;CP7,1,0),IF(CT7&lt;CQ7,1,0),IF(CT7&lt;CR7,1,0),IF(CT7&lt;CS7,1,0),IF(CT7&lt;CM7,1,0),IF(CT7&lt;CU7,1,0))&gt;7,"TIN ("&amp;CY7-CT7&amp;") ",""),IF(SUM(IF(CU7&lt;CK7,1,0),IF(CU7&lt;CL7,1,0),IF(CU7&lt;CN7,1,0),IF(CU7&lt;CO7,1,0),IF(CU7&lt;CP7,1,0),IF(CU7&lt;CQ7,1,0),IF(CU7&lt;CR7,1,0),IF(CU7&lt;CS7,1,0),IF(CU7&lt;CT7,1,0),IF(CU7&lt;CM7,1,0))&gt;7,"1905 ("&amp;CY7-CU7&amp;") ",""))))</f>
        <v/>
      </c>
      <c r="CI7" s="508" t="str">
        <f>IF(CA7="","",CJ7)</f>
        <v/>
      </c>
      <c r="CJ7" s="508" t="str">
        <f t="shared" ref="CJ7:CJ70" si="16">IF(CA6="",IF(IF(CJ6="",0,CJ6)&gt;L7,IF(CJ6="","",CJ6),IF(L7="","",L7)),IF(L7="","",L7))</f>
        <v/>
      </c>
      <c r="CK7" s="488">
        <f t="shared" ref="CK7:CK70" si="17">IF(CB6="",CK6+IF(IF(O7="n",0,COUNT(BC7))=1,1,0),IF(IF(O7="n",0,COUNT(BC7))=1,1,0))</f>
        <v>1</v>
      </c>
      <c r="CL7" s="488">
        <f t="shared" ref="CL7:CL70" si="18">IF(CB6="",CL6+IF(IF(O7="n",0,COUNT(BE7))=1,1,0),IF(IF(O7="n",0,COUNT(BE7))=1,1,0))</f>
        <v>1</v>
      </c>
      <c r="CM7" s="488">
        <f t="shared" ref="CM7:CM70" si="19">IF(CB6="",CM6+IF(IF(O7="n",0,COUNT(BG7))=1,1,0),IF(IF(O7="n",0,COUNT(BG7))=1,1,0))</f>
        <v>1</v>
      </c>
      <c r="CN7" s="488">
        <f t="shared" ref="CN7:CN70" si="20">IF(CB6="",CN6+IF(IF(O7="n",0,COUNT(BJ7))=1,1,0),IF(IF(O7="n",0,COUNT(BJ7))=1,1,0))</f>
        <v>1</v>
      </c>
      <c r="CO7" s="488">
        <f t="shared" ref="CO7:CO70" si="21">IF(CB6="",CO6+IF(IF(O7="n",0,COUNT(BM7))=1,1,0),IF(IF(O7="n",0,COUNT(BM7))=1,1,0))</f>
        <v>1</v>
      </c>
      <c r="CP7" s="488">
        <f t="shared" ref="CP7:CP70" si="22">IF(CB6="",CP6+IF(IF(O7="n",0,COUNT(AS7))=1,1,0),IF(IF(O7="n",0,COUNT(AS7))=1,1,0))</f>
        <v>1</v>
      </c>
      <c r="CQ7" s="488">
        <f t="shared" ref="CQ7:CQ70" si="23">IF(CB6="",CQ6+IF(IF(O7="n",0,COUNT(AT7))=1,1,0),IF(IF(O7="n",0,COUNT(AT7))=1,1,0))</f>
        <v>1</v>
      </c>
      <c r="CR7" s="488">
        <f t="shared" ref="CR7:CR70" si="24">IF(CB6="",CR6+IF(IF(O7="n",0,COUNT(AU7))=1,1,0),IF(IF(O7="n",0,COUNT(AU7))=1,1,0))</f>
        <v>1</v>
      </c>
      <c r="CS7" s="488">
        <f t="shared" ref="CS7:CS70" si="25">IF(CB6="",CS6+IF(IF(O7="n",0,COUNT(AV7))=1,1,0),IF(IF(O7="n",0,COUNT(AV7))=1,1,0))</f>
        <v>1</v>
      </c>
      <c r="CT7" s="488">
        <f t="shared" ref="CT7:CT38" si="26">IF(CB6="",CT6+IF(IF(O7="n",0,COUNT(AW7))=1,1,0),IF(IF(O7="n",0,COUNT(AW7))=1,1,0))</f>
        <v>1</v>
      </c>
      <c r="CU7" s="488">
        <f t="shared" ref="CU7:CU38" si="27">IF(CB6="",CU6+IF(IF(O7="n",0,COUNT(AZ7))=1,1,0),IF(IF(O7="n",0,COUNT(AZ7))=1,1,0))</f>
        <v>1</v>
      </c>
      <c r="CV7" s="488">
        <f t="shared" ref="CV7:CV38" si="28">IF(CB6="",CV6+IF(IF(O7="n",0,COUNT(BA7))=1,1,0),IF(IF(O7="n",0,COUNT(BA7))=1,1,0))</f>
        <v>1</v>
      </c>
      <c r="CW7" s="488">
        <f t="shared" ref="CW7:CW70" si="29">IF(CB6="",CW6+IF(O7="c",1,0),IF(O7="c",1,0))</f>
        <v>1</v>
      </c>
      <c r="CX7" s="488">
        <f t="shared" ref="CX7:CX70" si="30">IF(CB6="",CX6+IF(O7="n",1,0),IF(O7="n",1,0))</f>
        <v>0</v>
      </c>
      <c r="CY7" s="488">
        <f t="shared" ref="CY7:CY70" si="31">IF(CB6="",IF(O7="n",CY6,1+CY6),IF(O7="n",0,1))</f>
        <v>1</v>
      </c>
      <c r="CZ7" s="298">
        <f>IF(M7&gt;0,M7-B7,"")</f>
        <v>30</v>
      </c>
      <c r="DA7" s="298">
        <f>COUNTIFS(O7,"=c",CZ7,"&lt;31")</f>
        <v>1</v>
      </c>
      <c r="DB7" s="298">
        <f>COUNTIF(O7,"&lt;&gt;n")</f>
        <v>1</v>
      </c>
    </row>
    <row r="8" spans="1:106" s="317" customFormat="1" x14ac:dyDescent="0.25">
      <c r="A8" s="314">
        <v>179</v>
      </c>
      <c r="B8" s="315">
        <v>42016</v>
      </c>
      <c r="C8" s="316">
        <v>1082222</v>
      </c>
      <c r="D8" s="316" t="s">
        <v>72</v>
      </c>
      <c r="E8" s="316" t="str">
        <f t="shared" si="0"/>
        <v/>
      </c>
      <c r="F8" s="316" t="str">
        <f t="shared" si="1"/>
        <v xml:space="preserve">TOR, COE, </v>
      </c>
      <c r="G8" s="317" t="s">
        <v>475</v>
      </c>
      <c r="K8" s="152" t="str">
        <f t="shared" ca="1" si="7"/>
        <v/>
      </c>
      <c r="M8" s="318">
        <v>42027</v>
      </c>
      <c r="N8" s="153" t="str">
        <f t="shared" si="2"/>
        <v/>
      </c>
      <c r="O8" s="317" t="s">
        <v>302</v>
      </c>
      <c r="Q8" s="316" t="s">
        <v>75</v>
      </c>
      <c r="R8" s="319">
        <v>9178244858</v>
      </c>
      <c r="S8" s="153">
        <f t="shared" si="8"/>
        <v>9178244858</v>
      </c>
      <c r="T8" s="153" t="str">
        <f t="shared" si="3"/>
        <v/>
      </c>
      <c r="U8" s="321" t="s">
        <v>1125</v>
      </c>
      <c r="V8" s="317" t="s">
        <v>534</v>
      </c>
      <c r="W8" s="317" t="s">
        <v>532</v>
      </c>
      <c r="X8" s="317" t="s">
        <v>533</v>
      </c>
      <c r="Y8" s="316" t="s">
        <v>73</v>
      </c>
      <c r="Z8" s="316" t="s">
        <v>74</v>
      </c>
      <c r="AA8" s="316"/>
      <c r="AB8" s="316"/>
      <c r="AC8" s="316"/>
      <c r="AD8" s="316"/>
      <c r="AH8" s="320" t="s">
        <v>52</v>
      </c>
      <c r="AI8" s="316"/>
      <c r="AJ8" s="527"/>
      <c r="AK8" s="316"/>
      <c r="AL8" s="316"/>
      <c r="AM8" s="316"/>
      <c r="AN8" s="315">
        <v>33274</v>
      </c>
      <c r="AO8" s="322" t="s">
        <v>215</v>
      </c>
      <c r="AP8" s="322"/>
      <c r="AQ8" s="316" t="s">
        <v>53</v>
      </c>
      <c r="AR8" s="316"/>
      <c r="AS8" s="323">
        <v>42019</v>
      </c>
      <c r="AT8" s="324">
        <v>42017</v>
      </c>
      <c r="AU8" s="324">
        <v>42017</v>
      </c>
      <c r="AV8" s="325">
        <v>42017</v>
      </c>
      <c r="AW8" s="436">
        <v>42017</v>
      </c>
      <c r="AX8" s="316" t="s">
        <v>1621</v>
      </c>
      <c r="AZ8" s="317">
        <v>1</v>
      </c>
      <c r="BA8" s="318">
        <v>42017</v>
      </c>
      <c r="BB8" s="326"/>
      <c r="BC8" s="323">
        <v>42019</v>
      </c>
      <c r="BD8" s="327" t="s">
        <v>35</v>
      </c>
      <c r="BE8" s="328">
        <v>42045</v>
      </c>
      <c r="BF8" s="327" t="s">
        <v>735</v>
      </c>
      <c r="BG8" s="323">
        <v>42017</v>
      </c>
      <c r="BH8" s="316" t="s">
        <v>1630</v>
      </c>
      <c r="BI8" s="329">
        <v>42017</v>
      </c>
      <c r="BJ8" s="323">
        <v>42017</v>
      </c>
      <c r="BK8" s="324"/>
      <c r="BL8" s="325"/>
      <c r="BM8" s="323">
        <v>42017</v>
      </c>
      <c r="BN8" s="330"/>
      <c r="BO8" s="331"/>
      <c r="BP8" s="332">
        <v>42017</v>
      </c>
      <c r="BQ8" s="330"/>
      <c r="BR8" s="331"/>
      <c r="BS8" s="436">
        <v>42017</v>
      </c>
      <c r="BT8" s="315">
        <v>42017</v>
      </c>
      <c r="BU8" s="437">
        <v>42017</v>
      </c>
      <c r="BV8" s="333"/>
      <c r="BW8" s="499" t="str">
        <f t="shared" si="9"/>
        <v xml:space="preserve">2305 1/13/2015, MDR 1/13/2015, </v>
      </c>
      <c r="BX8" s="499">
        <f t="shared" si="4"/>
        <v>11</v>
      </c>
      <c r="BY8" s="499">
        <f t="shared" si="5"/>
        <v>11</v>
      </c>
      <c r="BZ8" s="500">
        <f t="shared" si="6"/>
        <v>1</v>
      </c>
      <c r="CA8" s="153" t="str">
        <f t="shared" si="10"/>
        <v/>
      </c>
      <c r="CB8" s="151" t="str">
        <f t="shared" ref="CB8:CB19" si="32">IFERROR(CA8*7+40763,"")</f>
        <v/>
      </c>
      <c r="CC8" s="153" t="str">
        <f t="shared" ref="CC8:CC71" ca="1" si="33">IFERROR(ROUND(IF(CB8="","",(TODAY()-CB8)/7)+1,0),"")</f>
        <v/>
      </c>
      <c r="CD8" s="153" t="str">
        <f t="shared" si="11"/>
        <v/>
      </c>
      <c r="CE8" s="153" t="str">
        <f t="shared" si="12"/>
        <v/>
      </c>
      <c r="CF8" s="396" t="str">
        <f t="shared" si="13"/>
        <v/>
      </c>
      <c r="CG8" s="397" t="str">
        <f t="shared" si="14"/>
        <v/>
      </c>
      <c r="CH8" s="153" t="str">
        <f t="shared" si="15"/>
        <v/>
      </c>
      <c r="CI8" s="151" t="str">
        <f t="shared" ref="CI8:CI71" si="34">IF(CA8="","",CJ8)</f>
        <v/>
      </c>
      <c r="CJ8" s="151" t="str">
        <f t="shared" si="16"/>
        <v/>
      </c>
      <c r="CK8" s="153">
        <f t="shared" si="17"/>
        <v>2</v>
      </c>
      <c r="CL8" s="153">
        <f t="shared" si="18"/>
        <v>2</v>
      </c>
      <c r="CM8" s="153">
        <f t="shared" si="19"/>
        <v>2</v>
      </c>
      <c r="CN8" s="153">
        <f t="shared" si="20"/>
        <v>2</v>
      </c>
      <c r="CO8" s="153">
        <f t="shared" si="21"/>
        <v>2</v>
      </c>
      <c r="CP8" s="153">
        <f t="shared" si="22"/>
        <v>2</v>
      </c>
      <c r="CQ8" s="153">
        <f t="shared" si="23"/>
        <v>2</v>
      </c>
      <c r="CR8" s="153">
        <f t="shared" si="24"/>
        <v>2</v>
      </c>
      <c r="CS8" s="153">
        <f t="shared" si="25"/>
        <v>2</v>
      </c>
      <c r="CT8" s="153">
        <f t="shared" si="26"/>
        <v>2</v>
      </c>
      <c r="CU8" s="153">
        <f t="shared" si="27"/>
        <v>2</v>
      </c>
      <c r="CV8" s="153">
        <f t="shared" si="28"/>
        <v>2</v>
      </c>
      <c r="CW8" s="153">
        <f t="shared" si="29"/>
        <v>2</v>
      </c>
      <c r="CX8" s="153">
        <f t="shared" si="30"/>
        <v>0</v>
      </c>
      <c r="CY8" s="153">
        <f t="shared" si="31"/>
        <v>2</v>
      </c>
      <c r="CZ8" s="317">
        <f t="shared" ref="CZ8:CZ71" si="35">IF(M8&gt;0,M8-B8,"")</f>
        <v>11</v>
      </c>
      <c r="DA8" s="317">
        <f t="shared" ref="DA8:DA71" si="36">COUNTIFS(O8,"=c",CZ8,"&lt;31")</f>
        <v>1</v>
      </c>
      <c r="DB8" s="317">
        <f t="shared" ref="DB8:DB71" si="37">COUNTIF(O8,"&lt;&gt;n")</f>
        <v>1</v>
      </c>
    </row>
    <row r="9" spans="1:106" s="113" customFormat="1" x14ac:dyDescent="0.25">
      <c r="A9" s="130">
        <v>179</v>
      </c>
      <c r="B9" s="12">
        <v>42016</v>
      </c>
      <c r="C9" s="11">
        <v>1082223</v>
      </c>
      <c r="D9" s="11" t="s">
        <v>76</v>
      </c>
      <c r="E9" s="11" t="str">
        <f t="shared" si="0"/>
        <v/>
      </c>
      <c r="F9" s="11" t="str">
        <f t="shared" si="1"/>
        <v/>
      </c>
      <c r="G9" s="113" t="s">
        <v>475</v>
      </c>
      <c r="K9" s="152" t="str">
        <f t="shared" ca="1" si="7"/>
        <v/>
      </c>
      <c r="N9" s="153" t="str">
        <f t="shared" si="2"/>
        <v/>
      </c>
      <c r="O9" s="113" t="s">
        <v>298</v>
      </c>
      <c r="P9" s="113" t="s">
        <v>689</v>
      </c>
      <c r="Q9" s="11" t="s">
        <v>77</v>
      </c>
      <c r="R9" s="14">
        <v>9167712071</v>
      </c>
      <c r="S9" s="153">
        <f t="shared" si="8"/>
        <v>9167712071</v>
      </c>
      <c r="T9" s="153" t="str">
        <f t="shared" si="3"/>
        <v/>
      </c>
      <c r="Y9" s="11" t="s">
        <v>73</v>
      </c>
      <c r="Z9" s="11" t="s">
        <v>70</v>
      </c>
      <c r="AA9" s="11"/>
      <c r="AB9" s="11"/>
      <c r="AC9" s="11"/>
      <c r="AD9" s="11"/>
      <c r="AH9" s="157" t="s">
        <v>52</v>
      </c>
      <c r="AI9" s="11"/>
      <c r="AJ9" s="527"/>
      <c r="AK9" s="11"/>
      <c r="AL9" s="11"/>
      <c r="AM9" s="11"/>
      <c r="AN9" s="12">
        <v>34011</v>
      </c>
      <c r="AO9" s="18" t="s">
        <v>216</v>
      </c>
      <c r="AP9" s="18"/>
      <c r="AQ9" s="11" t="s">
        <v>50</v>
      </c>
      <c r="AR9" s="11"/>
      <c r="AS9" s="163">
        <v>42019</v>
      </c>
      <c r="AT9" s="19">
        <v>42017</v>
      </c>
      <c r="AU9" s="19">
        <v>42017</v>
      </c>
      <c r="AV9" s="176">
        <v>42017</v>
      </c>
      <c r="AW9" s="190"/>
      <c r="AX9" s="11" t="s">
        <v>49</v>
      </c>
      <c r="BA9" s="129">
        <v>42017</v>
      </c>
      <c r="BB9" s="182"/>
      <c r="BC9" s="163">
        <v>42017</v>
      </c>
      <c r="BD9" s="184" t="s">
        <v>36</v>
      </c>
      <c r="BE9" s="160"/>
      <c r="BF9" s="184" t="s">
        <v>49</v>
      </c>
      <c r="BG9" s="160"/>
      <c r="BH9" s="11" t="s">
        <v>49</v>
      </c>
      <c r="BI9" s="182"/>
      <c r="BJ9" s="160"/>
      <c r="BK9" s="125"/>
      <c r="BL9" s="173"/>
      <c r="BM9" s="163">
        <v>42017</v>
      </c>
      <c r="BN9" s="125"/>
      <c r="BO9" s="173"/>
      <c r="BP9" s="187">
        <v>42017</v>
      </c>
      <c r="BQ9" s="19">
        <v>42017</v>
      </c>
      <c r="BR9" s="176">
        <v>42019</v>
      </c>
      <c r="BS9" s="438">
        <v>42017</v>
      </c>
      <c r="BT9" s="12">
        <v>42017</v>
      </c>
      <c r="BU9" s="439">
        <v>42017</v>
      </c>
      <c r="BV9" s="254"/>
      <c r="BW9" s="499" t="str">
        <f t="shared" si="9"/>
        <v xml:space="preserve">2305 (for processing) 1/13/2015, </v>
      </c>
      <c r="BX9" s="499" t="str">
        <f t="shared" si="4"/>
        <v/>
      </c>
      <c r="BY9" s="499" t="str">
        <f t="shared" si="5"/>
        <v/>
      </c>
      <c r="BZ9" s="500" t="str">
        <f t="shared" si="6"/>
        <v/>
      </c>
      <c r="CA9" s="153" t="str">
        <f t="shared" si="10"/>
        <v/>
      </c>
      <c r="CB9" s="151" t="str">
        <f t="shared" si="32"/>
        <v/>
      </c>
      <c r="CC9" s="153" t="str">
        <f t="shared" ca="1" si="33"/>
        <v/>
      </c>
      <c r="CD9" s="153" t="str">
        <f t="shared" si="11"/>
        <v/>
      </c>
      <c r="CE9" s="153" t="str">
        <f t="shared" si="12"/>
        <v/>
      </c>
      <c r="CF9" s="396" t="str">
        <f t="shared" si="13"/>
        <v/>
      </c>
      <c r="CG9" s="397" t="str">
        <f t="shared" si="14"/>
        <v/>
      </c>
      <c r="CH9" s="153" t="str">
        <f t="shared" si="15"/>
        <v/>
      </c>
      <c r="CI9" s="151" t="str">
        <f t="shared" si="34"/>
        <v/>
      </c>
      <c r="CJ9" s="151" t="str">
        <f t="shared" si="16"/>
        <v/>
      </c>
      <c r="CK9" s="153">
        <f t="shared" si="17"/>
        <v>2</v>
      </c>
      <c r="CL9" s="153">
        <f t="shared" si="18"/>
        <v>2</v>
      </c>
      <c r="CM9" s="153">
        <f t="shared" si="19"/>
        <v>2</v>
      </c>
      <c r="CN9" s="153">
        <f t="shared" si="20"/>
        <v>2</v>
      </c>
      <c r="CO9" s="153">
        <f t="shared" si="21"/>
        <v>2</v>
      </c>
      <c r="CP9" s="153">
        <f t="shared" si="22"/>
        <v>2</v>
      </c>
      <c r="CQ9" s="153">
        <f t="shared" si="23"/>
        <v>2</v>
      </c>
      <c r="CR9" s="153">
        <f t="shared" si="24"/>
        <v>2</v>
      </c>
      <c r="CS9" s="153">
        <f t="shared" si="25"/>
        <v>2</v>
      </c>
      <c r="CT9" s="153">
        <f t="shared" si="26"/>
        <v>2</v>
      </c>
      <c r="CU9" s="153">
        <f t="shared" si="27"/>
        <v>2</v>
      </c>
      <c r="CV9" s="153">
        <f t="shared" si="28"/>
        <v>2</v>
      </c>
      <c r="CW9" s="153">
        <f t="shared" si="29"/>
        <v>2</v>
      </c>
      <c r="CX9" s="153">
        <f t="shared" si="30"/>
        <v>1</v>
      </c>
      <c r="CY9" s="153">
        <f t="shared" si="31"/>
        <v>2</v>
      </c>
      <c r="CZ9" s="113" t="str">
        <f t="shared" si="35"/>
        <v/>
      </c>
      <c r="DA9" s="113">
        <f t="shared" si="36"/>
        <v>0</v>
      </c>
      <c r="DB9" s="113">
        <f t="shared" si="37"/>
        <v>0</v>
      </c>
    </row>
    <row r="10" spans="1:106" s="113" customFormat="1" x14ac:dyDescent="0.25">
      <c r="A10" s="130">
        <v>179</v>
      </c>
      <c r="B10" s="12">
        <v>42016</v>
      </c>
      <c r="C10" s="11">
        <v>1082224</v>
      </c>
      <c r="D10" s="11" t="s">
        <v>78</v>
      </c>
      <c r="E10" s="11" t="str">
        <f t="shared" si="0"/>
        <v/>
      </c>
      <c r="F10" s="11" t="str">
        <f t="shared" si="1"/>
        <v/>
      </c>
      <c r="G10" s="113" t="s">
        <v>475</v>
      </c>
      <c r="K10" s="152" t="str">
        <f t="shared" ca="1" si="7"/>
        <v/>
      </c>
      <c r="N10" s="153" t="str">
        <f t="shared" si="2"/>
        <v/>
      </c>
      <c r="O10" s="113" t="s">
        <v>298</v>
      </c>
      <c r="P10" s="113" t="s">
        <v>689</v>
      </c>
      <c r="Q10" s="11" t="s">
        <v>79</v>
      </c>
      <c r="R10" s="14">
        <v>9279654797</v>
      </c>
      <c r="S10" s="153">
        <f t="shared" si="8"/>
        <v>9279654797</v>
      </c>
      <c r="T10" s="153" t="str">
        <f t="shared" si="3"/>
        <v/>
      </c>
      <c r="Y10" s="11" t="s">
        <v>73</v>
      </c>
      <c r="Z10" s="11" t="s">
        <v>74</v>
      </c>
      <c r="AA10" s="11"/>
      <c r="AB10" s="11"/>
      <c r="AC10" s="11"/>
      <c r="AD10" s="11"/>
      <c r="AH10" s="157" t="s">
        <v>47</v>
      </c>
      <c r="AI10" s="11"/>
      <c r="AJ10" s="527"/>
      <c r="AK10" s="11"/>
      <c r="AL10" s="11"/>
      <c r="AM10" s="11"/>
      <c r="AN10" s="12">
        <v>32855</v>
      </c>
      <c r="AO10" s="18" t="s">
        <v>217</v>
      </c>
      <c r="AP10" s="18"/>
      <c r="AQ10" s="11" t="s">
        <v>53</v>
      </c>
      <c r="AR10" s="11"/>
      <c r="AS10" s="160"/>
      <c r="AT10" s="125"/>
      <c r="AU10" s="125"/>
      <c r="AV10" s="173"/>
      <c r="AW10" s="190"/>
      <c r="AX10" s="11" t="s">
        <v>49</v>
      </c>
      <c r="BA10" s="129">
        <v>42017</v>
      </c>
      <c r="BB10" s="182"/>
      <c r="BC10" s="160"/>
      <c r="BD10" s="184" t="s">
        <v>49</v>
      </c>
      <c r="BE10" s="160"/>
      <c r="BF10" s="184" t="s">
        <v>49</v>
      </c>
      <c r="BG10" s="160"/>
      <c r="BH10" s="11" t="s">
        <v>49</v>
      </c>
      <c r="BI10" s="182"/>
      <c r="BJ10" s="160"/>
      <c r="BK10" s="125"/>
      <c r="BL10" s="173"/>
      <c r="BM10" s="160"/>
      <c r="BN10" s="125"/>
      <c r="BO10" s="173"/>
      <c r="BP10" s="165"/>
      <c r="BQ10" s="125"/>
      <c r="BR10" s="173"/>
      <c r="BS10" s="438">
        <v>42017</v>
      </c>
      <c r="BT10" s="12">
        <v>42017</v>
      </c>
      <c r="BU10" s="439">
        <v>42017</v>
      </c>
      <c r="BV10" s="254"/>
      <c r="BW10" s="499" t="str">
        <f t="shared" si="9"/>
        <v xml:space="preserve">2305 (for processing) 1/13/2015, </v>
      </c>
      <c r="BX10" s="499" t="str">
        <f t="shared" si="4"/>
        <v/>
      </c>
      <c r="BY10" s="499" t="str">
        <f t="shared" si="5"/>
        <v/>
      </c>
      <c r="BZ10" s="500" t="str">
        <f t="shared" si="6"/>
        <v/>
      </c>
      <c r="CA10" s="153" t="str">
        <f t="shared" si="10"/>
        <v/>
      </c>
      <c r="CB10" s="151" t="str">
        <f t="shared" si="32"/>
        <v/>
      </c>
      <c r="CC10" s="153" t="str">
        <f t="shared" ca="1" si="33"/>
        <v/>
      </c>
      <c r="CD10" s="153" t="str">
        <f t="shared" si="11"/>
        <v/>
      </c>
      <c r="CE10" s="153" t="str">
        <f t="shared" si="12"/>
        <v/>
      </c>
      <c r="CF10" s="396" t="str">
        <f t="shared" si="13"/>
        <v/>
      </c>
      <c r="CG10" s="397" t="str">
        <f t="shared" si="14"/>
        <v/>
      </c>
      <c r="CH10" s="153" t="str">
        <f t="shared" si="15"/>
        <v/>
      </c>
      <c r="CI10" s="151" t="str">
        <f t="shared" si="34"/>
        <v/>
      </c>
      <c r="CJ10" s="151" t="str">
        <f t="shared" si="16"/>
        <v/>
      </c>
      <c r="CK10" s="153">
        <f t="shared" si="17"/>
        <v>2</v>
      </c>
      <c r="CL10" s="153">
        <f t="shared" si="18"/>
        <v>2</v>
      </c>
      <c r="CM10" s="153">
        <f t="shared" si="19"/>
        <v>2</v>
      </c>
      <c r="CN10" s="153">
        <f t="shared" si="20"/>
        <v>2</v>
      </c>
      <c r="CO10" s="153">
        <f t="shared" si="21"/>
        <v>2</v>
      </c>
      <c r="CP10" s="153">
        <f t="shared" si="22"/>
        <v>2</v>
      </c>
      <c r="CQ10" s="153">
        <f t="shared" si="23"/>
        <v>2</v>
      </c>
      <c r="CR10" s="153">
        <f t="shared" si="24"/>
        <v>2</v>
      </c>
      <c r="CS10" s="153">
        <f t="shared" si="25"/>
        <v>2</v>
      </c>
      <c r="CT10" s="153">
        <f t="shared" si="26"/>
        <v>2</v>
      </c>
      <c r="CU10" s="153">
        <f t="shared" si="27"/>
        <v>2</v>
      </c>
      <c r="CV10" s="153">
        <f t="shared" si="28"/>
        <v>2</v>
      </c>
      <c r="CW10" s="153">
        <f t="shared" si="29"/>
        <v>2</v>
      </c>
      <c r="CX10" s="153">
        <f t="shared" si="30"/>
        <v>2</v>
      </c>
      <c r="CY10" s="153">
        <f t="shared" si="31"/>
        <v>2</v>
      </c>
      <c r="CZ10" s="113" t="str">
        <f t="shared" si="35"/>
        <v/>
      </c>
      <c r="DA10" s="113">
        <f t="shared" si="36"/>
        <v>0</v>
      </c>
      <c r="DB10" s="113">
        <f t="shared" si="37"/>
        <v>0</v>
      </c>
    </row>
    <row r="11" spans="1:106" s="113" customFormat="1" x14ac:dyDescent="0.25">
      <c r="A11" s="130">
        <v>179</v>
      </c>
      <c r="B11" s="12">
        <v>42016</v>
      </c>
      <c r="C11" s="11">
        <v>1082225</v>
      </c>
      <c r="D11" s="11" t="s">
        <v>80</v>
      </c>
      <c r="E11" s="11" t="str">
        <f t="shared" si="0"/>
        <v/>
      </c>
      <c r="F11" s="11" t="str">
        <f t="shared" si="1"/>
        <v/>
      </c>
      <c r="G11" s="113" t="s">
        <v>475</v>
      </c>
      <c r="K11" s="152" t="str">
        <f t="shared" ca="1" si="7"/>
        <v/>
      </c>
      <c r="N11" s="153" t="str">
        <f t="shared" si="2"/>
        <v/>
      </c>
      <c r="O11" s="113" t="s">
        <v>298</v>
      </c>
      <c r="P11" s="113" t="s">
        <v>689</v>
      </c>
      <c r="Q11" s="11" t="s">
        <v>49</v>
      </c>
      <c r="R11" s="14">
        <v>9152130444</v>
      </c>
      <c r="S11" s="153">
        <f t="shared" si="8"/>
        <v>9152130444</v>
      </c>
      <c r="T11" s="153" t="str">
        <f t="shared" si="3"/>
        <v/>
      </c>
      <c r="Y11" s="11" t="s">
        <v>73</v>
      </c>
      <c r="Z11" s="11" t="s">
        <v>70</v>
      </c>
      <c r="AA11" s="11"/>
      <c r="AB11" s="11"/>
      <c r="AC11" s="11"/>
      <c r="AD11" s="11"/>
      <c r="AH11" s="157" t="s">
        <v>52</v>
      </c>
      <c r="AI11" s="11"/>
      <c r="AJ11" s="527"/>
      <c r="AK11" s="11"/>
      <c r="AL11" s="11"/>
      <c r="AM11" s="11"/>
      <c r="AN11" s="12">
        <v>30806</v>
      </c>
      <c r="AO11" s="18" t="s">
        <v>218</v>
      </c>
      <c r="AP11" s="18"/>
      <c r="AQ11" s="11" t="s">
        <v>49</v>
      </c>
      <c r="AR11" s="11"/>
      <c r="AS11" s="160"/>
      <c r="AT11" s="125"/>
      <c r="AU11" s="125"/>
      <c r="AV11" s="173"/>
      <c r="AW11" s="190"/>
      <c r="AX11" s="11" t="s">
        <v>49</v>
      </c>
      <c r="BA11" s="129">
        <v>42017</v>
      </c>
      <c r="BB11" s="177"/>
      <c r="BC11" s="160"/>
      <c r="BD11" s="184" t="s">
        <v>49</v>
      </c>
      <c r="BE11" s="160"/>
      <c r="BF11" s="184" t="s">
        <v>49</v>
      </c>
      <c r="BG11" s="160"/>
      <c r="BH11" s="11" t="s">
        <v>49</v>
      </c>
      <c r="BI11" s="182"/>
      <c r="BJ11" s="160"/>
      <c r="BK11" s="125"/>
      <c r="BL11" s="173"/>
      <c r="BM11" s="160"/>
      <c r="BN11" s="125"/>
      <c r="BO11" s="173"/>
      <c r="BP11" s="165"/>
      <c r="BQ11" s="125"/>
      <c r="BR11" s="173"/>
      <c r="BS11" s="438">
        <v>42017</v>
      </c>
      <c r="BT11" s="12">
        <v>42017</v>
      </c>
      <c r="BU11" s="439">
        <v>42017</v>
      </c>
      <c r="BV11" s="254"/>
      <c r="BW11" s="499" t="str">
        <f t="shared" si="9"/>
        <v xml:space="preserve">2305 (for processing) 1/13/2015, </v>
      </c>
      <c r="BX11" s="499" t="str">
        <f t="shared" si="4"/>
        <v/>
      </c>
      <c r="BY11" s="499" t="str">
        <f t="shared" si="5"/>
        <v/>
      </c>
      <c r="BZ11" s="500" t="str">
        <f t="shared" si="6"/>
        <v/>
      </c>
      <c r="CA11" s="153" t="str">
        <f t="shared" si="10"/>
        <v/>
      </c>
      <c r="CB11" s="151" t="str">
        <f t="shared" si="32"/>
        <v/>
      </c>
      <c r="CC11" s="153" t="str">
        <f t="shared" ca="1" si="33"/>
        <v/>
      </c>
      <c r="CD11" s="153" t="str">
        <f t="shared" si="11"/>
        <v/>
      </c>
      <c r="CE11" s="153" t="str">
        <f t="shared" si="12"/>
        <v/>
      </c>
      <c r="CF11" s="396" t="str">
        <f t="shared" si="13"/>
        <v/>
      </c>
      <c r="CG11" s="397" t="str">
        <f t="shared" si="14"/>
        <v/>
      </c>
      <c r="CH11" s="153" t="str">
        <f t="shared" si="15"/>
        <v/>
      </c>
      <c r="CI11" s="151" t="str">
        <f t="shared" si="34"/>
        <v/>
      </c>
      <c r="CJ11" s="151" t="str">
        <f t="shared" si="16"/>
        <v/>
      </c>
      <c r="CK11" s="153">
        <f t="shared" si="17"/>
        <v>2</v>
      </c>
      <c r="CL11" s="153">
        <f t="shared" si="18"/>
        <v>2</v>
      </c>
      <c r="CM11" s="153">
        <f t="shared" si="19"/>
        <v>2</v>
      </c>
      <c r="CN11" s="153">
        <f t="shared" si="20"/>
        <v>2</v>
      </c>
      <c r="CO11" s="153">
        <f t="shared" si="21"/>
        <v>2</v>
      </c>
      <c r="CP11" s="153">
        <f t="shared" si="22"/>
        <v>2</v>
      </c>
      <c r="CQ11" s="153">
        <f t="shared" si="23"/>
        <v>2</v>
      </c>
      <c r="CR11" s="153">
        <f t="shared" si="24"/>
        <v>2</v>
      </c>
      <c r="CS11" s="153">
        <f t="shared" si="25"/>
        <v>2</v>
      </c>
      <c r="CT11" s="153">
        <f t="shared" si="26"/>
        <v>2</v>
      </c>
      <c r="CU11" s="153">
        <f t="shared" si="27"/>
        <v>2</v>
      </c>
      <c r="CV11" s="153">
        <f t="shared" si="28"/>
        <v>2</v>
      </c>
      <c r="CW11" s="153">
        <f t="shared" si="29"/>
        <v>2</v>
      </c>
      <c r="CX11" s="153">
        <f t="shared" si="30"/>
        <v>3</v>
      </c>
      <c r="CY11" s="153">
        <f t="shared" si="31"/>
        <v>2</v>
      </c>
      <c r="CZ11" s="113" t="str">
        <f t="shared" si="35"/>
        <v/>
      </c>
      <c r="DA11" s="113">
        <f t="shared" si="36"/>
        <v>0</v>
      </c>
      <c r="DB11" s="113">
        <f t="shared" si="37"/>
        <v>0</v>
      </c>
    </row>
    <row r="12" spans="1:106" s="113" customFormat="1" x14ac:dyDescent="0.25">
      <c r="A12" s="130">
        <v>179</v>
      </c>
      <c r="B12" s="12">
        <v>42016</v>
      </c>
      <c r="C12" s="11">
        <v>1082226</v>
      </c>
      <c r="D12" s="11" t="s">
        <v>81</v>
      </c>
      <c r="E12" s="11" t="str">
        <f t="shared" si="0"/>
        <v/>
      </c>
      <c r="F12" s="11" t="str">
        <f t="shared" si="1"/>
        <v/>
      </c>
      <c r="G12" s="113" t="s">
        <v>475</v>
      </c>
      <c r="K12" s="152" t="str">
        <f t="shared" ca="1" si="7"/>
        <v/>
      </c>
      <c r="N12" s="153" t="str">
        <f t="shared" si="2"/>
        <v/>
      </c>
      <c r="O12" s="113" t="s">
        <v>298</v>
      </c>
      <c r="P12" s="113" t="s">
        <v>689</v>
      </c>
      <c r="Q12" s="11" t="s">
        <v>82</v>
      </c>
      <c r="R12" s="14">
        <v>9772146623</v>
      </c>
      <c r="S12" s="153">
        <f t="shared" si="8"/>
        <v>9772146623</v>
      </c>
      <c r="T12" s="153" t="str">
        <f t="shared" si="3"/>
        <v/>
      </c>
      <c r="U12" s="113" t="s">
        <v>449</v>
      </c>
      <c r="Y12" s="11" t="s">
        <v>73</v>
      </c>
      <c r="Z12" s="11" t="s">
        <v>70</v>
      </c>
      <c r="AA12" s="11"/>
      <c r="AB12" s="11"/>
      <c r="AC12" s="11"/>
      <c r="AD12" s="11"/>
      <c r="AH12" s="157" t="s">
        <v>52</v>
      </c>
      <c r="AI12" s="11"/>
      <c r="AJ12" s="527"/>
      <c r="AK12" s="11"/>
      <c r="AL12" s="11"/>
      <c r="AM12" s="11"/>
      <c r="AN12" s="12">
        <v>31233</v>
      </c>
      <c r="AO12" s="18" t="s">
        <v>219</v>
      </c>
      <c r="AP12" s="18"/>
      <c r="AQ12" s="11" t="s">
        <v>50</v>
      </c>
      <c r="AR12" s="11"/>
      <c r="AS12" s="163">
        <v>42025</v>
      </c>
      <c r="AT12" s="19">
        <v>42025</v>
      </c>
      <c r="AU12" s="19">
        <v>42025</v>
      </c>
      <c r="AV12" s="176">
        <v>42017</v>
      </c>
      <c r="AW12" s="190"/>
      <c r="AX12" s="11" t="s">
        <v>49</v>
      </c>
      <c r="BB12" s="177"/>
      <c r="BC12" s="163">
        <v>42025</v>
      </c>
      <c r="BD12" s="184" t="s">
        <v>2776</v>
      </c>
      <c r="BE12" s="163">
        <v>42025</v>
      </c>
      <c r="BF12" s="184" t="s">
        <v>38</v>
      </c>
      <c r="BG12" s="163">
        <v>42025</v>
      </c>
      <c r="BH12" s="11" t="s">
        <v>37</v>
      </c>
      <c r="BI12" s="182"/>
      <c r="BJ12" s="160"/>
      <c r="BK12" s="125"/>
      <c r="BL12" s="173"/>
      <c r="BM12" s="163">
        <v>42025</v>
      </c>
      <c r="BN12" s="125"/>
      <c r="BO12" s="173"/>
      <c r="BP12" s="165"/>
      <c r="BQ12" s="125"/>
      <c r="BR12" s="176">
        <v>42025</v>
      </c>
      <c r="BS12" s="190">
        <v>42024</v>
      </c>
      <c r="BT12" s="191">
        <v>42024</v>
      </c>
      <c r="BU12" s="192">
        <v>42024</v>
      </c>
      <c r="BV12" s="192"/>
      <c r="BW12" s="497" t="str">
        <f t="shared" si="9"/>
        <v/>
      </c>
      <c r="BX12" s="497" t="str">
        <f t="shared" si="4"/>
        <v/>
      </c>
      <c r="BY12" s="497" t="str">
        <f t="shared" si="5"/>
        <v/>
      </c>
      <c r="BZ12" s="498" t="str">
        <f t="shared" si="6"/>
        <v/>
      </c>
      <c r="CA12" s="153" t="str">
        <f t="shared" si="10"/>
        <v/>
      </c>
      <c r="CB12" s="151" t="str">
        <f t="shared" si="32"/>
        <v/>
      </c>
      <c r="CC12" s="153" t="str">
        <f t="shared" ca="1" si="33"/>
        <v/>
      </c>
      <c r="CD12" s="153" t="str">
        <f t="shared" si="11"/>
        <v/>
      </c>
      <c r="CE12" s="153" t="str">
        <f t="shared" si="12"/>
        <v/>
      </c>
      <c r="CF12" s="396" t="str">
        <f t="shared" si="13"/>
        <v/>
      </c>
      <c r="CG12" s="397" t="str">
        <f t="shared" si="14"/>
        <v/>
      </c>
      <c r="CH12" s="153" t="str">
        <f t="shared" si="15"/>
        <v/>
      </c>
      <c r="CI12" s="151" t="str">
        <f t="shared" si="34"/>
        <v/>
      </c>
      <c r="CJ12" s="151" t="str">
        <f t="shared" si="16"/>
        <v/>
      </c>
      <c r="CK12" s="153">
        <f t="shared" si="17"/>
        <v>2</v>
      </c>
      <c r="CL12" s="153">
        <f t="shared" si="18"/>
        <v>2</v>
      </c>
      <c r="CM12" s="153">
        <f t="shared" si="19"/>
        <v>2</v>
      </c>
      <c r="CN12" s="153">
        <f t="shared" si="20"/>
        <v>2</v>
      </c>
      <c r="CO12" s="153">
        <f t="shared" si="21"/>
        <v>2</v>
      </c>
      <c r="CP12" s="153">
        <f t="shared" si="22"/>
        <v>2</v>
      </c>
      <c r="CQ12" s="153">
        <f t="shared" si="23"/>
        <v>2</v>
      </c>
      <c r="CR12" s="153">
        <f t="shared" si="24"/>
        <v>2</v>
      </c>
      <c r="CS12" s="153">
        <f t="shared" si="25"/>
        <v>2</v>
      </c>
      <c r="CT12" s="153">
        <f t="shared" si="26"/>
        <v>2</v>
      </c>
      <c r="CU12" s="153">
        <f t="shared" si="27"/>
        <v>2</v>
      </c>
      <c r="CV12" s="153">
        <f t="shared" si="28"/>
        <v>2</v>
      </c>
      <c r="CW12" s="153">
        <f t="shared" si="29"/>
        <v>2</v>
      </c>
      <c r="CX12" s="153">
        <f t="shared" si="30"/>
        <v>4</v>
      </c>
      <c r="CY12" s="153">
        <f t="shared" si="31"/>
        <v>2</v>
      </c>
      <c r="CZ12" s="113" t="str">
        <f t="shared" si="35"/>
        <v/>
      </c>
      <c r="DA12" s="113">
        <f t="shared" si="36"/>
        <v>0</v>
      </c>
      <c r="DB12" s="113">
        <f t="shared" si="37"/>
        <v>0</v>
      </c>
    </row>
    <row r="13" spans="1:106" s="113" customFormat="1" x14ac:dyDescent="0.25">
      <c r="A13" s="130">
        <v>179</v>
      </c>
      <c r="B13" s="12">
        <v>42016</v>
      </c>
      <c r="C13" s="11">
        <v>1082227</v>
      </c>
      <c r="D13" s="11" t="s">
        <v>83</v>
      </c>
      <c r="E13" s="11" t="str">
        <f t="shared" si="0"/>
        <v/>
      </c>
      <c r="F13" s="11" t="str">
        <f t="shared" si="1"/>
        <v/>
      </c>
      <c r="G13" s="113" t="s">
        <v>475</v>
      </c>
      <c r="K13" s="152" t="str">
        <f t="shared" ca="1" si="7"/>
        <v/>
      </c>
      <c r="M13" s="129">
        <v>42018</v>
      </c>
      <c r="N13" s="153" t="str">
        <f t="shared" si="2"/>
        <v/>
      </c>
      <c r="O13" s="113" t="s">
        <v>298</v>
      </c>
      <c r="P13" s="113" t="s">
        <v>689</v>
      </c>
      <c r="Q13" s="11" t="s">
        <v>84</v>
      </c>
      <c r="R13" s="14">
        <v>9173076750</v>
      </c>
      <c r="S13" s="153">
        <f t="shared" si="8"/>
        <v>9173076750</v>
      </c>
      <c r="T13" s="153" t="str">
        <f t="shared" si="3"/>
        <v/>
      </c>
      <c r="U13" s="113" t="s">
        <v>459</v>
      </c>
      <c r="Y13" s="11" t="s">
        <v>73</v>
      </c>
      <c r="Z13" s="11" t="s">
        <v>74</v>
      </c>
      <c r="AA13" s="11"/>
      <c r="AB13" s="11"/>
      <c r="AC13" s="11"/>
      <c r="AD13" s="11"/>
      <c r="AH13" s="157" t="s">
        <v>52</v>
      </c>
      <c r="AI13" s="11"/>
      <c r="AJ13" s="527"/>
      <c r="AK13" s="11"/>
      <c r="AL13" s="11"/>
      <c r="AM13" s="11"/>
      <c r="AN13" s="12">
        <v>31681</v>
      </c>
      <c r="AO13" s="18" t="s">
        <v>220</v>
      </c>
      <c r="AP13" s="18"/>
      <c r="AQ13" s="11" t="s">
        <v>53</v>
      </c>
      <c r="AR13" s="11"/>
      <c r="AS13" s="163">
        <v>42017</v>
      </c>
      <c r="AT13" s="19">
        <v>42017</v>
      </c>
      <c r="AU13" s="19">
        <v>42017</v>
      </c>
      <c r="AV13" s="176">
        <v>42017</v>
      </c>
      <c r="AW13" s="438">
        <v>42017</v>
      </c>
      <c r="AX13" s="11" t="s">
        <v>1622</v>
      </c>
      <c r="AZ13" s="113">
        <v>1</v>
      </c>
      <c r="BA13" s="129">
        <v>42017</v>
      </c>
      <c r="BB13" s="177"/>
      <c r="BC13" s="163">
        <v>42017</v>
      </c>
      <c r="BD13" s="184" t="s">
        <v>2775</v>
      </c>
      <c r="BE13" s="163">
        <v>42017</v>
      </c>
      <c r="BF13" s="184" t="s">
        <v>2783</v>
      </c>
      <c r="BG13" s="163">
        <v>42017</v>
      </c>
      <c r="BH13" s="11" t="s">
        <v>1631</v>
      </c>
      <c r="BI13" s="177">
        <v>42017</v>
      </c>
      <c r="BJ13" s="163">
        <v>42017</v>
      </c>
      <c r="BK13" s="19"/>
      <c r="BL13" s="176"/>
      <c r="BM13" s="163">
        <v>42017</v>
      </c>
      <c r="BN13" s="125"/>
      <c r="BO13" s="173"/>
      <c r="BP13" s="187">
        <v>42017</v>
      </c>
      <c r="BQ13" s="19">
        <v>42017</v>
      </c>
      <c r="BR13" s="176">
        <v>42017</v>
      </c>
      <c r="BS13" s="438">
        <v>42017</v>
      </c>
      <c r="BT13" s="12">
        <v>42017</v>
      </c>
      <c r="BU13" s="439">
        <v>42017</v>
      </c>
      <c r="BV13" s="254"/>
      <c r="BW13" s="499" t="str">
        <f t="shared" si="9"/>
        <v xml:space="preserve">2305 1/13/2015, MDR 1/13/2015, </v>
      </c>
      <c r="BX13" s="499" t="str">
        <f t="shared" si="4"/>
        <v/>
      </c>
      <c r="BY13" s="499" t="str">
        <f t="shared" si="5"/>
        <v/>
      </c>
      <c r="BZ13" s="500" t="str">
        <f t="shared" si="6"/>
        <v/>
      </c>
      <c r="CA13" s="153" t="str">
        <f t="shared" si="10"/>
        <v/>
      </c>
      <c r="CB13" s="151" t="str">
        <f t="shared" si="32"/>
        <v/>
      </c>
      <c r="CC13" s="153" t="str">
        <f t="shared" ca="1" si="33"/>
        <v/>
      </c>
      <c r="CD13" s="153" t="str">
        <f t="shared" si="11"/>
        <v/>
      </c>
      <c r="CE13" s="153" t="str">
        <f t="shared" si="12"/>
        <v/>
      </c>
      <c r="CF13" s="396" t="str">
        <f t="shared" si="13"/>
        <v/>
      </c>
      <c r="CG13" s="397" t="str">
        <f t="shared" si="14"/>
        <v/>
      </c>
      <c r="CH13" s="153" t="str">
        <f t="shared" si="15"/>
        <v/>
      </c>
      <c r="CI13" s="151" t="str">
        <f t="shared" si="34"/>
        <v/>
      </c>
      <c r="CJ13" s="151" t="str">
        <f t="shared" si="16"/>
        <v/>
      </c>
      <c r="CK13" s="153">
        <f t="shared" si="17"/>
        <v>2</v>
      </c>
      <c r="CL13" s="153">
        <f t="shared" si="18"/>
        <v>2</v>
      </c>
      <c r="CM13" s="153">
        <f t="shared" si="19"/>
        <v>2</v>
      </c>
      <c r="CN13" s="153">
        <f t="shared" si="20"/>
        <v>2</v>
      </c>
      <c r="CO13" s="153">
        <f t="shared" si="21"/>
        <v>2</v>
      </c>
      <c r="CP13" s="153">
        <f t="shared" si="22"/>
        <v>2</v>
      </c>
      <c r="CQ13" s="153">
        <f t="shared" si="23"/>
        <v>2</v>
      </c>
      <c r="CR13" s="153">
        <f t="shared" si="24"/>
        <v>2</v>
      </c>
      <c r="CS13" s="153">
        <f t="shared" si="25"/>
        <v>2</v>
      </c>
      <c r="CT13" s="153">
        <f t="shared" si="26"/>
        <v>2</v>
      </c>
      <c r="CU13" s="153">
        <f t="shared" si="27"/>
        <v>2</v>
      </c>
      <c r="CV13" s="153">
        <f t="shared" si="28"/>
        <v>2</v>
      </c>
      <c r="CW13" s="153">
        <f t="shared" si="29"/>
        <v>2</v>
      </c>
      <c r="CX13" s="153">
        <f t="shared" si="30"/>
        <v>5</v>
      </c>
      <c r="CY13" s="153">
        <f t="shared" si="31"/>
        <v>2</v>
      </c>
      <c r="CZ13" s="113">
        <f t="shared" si="35"/>
        <v>2</v>
      </c>
      <c r="DA13" s="113">
        <f t="shared" si="36"/>
        <v>0</v>
      </c>
      <c r="DB13" s="113">
        <f t="shared" si="37"/>
        <v>0</v>
      </c>
    </row>
    <row r="14" spans="1:106" s="113" customFormat="1" x14ac:dyDescent="0.25">
      <c r="A14" s="130">
        <v>179</v>
      </c>
      <c r="B14" s="12">
        <v>42016</v>
      </c>
      <c r="C14" s="11">
        <v>1082228</v>
      </c>
      <c r="D14" s="11" t="s">
        <v>85</v>
      </c>
      <c r="E14" s="11" t="str">
        <f t="shared" si="0"/>
        <v/>
      </c>
      <c r="F14" s="11" t="str">
        <f t="shared" si="1"/>
        <v/>
      </c>
      <c r="G14" s="113" t="s">
        <v>475</v>
      </c>
      <c r="K14" s="152" t="str">
        <f t="shared" ca="1" si="7"/>
        <v/>
      </c>
      <c r="N14" s="153" t="str">
        <f t="shared" si="2"/>
        <v/>
      </c>
      <c r="O14" s="113" t="s">
        <v>298</v>
      </c>
      <c r="P14" s="113" t="s">
        <v>689</v>
      </c>
      <c r="Q14" s="11" t="s">
        <v>87</v>
      </c>
      <c r="R14" s="14">
        <v>9154281658</v>
      </c>
      <c r="S14" s="153">
        <f t="shared" si="8"/>
        <v>9154281658</v>
      </c>
      <c r="T14" s="153" t="str">
        <f t="shared" si="3"/>
        <v/>
      </c>
      <c r="Y14" s="11" t="s">
        <v>73</v>
      </c>
      <c r="Z14" s="11" t="s">
        <v>74</v>
      </c>
      <c r="AA14" s="11"/>
      <c r="AB14" s="11"/>
      <c r="AC14" s="11"/>
      <c r="AD14" s="11"/>
      <c r="AH14" s="157" t="s">
        <v>86</v>
      </c>
      <c r="AI14" s="11"/>
      <c r="AJ14" s="527"/>
      <c r="AK14" s="11"/>
      <c r="AL14" s="11"/>
      <c r="AM14" s="11"/>
      <c r="AN14" s="12">
        <v>29983</v>
      </c>
      <c r="AO14" s="18" t="s">
        <v>221</v>
      </c>
      <c r="AP14" s="18"/>
      <c r="AQ14" s="11" t="s">
        <v>50</v>
      </c>
      <c r="AR14" s="11"/>
      <c r="AS14" s="163">
        <v>42017</v>
      </c>
      <c r="AT14" s="125"/>
      <c r="AU14" s="125"/>
      <c r="AV14" s="173"/>
      <c r="AW14" s="190"/>
      <c r="AX14" s="11" t="s">
        <v>1623</v>
      </c>
      <c r="BA14" s="129">
        <v>42017</v>
      </c>
      <c r="BB14" s="182"/>
      <c r="BC14" s="163">
        <v>42017</v>
      </c>
      <c r="BD14" s="184" t="s">
        <v>88</v>
      </c>
      <c r="BE14" s="160"/>
      <c r="BF14" s="184" t="s">
        <v>49</v>
      </c>
      <c r="BG14" s="163">
        <v>42017</v>
      </c>
      <c r="BH14" s="11" t="s">
        <v>1632</v>
      </c>
      <c r="BI14" s="177"/>
      <c r="BJ14" s="163">
        <v>42017</v>
      </c>
      <c r="BK14" s="19"/>
      <c r="BL14" s="176"/>
      <c r="BM14" s="163">
        <v>42017</v>
      </c>
      <c r="BN14" s="19">
        <v>42017</v>
      </c>
      <c r="BO14" s="176">
        <v>42017</v>
      </c>
      <c r="BP14" s="187">
        <v>42017</v>
      </c>
      <c r="BQ14" s="19">
        <v>42017</v>
      </c>
      <c r="BR14" s="173"/>
      <c r="BS14" s="438">
        <v>42017</v>
      </c>
      <c r="BT14" s="12">
        <v>42017</v>
      </c>
      <c r="BU14" s="439">
        <v>42017</v>
      </c>
      <c r="BV14" s="254"/>
      <c r="BW14" s="499" t="str">
        <f t="shared" si="9"/>
        <v xml:space="preserve">2305 (for processing) 1/13/2015, </v>
      </c>
      <c r="BX14" s="499" t="str">
        <f t="shared" si="4"/>
        <v/>
      </c>
      <c r="BY14" s="499" t="str">
        <f t="shared" si="5"/>
        <v/>
      </c>
      <c r="BZ14" s="500" t="str">
        <f t="shared" si="6"/>
        <v/>
      </c>
      <c r="CA14" s="153" t="str">
        <f t="shared" si="10"/>
        <v/>
      </c>
      <c r="CB14" s="151" t="str">
        <f t="shared" si="32"/>
        <v/>
      </c>
      <c r="CC14" s="153" t="str">
        <f t="shared" ca="1" si="33"/>
        <v/>
      </c>
      <c r="CD14" s="153" t="str">
        <f t="shared" si="11"/>
        <v/>
      </c>
      <c r="CE14" s="153" t="str">
        <f t="shared" si="12"/>
        <v/>
      </c>
      <c r="CF14" s="396" t="str">
        <f t="shared" si="13"/>
        <v/>
      </c>
      <c r="CG14" s="397" t="str">
        <f t="shared" si="14"/>
        <v/>
      </c>
      <c r="CH14" s="153" t="str">
        <f t="shared" si="15"/>
        <v/>
      </c>
      <c r="CI14" s="151" t="str">
        <f t="shared" si="34"/>
        <v/>
      </c>
      <c r="CJ14" s="151" t="str">
        <f t="shared" si="16"/>
        <v/>
      </c>
      <c r="CK14" s="153">
        <f t="shared" si="17"/>
        <v>2</v>
      </c>
      <c r="CL14" s="153">
        <f t="shared" si="18"/>
        <v>2</v>
      </c>
      <c r="CM14" s="153">
        <f t="shared" si="19"/>
        <v>2</v>
      </c>
      <c r="CN14" s="153">
        <f t="shared" si="20"/>
        <v>2</v>
      </c>
      <c r="CO14" s="153">
        <f t="shared" si="21"/>
        <v>2</v>
      </c>
      <c r="CP14" s="153">
        <f t="shared" si="22"/>
        <v>2</v>
      </c>
      <c r="CQ14" s="153">
        <f t="shared" si="23"/>
        <v>2</v>
      </c>
      <c r="CR14" s="153">
        <f t="shared" si="24"/>
        <v>2</v>
      </c>
      <c r="CS14" s="153">
        <f t="shared" si="25"/>
        <v>2</v>
      </c>
      <c r="CT14" s="153">
        <f t="shared" si="26"/>
        <v>2</v>
      </c>
      <c r="CU14" s="153">
        <f t="shared" si="27"/>
        <v>2</v>
      </c>
      <c r="CV14" s="153">
        <f t="shared" si="28"/>
        <v>2</v>
      </c>
      <c r="CW14" s="153">
        <f t="shared" si="29"/>
        <v>2</v>
      </c>
      <c r="CX14" s="153">
        <f t="shared" si="30"/>
        <v>6</v>
      </c>
      <c r="CY14" s="153">
        <f t="shared" si="31"/>
        <v>2</v>
      </c>
      <c r="CZ14" s="113" t="str">
        <f t="shared" si="35"/>
        <v/>
      </c>
      <c r="DA14" s="113">
        <f t="shared" si="36"/>
        <v>0</v>
      </c>
      <c r="DB14" s="113">
        <f t="shared" si="37"/>
        <v>0</v>
      </c>
    </row>
    <row r="15" spans="1:106" s="113" customFormat="1" x14ac:dyDescent="0.25">
      <c r="A15" s="130">
        <v>179</v>
      </c>
      <c r="B15" s="12">
        <v>42016</v>
      </c>
      <c r="C15" s="11">
        <v>1082229</v>
      </c>
      <c r="D15" s="11" t="s">
        <v>89</v>
      </c>
      <c r="E15" s="11" t="str">
        <f t="shared" si="0"/>
        <v/>
      </c>
      <c r="F15" s="11" t="str">
        <f t="shared" si="1"/>
        <v/>
      </c>
      <c r="G15" s="113" t="s">
        <v>475</v>
      </c>
      <c r="K15" s="152" t="str">
        <f t="shared" ca="1" si="7"/>
        <v/>
      </c>
      <c r="N15" s="153" t="str">
        <f t="shared" si="2"/>
        <v/>
      </c>
      <c r="O15" s="113" t="s">
        <v>298</v>
      </c>
      <c r="P15" s="113" t="s">
        <v>689</v>
      </c>
      <c r="Q15" s="11" t="s">
        <v>90</v>
      </c>
      <c r="R15" s="14">
        <v>9358967266</v>
      </c>
      <c r="S15" s="153">
        <f t="shared" si="8"/>
        <v>9358967266</v>
      </c>
      <c r="T15" s="153" t="str">
        <f t="shared" si="3"/>
        <v/>
      </c>
      <c r="Y15" s="11" t="s">
        <v>73</v>
      </c>
      <c r="Z15" s="11" t="s">
        <v>74</v>
      </c>
      <c r="AA15" s="11"/>
      <c r="AB15" s="11"/>
      <c r="AC15" s="11"/>
      <c r="AD15" s="11"/>
      <c r="AH15" s="157" t="s">
        <v>86</v>
      </c>
      <c r="AI15" s="11"/>
      <c r="AJ15" s="527"/>
      <c r="AK15" s="11"/>
      <c r="AL15" s="11"/>
      <c r="AM15" s="11"/>
      <c r="AN15" s="12">
        <v>32776</v>
      </c>
      <c r="AO15" s="18" t="s">
        <v>222</v>
      </c>
      <c r="AP15" s="18"/>
      <c r="AQ15" s="11" t="s">
        <v>53</v>
      </c>
      <c r="AR15" s="11"/>
      <c r="AS15" s="163">
        <v>42017</v>
      </c>
      <c r="AT15" s="19">
        <v>42017</v>
      </c>
      <c r="AU15" s="19">
        <v>42017</v>
      </c>
      <c r="AV15" s="176">
        <v>42017</v>
      </c>
      <c r="AW15" s="438">
        <v>42018</v>
      </c>
      <c r="AX15" s="11" t="s">
        <v>44</v>
      </c>
      <c r="AZ15" s="113">
        <v>1</v>
      </c>
      <c r="BA15" s="129"/>
      <c r="BB15" s="182"/>
      <c r="BC15" s="163">
        <v>42017</v>
      </c>
      <c r="BD15" s="184" t="s">
        <v>39</v>
      </c>
      <c r="BE15" s="160"/>
      <c r="BF15" s="184" t="s">
        <v>49</v>
      </c>
      <c r="BG15" s="160"/>
      <c r="BH15" s="11" t="s">
        <v>49</v>
      </c>
      <c r="BI15" s="182"/>
      <c r="BJ15" s="160"/>
      <c r="BK15" s="125"/>
      <c r="BL15" s="173"/>
      <c r="BM15" s="163">
        <v>42017</v>
      </c>
      <c r="BN15" s="125"/>
      <c r="BO15" s="173"/>
      <c r="BP15" s="187">
        <v>42017</v>
      </c>
      <c r="BQ15" s="125"/>
      <c r="BR15" s="173"/>
      <c r="BS15" s="438">
        <v>42017</v>
      </c>
      <c r="BT15" s="12">
        <v>42017</v>
      </c>
      <c r="BU15" s="439">
        <v>42017</v>
      </c>
      <c r="BV15" s="254"/>
      <c r="BW15" s="499" t="str">
        <f t="shared" si="9"/>
        <v/>
      </c>
      <c r="BX15" s="499" t="str">
        <f t="shared" si="4"/>
        <v/>
      </c>
      <c r="BY15" s="499" t="str">
        <f t="shared" si="5"/>
        <v/>
      </c>
      <c r="BZ15" s="500" t="str">
        <f t="shared" si="6"/>
        <v/>
      </c>
      <c r="CA15" s="151" t="str">
        <f t="shared" si="10"/>
        <v/>
      </c>
      <c r="CB15" s="151" t="str">
        <f t="shared" si="32"/>
        <v/>
      </c>
      <c r="CC15" s="153" t="str">
        <f t="shared" ca="1" si="33"/>
        <v/>
      </c>
      <c r="CD15" s="153" t="str">
        <f t="shared" si="11"/>
        <v/>
      </c>
      <c r="CE15" s="153" t="str">
        <f t="shared" si="12"/>
        <v/>
      </c>
      <c r="CF15" s="396" t="str">
        <f t="shared" si="13"/>
        <v/>
      </c>
      <c r="CG15" s="397" t="str">
        <f t="shared" si="14"/>
        <v/>
      </c>
      <c r="CH15" s="153" t="str">
        <f t="shared" si="15"/>
        <v/>
      </c>
      <c r="CI15" s="151" t="str">
        <f t="shared" si="34"/>
        <v/>
      </c>
      <c r="CJ15" s="151" t="str">
        <f t="shared" si="16"/>
        <v/>
      </c>
      <c r="CK15" s="153">
        <f t="shared" si="17"/>
        <v>2</v>
      </c>
      <c r="CL15" s="153">
        <f t="shared" si="18"/>
        <v>2</v>
      </c>
      <c r="CM15" s="153">
        <f t="shared" si="19"/>
        <v>2</v>
      </c>
      <c r="CN15" s="153">
        <f t="shared" si="20"/>
        <v>2</v>
      </c>
      <c r="CO15" s="153">
        <f t="shared" si="21"/>
        <v>2</v>
      </c>
      <c r="CP15" s="153">
        <f t="shared" si="22"/>
        <v>2</v>
      </c>
      <c r="CQ15" s="153">
        <f t="shared" si="23"/>
        <v>2</v>
      </c>
      <c r="CR15" s="153">
        <f t="shared" si="24"/>
        <v>2</v>
      </c>
      <c r="CS15" s="153">
        <f t="shared" si="25"/>
        <v>2</v>
      </c>
      <c r="CT15" s="153">
        <f t="shared" si="26"/>
        <v>2</v>
      </c>
      <c r="CU15" s="153">
        <f t="shared" si="27"/>
        <v>2</v>
      </c>
      <c r="CV15" s="153">
        <f t="shared" si="28"/>
        <v>2</v>
      </c>
      <c r="CW15" s="153">
        <f t="shared" si="29"/>
        <v>2</v>
      </c>
      <c r="CX15" s="153">
        <f t="shared" si="30"/>
        <v>7</v>
      </c>
      <c r="CY15" s="153">
        <f t="shared" si="31"/>
        <v>2</v>
      </c>
      <c r="CZ15" s="113" t="str">
        <f t="shared" si="35"/>
        <v/>
      </c>
      <c r="DA15" s="113">
        <f t="shared" si="36"/>
        <v>0</v>
      </c>
      <c r="DB15" s="113">
        <f t="shared" si="37"/>
        <v>0</v>
      </c>
    </row>
    <row r="16" spans="1:106" s="113" customFormat="1" x14ac:dyDescent="0.25">
      <c r="A16" s="130">
        <v>179</v>
      </c>
      <c r="B16" s="12">
        <v>42016</v>
      </c>
      <c r="C16" s="11">
        <v>1082230</v>
      </c>
      <c r="D16" s="11" t="s">
        <v>91</v>
      </c>
      <c r="E16" s="11" t="str">
        <f t="shared" si="0"/>
        <v/>
      </c>
      <c r="F16" s="11" t="str">
        <f t="shared" si="1"/>
        <v/>
      </c>
      <c r="G16" s="113" t="s">
        <v>475</v>
      </c>
      <c r="K16" s="152" t="str">
        <f t="shared" ca="1" si="7"/>
        <v/>
      </c>
      <c r="N16" s="153" t="str">
        <f t="shared" si="2"/>
        <v/>
      </c>
      <c r="O16" s="113" t="s">
        <v>298</v>
      </c>
      <c r="P16" s="113" t="s">
        <v>689</v>
      </c>
      <c r="Q16" s="11" t="s">
        <v>92</v>
      </c>
      <c r="R16" s="14">
        <v>9282823609</v>
      </c>
      <c r="S16" s="153">
        <f t="shared" si="8"/>
        <v>9282823609</v>
      </c>
      <c r="T16" s="153" t="str">
        <f t="shared" si="3"/>
        <v/>
      </c>
      <c r="U16" s="113" t="s">
        <v>453</v>
      </c>
      <c r="Y16" s="11" t="s">
        <v>73</v>
      </c>
      <c r="Z16" s="11" t="s">
        <v>70</v>
      </c>
      <c r="AA16" s="11"/>
      <c r="AB16" s="11"/>
      <c r="AC16" s="11"/>
      <c r="AD16" s="11"/>
      <c r="AH16" s="157" t="s">
        <v>52</v>
      </c>
      <c r="AI16" s="11"/>
      <c r="AJ16" s="527"/>
      <c r="AK16" s="11"/>
      <c r="AL16" s="11"/>
      <c r="AM16" s="11"/>
      <c r="AN16" s="12">
        <v>28958</v>
      </c>
      <c r="AO16" s="18" t="s">
        <v>223</v>
      </c>
      <c r="AP16" s="18"/>
      <c r="AQ16" s="11" t="s">
        <v>53</v>
      </c>
      <c r="AR16" s="11"/>
      <c r="AS16" s="163">
        <v>42025</v>
      </c>
      <c r="AT16" s="19">
        <v>42025</v>
      </c>
      <c r="AU16" s="19">
        <v>42025</v>
      </c>
      <c r="AV16" s="176">
        <v>42025</v>
      </c>
      <c r="AW16" s="438">
        <v>42025</v>
      </c>
      <c r="AX16" s="11" t="s">
        <v>1624</v>
      </c>
      <c r="AZ16" s="129">
        <v>42025</v>
      </c>
      <c r="BA16" s="129">
        <v>41295</v>
      </c>
      <c r="BB16" s="182"/>
      <c r="BC16" s="163">
        <v>42025</v>
      </c>
      <c r="BD16" s="184" t="s">
        <v>40</v>
      </c>
      <c r="BE16" s="163">
        <v>42025</v>
      </c>
      <c r="BF16" s="184" t="s">
        <v>2784</v>
      </c>
      <c r="BG16" s="163">
        <v>42026</v>
      </c>
      <c r="BH16" s="11" t="s">
        <v>1633</v>
      </c>
      <c r="BI16" s="177">
        <v>42025</v>
      </c>
      <c r="BJ16" s="163">
        <v>42026</v>
      </c>
      <c r="BK16" s="19"/>
      <c r="BL16" s="176"/>
      <c r="BM16" s="163">
        <v>42025</v>
      </c>
      <c r="BN16" s="19">
        <v>42026</v>
      </c>
      <c r="BO16" s="176">
        <v>42026</v>
      </c>
      <c r="BP16" s="187">
        <v>42025</v>
      </c>
      <c r="BQ16" s="19">
        <v>42025</v>
      </c>
      <c r="BR16" s="176">
        <v>42025</v>
      </c>
      <c r="BS16" s="438">
        <v>42025</v>
      </c>
      <c r="BT16" s="12">
        <v>42025</v>
      </c>
      <c r="BU16" s="439">
        <v>42025</v>
      </c>
      <c r="BV16" s="254"/>
      <c r="BW16" s="499" t="str">
        <f t="shared" si="9"/>
        <v xml:space="preserve">1905 (for processing) 1/21/2015, 2305 (for processing) 1/21/2013, MDR 1/21/2015, </v>
      </c>
      <c r="BX16" s="499" t="str">
        <f t="shared" si="4"/>
        <v/>
      </c>
      <c r="BY16" s="499" t="str">
        <f t="shared" si="5"/>
        <v/>
      </c>
      <c r="BZ16" s="500" t="str">
        <f t="shared" si="6"/>
        <v/>
      </c>
      <c r="CA16" s="151" t="str">
        <f t="shared" si="10"/>
        <v/>
      </c>
      <c r="CB16" s="151" t="str">
        <f t="shared" si="32"/>
        <v/>
      </c>
      <c r="CC16" s="153" t="str">
        <f t="shared" ca="1" si="33"/>
        <v/>
      </c>
      <c r="CD16" s="153" t="str">
        <f t="shared" si="11"/>
        <v/>
      </c>
      <c r="CE16" s="153" t="str">
        <f t="shared" si="12"/>
        <v/>
      </c>
      <c r="CF16" s="396" t="str">
        <f t="shared" si="13"/>
        <v/>
      </c>
      <c r="CG16" s="397" t="str">
        <f t="shared" si="14"/>
        <v/>
      </c>
      <c r="CH16" s="153" t="str">
        <f t="shared" si="15"/>
        <v/>
      </c>
      <c r="CI16" s="151" t="str">
        <f t="shared" si="34"/>
        <v/>
      </c>
      <c r="CJ16" s="151" t="str">
        <f t="shared" si="16"/>
        <v/>
      </c>
      <c r="CK16" s="153">
        <f t="shared" si="17"/>
        <v>2</v>
      </c>
      <c r="CL16" s="153">
        <f t="shared" si="18"/>
        <v>2</v>
      </c>
      <c r="CM16" s="153">
        <f t="shared" si="19"/>
        <v>2</v>
      </c>
      <c r="CN16" s="153">
        <f t="shared" si="20"/>
        <v>2</v>
      </c>
      <c r="CO16" s="153">
        <f t="shared" si="21"/>
        <v>2</v>
      </c>
      <c r="CP16" s="153">
        <f t="shared" si="22"/>
        <v>2</v>
      </c>
      <c r="CQ16" s="153">
        <f t="shared" si="23"/>
        <v>2</v>
      </c>
      <c r="CR16" s="153">
        <f t="shared" si="24"/>
        <v>2</v>
      </c>
      <c r="CS16" s="153">
        <f t="shared" si="25"/>
        <v>2</v>
      </c>
      <c r="CT16" s="153">
        <f t="shared" si="26"/>
        <v>2</v>
      </c>
      <c r="CU16" s="153">
        <f t="shared" si="27"/>
        <v>2</v>
      </c>
      <c r="CV16" s="153">
        <f t="shared" si="28"/>
        <v>2</v>
      </c>
      <c r="CW16" s="153">
        <f t="shared" si="29"/>
        <v>2</v>
      </c>
      <c r="CX16" s="153">
        <f t="shared" si="30"/>
        <v>8</v>
      </c>
      <c r="CY16" s="153">
        <f t="shared" si="31"/>
        <v>2</v>
      </c>
      <c r="CZ16" s="113" t="str">
        <f t="shared" si="35"/>
        <v/>
      </c>
      <c r="DA16" s="113">
        <f t="shared" si="36"/>
        <v>0</v>
      </c>
      <c r="DB16" s="113">
        <f t="shared" si="37"/>
        <v>0</v>
      </c>
    </row>
    <row r="17" spans="1:106" s="317" customFormat="1" x14ac:dyDescent="0.25">
      <c r="A17" s="314">
        <v>179</v>
      </c>
      <c r="B17" s="315">
        <v>42016</v>
      </c>
      <c r="C17" s="316">
        <v>1082231</v>
      </c>
      <c r="D17" s="316" t="s">
        <v>93</v>
      </c>
      <c r="E17" s="316" t="str">
        <f t="shared" si="0"/>
        <v/>
      </c>
      <c r="F17" s="316" t="str">
        <f t="shared" si="1"/>
        <v xml:space="preserve">2x2, </v>
      </c>
      <c r="G17" s="317" t="s">
        <v>475</v>
      </c>
      <c r="K17" s="152" t="str">
        <f t="shared" ca="1" si="7"/>
        <v/>
      </c>
      <c r="M17" s="318">
        <v>42038</v>
      </c>
      <c r="N17" s="153" t="str">
        <f t="shared" si="2"/>
        <v/>
      </c>
      <c r="O17" s="317" t="s">
        <v>302</v>
      </c>
      <c r="Q17" s="316" t="s">
        <v>94</v>
      </c>
      <c r="R17" s="319">
        <v>9177957660</v>
      </c>
      <c r="S17" s="153">
        <f t="shared" si="8"/>
        <v>9177957660</v>
      </c>
      <c r="T17" s="153" t="str">
        <f t="shared" si="3"/>
        <v/>
      </c>
      <c r="U17" s="317" t="s">
        <v>460</v>
      </c>
      <c r="Y17" s="316" t="s">
        <v>73</v>
      </c>
      <c r="Z17" s="316" t="s">
        <v>74</v>
      </c>
      <c r="AA17" s="316"/>
      <c r="AB17" s="316"/>
      <c r="AC17" s="316"/>
      <c r="AD17" s="316"/>
      <c r="AH17" s="320" t="s">
        <v>52</v>
      </c>
      <c r="AI17" s="316"/>
      <c r="AJ17" s="527"/>
      <c r="AK17" s="316"/>
      <c r="AL17" s="316"/>
      <c r="AM17" s="316"/>
      <c r="AN17" s="315">
        <v>31354</v>
      </c>
      <c r="AO17" s="322" t="s">
        <v>224</v>
      </c>
      <c r="AP17" s="322"/>
      <c r="AQ17" s="316" t="s">
        <v>49</v>
      </c>
      <c r="AR17" s="316"/>
      <c r="AS17" s="323">
        <v>42017</v>
      </c>
      <c r="AT17" s="324">
        <v>42017</v>
      </c>
      <c r="AU17" s="324">
        <v>42017</v>
      </c>
      <c r="AV17" s="325">
        <v>42017</v>
      </c>
      <c r="AW17" s="328">
        <v>42025</v>
      </c>
      <c r="AX17" s="316" t="s">
        <v>300</v>
      </c>
      <c r="AZ17" s="317">
        <v>1</v>
      </c>
      <c r="BA17" s="318">
        <v>42017</v>
      </c>
      <c r="BB17" s="326"/>
      <c r="BC17" s="328">
        <v>42025</v>
      </c>
      <c r="BD17" s="327" t="s">
        <v>299</v>
      </c>
      <c r="BE17" s="323">
        <v>42017</v>
      </c>
      <c r="BF17" s="327" t="s">
        <v>2785</v>
      </c>
      <c r="BG17" s="323">
        <v>42017</v>
      </c>
      <c r="BH17" s="316" t="s">
        <v>1634</v>
      </c>
      <c r="BI17" s="329">
        <v>42017</v>
      </c>
      <c r="BJ17" s="323">
        <v>42017</v>
      </c>
      <c r="BK17" s="324"/>
      <c r="BL17" s="325"/>
      <c r="BM17" s="323">
        <v>42017</v>
      </c>
      <c r="BN17" s="330"/>
      <c r="BO17" s="331"/>
      <c r="BP17" s="332"/>
      <c r="BQ17" s="324">
        <v>42017</v>
      </c>
      <c r="BR17" s="325">
        <v>42017</v>
      </c>
      <c r="BS17" s="436">
        <v>42017</v>
      </c>
      <c r="BT17" s="315">
        <v>42017</v>
      </c>
      <c r="BU17" s="437">
        <v>42017</v>
      </c>
      <c r="BV17" s="333"/>
      <c r="BW17" s="499" t="str">
        <f t="shared" si="9"/>
        <v xml:space="preserve">2305 1/13/2015, MDR 1/13/2015, </v>
      </c>
      <c r="BX17" s="499">
        <f t="shared" si="4"/>
        <v>11</v>
      </c>
      <c r="BY17" s="499">
        <f t="shared" si="5"/>
        <v>11</v>
      </c>
      <c r="BZ17" s="500">
        <f t="shared" si="6"/>
        <v>1</v>
      </c>
      <c r="CA17" s="151" t="str">
        <f t="shared" si="10"/>
        <v/>
      </c>
      <c r="CB17" s="151" t="str">
        <f t="shared" si="32"/>
        <v/>
      </c>
      <c r="CC17" s="153" t="str">
        <f t="shared" ca="1" si="33"/>
        <v/>
      </c>
      <c r="CD17" s="153" t="str">
        <f t="shared" si="11"/>
        <v/>
      </c>
      <c r="CE17" s="153" t="str">
        <f t="shared" si="12"/>
        <v/>
      </c>
      <c r="CF17" s="396" t="str">
        <f t="shared" si="13"/>
        <v/>
      </c>
      <c r="CG17" s="397" t="str">
        <f t="shared" si="14"/>
        <v/>
      </c>
      <c r="CH17" s="153" t="str">
        <f t="shared" si="15"/>
        <v/>
      </c>
      <c r="CI17" s="151" t="str">
        <f t="shared" si="34"/>
        <v/>
      </c>
      <c r="CJ17" s="151" t="str">
        <f t="shared" si="16"/>
        <v/>
      </c>
      <c r="CK17" s="153">
        <f t="shared" si="17"/>
        <v>3</v>
      </c>
      <c r="CL17" s="153">
        <f t="shared" si="18"/>
        <v>3</v>
      </c>
      <c r="CM17" s="153">
        <f t="shared" si="19"/>
        <v>3</v>
      </c>
      <c r="CN17" s="153">
        <f t="shared" si="20"/>
        <v>3</v>
      </c>
      <c r="CO17" s="153">
        <f t="shared" si="21"/>
        <v>3</v>
      </c>
      <c r="CP17" s="153">
        <f t="shared" si="22"/>
        <v>3</v>
      </c>
      <c r="CQ17" s="153">
        <f t="shared" si="23"/>
        <v>3</v>
      </c>
      <c r="CR17" s="153">
        <f t="shared" si="24"/>
        <v>3</v>
      </c>
      <c r="CS17" s="153">
        <f t="shared" si="25"/>
        <v>3</v>
      </c>
      <c r="CT17" s="153">
        <f t="shared" si="26"/>
        <v>3</v>
      </c>
      <c r="CU17" s="153">
        <f t="shared" si="27"/>
        <v>3</v>
      </c>
      <c r="CV17" s="153">
        <f t="shared" si="28"/>
        <v>3</v>
      </c>
      <c r="CW17" s="153">
        <f t="shared" si="29"/>
        <v>3</v>
      </c>
      <c r="CX17" s="153">
        <f t="shared" si="30"/>
        <v>8</v>
      </c>
      <c r="CY17" s="153">
        <f t="shared" si="31"/>
        <v>3</v>
      </c>
      <c r="CZ17" s="317">
        <f t="shared" si="35"/>
        <v>22</v>
      </c>
      <c r="DA17" s="317">
        <f t="shared" si="36"/>
        <v>1</v>
      </c>
      <c r="DB17" s="317">
        <f t="shared" si="37"/>
        <v>1</v>
      </c>
    </row>
    <row r="18" spans="1:106" s="113" customFormat="1" x14ac:dyDescent="0.25">
      <c r="A18" s="130">
        <v>179</v>
      </c>
      <c r="B18" s="12">
        <v>42016</v>
      </c>
      <c r="C18" s="11">
        <v>1082232</v>
      </c>
      <c r="D18" s="11" t="s">
        <v>95</v>
      </c>
      <c r="E18" s="11" t="str">
        <f t="shared" si="0"/>
        <v/>
      </c>
      <c r="F18" s="11" t="str">
        <f t="shared" si="1"/>
        <v/>
      </c>
      <c r="G18" s="113" t="s">
        <v>475</v>
      </c>
      <c r="K18" s="152" t="str">
        <f t="shared" ca="1" si="7"/>
        <v/>
      </c>
      <c r="N18" s="153" t="str">
        <f t="shared" si="2"/>
        <v/>
      </c>
      <c r="O18" s="113" t="s">
        <v>298</v>
      </c>
      <c r="P18" s="113" t="s">
        <v>689</v>
      </c>
      <c r="Q18" s="11" t="s">
        <v>96</v>
      </c>
      <c r="R18" s="14">
        <v>9068797866</v>
      </c>
      <c r="S18" s="153">
        <f t="shared" si="8"/>
        <v>9068797866</v>
      </c>
      <c r="T18" s="153" t="str">
        <f t="shared" si="3"/>
        <v/>
      </c>
      <c r="Y18" s="11" t="s">
        <v>73</v>
      </c>
      <c r="Z18" s="11" t="s">
        <v>70</v>
      </c>
      <c r="AA18" s="11"/>
      <c r="AB18" s="11"/>
      <c r="AC18" s="11"/>
      <c r="AD18" s="11"/>
      <c r="AH18" s="157" t="s">
        <v>86</v>
      </c>
      <c r="AI18" s="11"/>
      <c r="AJ18" s="527"/>
      <c r="AK18" s="11"/>
      <c r="AL18" s="11"/>
      <c r="AM18" s="11"/>
      <c r="AN18" s="12">
        <v>30596</v>
      </c>
      <c r="AO18" s="18" t="s">
        <v>225</v>
      </c>
      <c r="AP18" s="18"/>
      <c r="AQ18" s="11" t="s">
        <v>50</v>
      </c>
      <c r="AR18" s="11"/>
      <c r="AS18" s="163">
        <v>42017</v>
      </c>
      <c r="AT18" s="19">
        <v>42017</v>
      </c>
      <c r="AU18" s="19">
        <v>42017</v>
      </c>
      <c r="AV18" s="176">
        <v>42017</v>
      </c>
      <c r="AW18" s="438">
        <v>42017</v>
      </c>
      <c r="AX18" s="11" t="s">
        <v>1625</v>
      </c>
      <c r="AZ18" s="129">
        <v>42017</v>
      </c>
      <c r="BA18" s="129">
        <v>42017</v>
      </c>
      <c r="BB18" s="182"/>
      <c r="BC18" s="163">
        <v>42017</v>
      </c>
      <c r="BD18" s="184" t="s">
        <v>97</v>
      </c>
      <c r="BE18" s="163">
        <v>42017</v>
      </c>
      <c r="BF18" s="184" t="s">
        <v>41</v>
      </c>
      <c r="BG18" s="163">
        <v>42017</v>
      </c>
      <c r="BH18" s="11" t="s">
        <v>1635</v>
      </c>
      <c r="BI18" s="177">
        <v>42017</v>
      </c>
      <c r="BJ18" s="163">
        <v>42017</v>
      </c>
      <c r="BK18" s="19"/>
      <c r="BL18" s="176"/>
      <c r="BM18" s="163">
        <v>42017</v>
      </c>
      <c r="BN18" s="19">
        <v>42017</v>
      </c>
      <c r="BO18" s="176">
        <v>42017</v>
      </c>
      <c r="BP18" s="187">
        <v>42017</v>
      </c>
      <c r="BQ18" s="19">
        <v>42017</v>
      </c>
      <c r="BR18" s="176">
        <v>42017</v>
      </c>
      <c r="BS18" s="438">
        <v>42017</v>
      </c>
      <c r="BT18" s="12">
        <v>42017</v>
      </c>
      <c r="BU18" s="439">
        <v>42017</v>
      </c>
      <c r="BV18" s="254"/>
      <c r="BW18" s="499" t="str">
        <f t="shared" si="9"/>
        <v xml:space="preserve">1905 (for processing) 1/13/2015, 2305 (for processing) 1/13/2015, MDR 1/13/2015, </v>
      </c>
      <c r="BX18" s="499" t="str">
        <f t="shared" si="4"/>
        <v/>
      </c>
      <c r="BY18" s="499" t="str">
        <f t="shared" si="5"/>
        <v/>
      </c>
      <c r="BZ18" s="500" t="str">
        <f t="shared" si="6"/>
        <v/>
      </c>
      <c r="CA18" s="151" t="str">
        <f t="shared" si="10"/>
        <v/>
      </c>
      <c r="CB18" s="151" t="str">
        <f t="shared" si="32"/>
        <v/>
      </c>
      <c r="CC18" s="153" t="str">
        <f t="shared" ca="1" si="33"/>
        <v/>
      </c>
      <c r="CD18" s="153" t="str">
        <f t="shared" si="11"/>
        <v/>
      </c>
      <c r="CE18" s="153" t="str">
        <f t="shared" si="12"/>
        <v/>
      </c>
      <c r="CF18" s="396" t="str">
        <f t="shared" si="13"/>
        <v/>
      </c>
      <c r="CG18" s="397" t="str">
        <f t="shared" si="14"/>
        <v/>
      </c>
      <c r="CH18" s="153" t="str">
        <f t="shared" si="15"/>
        <v/>
      </c>
      <c r="CI18" s="151" t="str">
        <f t="shared" si="34"/>
        <v/>
      </c>
      <c r="CJ18" s="151" t="str">
        <f t="shared" si="16"/>
        <v/>
      </c>
      <c r="CK18" s="153">
        <f t="shared" si="17"/>
        <v>3</v>
      </c>
      <c r="CL18" s="153">
        <f t="shared" si="18"/>
        <v>3</v>
      </c>
      <c r="CM18" s="153">
        <f t="shared" si="19"/>
        <v>3</v>
      </c>
      <c r="CN18" s="153">
        <f t="shared" si="20"/>
        <v>3</v>
      </c>
      <c r="CO18" s="153">
        <f t="shared" si="21"/>
        <v>3</v>
      </c>
      <c r="CP18" s="153">
        <f t="shared" si="22"/>
        <v>3</v>
      </c>
      <c r="CQ18" s="153">
        <f t="shared" si="23"/>
        <v>3</v>
      </c>
      <c r="CR18" s="153">
        <f t="shared" si="24"/>
        <v>3</v>
      </c>
      <c r="CS18" s="153">
        <f t="shared" si="25"/>
        <v>3</v>
      </c>
      <c r="CT18" s="153">
        <f t="shared" si="26"/>
        <v>3</v>
      </c>
      <c r="CU18" s="153">
        <f t="shared" si="27"/>
        <v>3</v>
      </c>
      <c r="CV18" s="153">
        <f t="shared" si="28"/>
        <v>3</v>
      </c>
      <c r="CW18" s="153">
        <f t="shared" si="29"/>
        <v>3</v>
      </c>
      <c r="CX18" s="153">
        <f t="shared" si="30"/>
        <v>9</v>
      </c>
      <c r="CY18" s="153">
        <f t="shared" si="31"/>
        <v>3</v>
      </c>
      <c r="CZ18" s="113" t="str">
        <f t="shared" si="35"/>
        <v/>
      </c>
      <c r="DA18" s="113">
        <f t="shared" si="36"/>
        <v>0</v>
      </c>
      <c r="DB18" s="113">
        <f t="shared" si="37"/>
        <v>0</v>
      </c>
    </row>
    <row r="19" spans="1:106" s="213" customFormat="1" ht="15.75" thickBot="1" x14ac:dyDescent="0.3">
      <c r="A19" s="212">
        <v>179</v>
      </c>
      <c r="B19" s="211">
        <v>42016</v>
      </c>
      <c r="C19" s="210">
        <v>1082233</v>
      </c>
      <c r="D19" s="210" t="s">
        <v>98</v>
      </c>
      <c r="E19" s="210" t="str">
        <f t="shared" si="0"/>
        <v/>
      </c>
      <c r="F19" s="210" t="str">
        <f t="shared" si="1"/>
        <v/>
      </c>
      <c r="G19" s="213" t="s">
        <v>475</v>
      </c>
      <c r="K19" s="491" t="str">
        <f t="shared" ca="1" si="7"/>
        <v/>
      </c>
      <c r="N19" s="487" t="str">
        <f t="shared" si="2"/>
        <v/>
      </c>
      <c r="O19" s="213" t="s">
        <v>298</v>
      </c>
      <c r="P19" s="213" t="s">
        <v>689</v>
      </c>
      <c r="Q19" s="210" t="s">
        <v>99</v>
      </c>
      <c r="R19" s="215">
        <v>9057402208</v>
      </c>
      <c r="S19" s="487">
        <f t="shared" si="8"/>
        <v>9057402208</v>
      </c>
      <c r="T19" s="487" t="str">
        <f t="shared" si="3"/>
        <v/>
      </c>
      <c r="Y19" s="210" t="s">
        <v>73</v>
      </c>
      <c r="Z19" s="210" t="s">
        <v>70</v>
      </c>
      <c r="AA19" s="210"/>
      <c r="AB19" s="210"/>
      <c r="AC19" s="210"/>
      <c r="AD19" s="210"/>
      <c r="AH19" s="216" t="s">
        <v>86</v>
      </c>
      <c r="AI19" s="210"/>
      <c r="AJ19" s="528"/>
      <c r="AK19" s="210"/>
      <c r="AL19" s="210"/>
      <c r="AM19" s="210"/>
      <c r="AN19" s="211">
        <v>31254</v>
      </c>
      <c r="AO19" s="214" t="s">
        <v>226</v>
      </c>
      <c r="AP19" s="214"/>
      <c r="AQ19" s="210" t="s">
        <v>53</v>
      </c>
      <c r="AR19" s="210"/>
      <c r="AS19" s="217">
        <v>42017</v>
      </c>
      <c r="AT19" s="218">
        <v>42017</v>
      </c>
      <c r="AU19" s="218">
        <v>42017</v>
      </c>
      <c r="AV19" s="219">
        <v>42017</v>
      </c>
      <c r="AW19" s="440">
        <v>42017</v>
      </c>
      <c r="AX19" s="210" t="s">
        <v>100</v>
      </c>
      <c r="AZ19" s="220">
        <v>42017</v>
      </c>
      <c r="BA19" s="220">
        <v>42017</v>
      </c>
      <c r="BB19" s="221"/>
      <c r="BC19" s="217">
        <v>42017</v>
      </c>
      <c r="BD19" s="222" t="s">
        <v>42</v>
      </c>
      <c r="BE19" s="217">
        <v>42017</v>
      </c>
      <c r="BF19" s="222" t="s">
        <v>43</v>
      </c>
      <c r="BG19" s="217">
        <v>42017</v>
      </c>
      <c r="BH19" s="210" t="s">
        <v>1628</v>
      </c>
      <c r="BI19" s="223">
        <v>42017</v>
      </c>
      <c r="BJ19" s="217">
        <v>42017</v>
      </c>
      <c r="BK19" s="218"/>
      <c r="BL19" s="219"/>
      <c r="BM19" s="217">
        <v>42017</v>
      </c>
      <c r="BN19" s="218">
        <v>42017</v>
      </c>
      <c r="BO19" s="219">
        <v>42017</v>
      </c>
      <c r="BP19" s="224">
        <v>42017</v>
      </c>
      <c r="BQ19" s="218">
        <v>42017</v>
      </c>
      <c r="BR19" s="219">
        <v>42017</v>
      </c>
      <c r="BS19" s="440">
        <v>42017</v>
      </c>
      <c r="BT19" s="211">
        <v>42017</v>
      </c>
      <c r="BU19" s="441">
        <v>42017</v>
      </c>
      <c r="BV19" s="255"/>
      <c r="BW19" s="501" t="str">
        <f t="shared" si="9"/>
        <v xml:space="preserve">1905 (for processing) 1/13/2015, 2305 (for processing) 1/13/2015, MDR 1/13/2015, </v>
      </c>
      <c r="BX19" s="501" t="str">
        <f t="shared" si="4"/>
        <v/>
      </c>
      <c r="BY19" s="501" t="str">
        <f t="shared" si="5"/>
        <v/>
      </c>
      <c r="BZ19" s="502" t="str">
        <f t="shared" si="6"/>
        <v/>
      </c>
      <c r="CA19" s="491">
        <f t="shared" si="10"/>
        <v>179</v>
      </c>
      <c r="CB19" s="503">
        <f t="shared" si="32"/>
        <v>42016</v>
      </c>
      <c r="CC19" s="487">
        <f t="shared" ca="1" si="33"/>
        <v>19</v>
      </c>
      <c r="CD19" s="487">
        <f t="shared" si="11"/>
        <v>3</v>
      </c>
      <c r="CE19" s="487">
        <f t="shared" si="12"/>
        <v>3</v>
      </c>
      <c r="CF19" s="504">
        <f t="shared" si="13"/>
        <v>0</v>
      </c>
      <c r="CG19" s="505">
        <f t="shared" si="14"/>
        <v>1</v>
      </c>
      <c r="CH19" s="487" t="str">
        <f t="shared" si="15"/>
        <v/>
      </c>
      <c r="CI19" s="503" t="str">
        <f t="shared" si="34"/>
        <v/>
      </c>
      <c r="CJ19" s="503" t="str">
        <f t="shared" si="16"/>
        <v/>
      </c>
      <c r="CK19" s="487">
        <f t="shared" si="17"/>
        <v>3</v>
      </c>
      <c r="CL19" s="487">
        <f t="shared" si="18"/>
        <v>3</v>
      </c>
      <c r="CM19" s="487">
        <f t="shared" si="19"/>
        <v>3</v>
      </c>
      <c r="CN19" s="487">
        <f t="shared" si="20"/>
        <v>3</v>
      </c>
      <c r="CO19" s="487">
        <f t="shared" si="21"/>
        <v>3</v>
      </c>
      <c r="CP19" s="487">
        <f t="shared" si="22"/>
        <v>3</v>
      </c>
      <c r="CQ19" s="487">
        <f t="shared" si="23"/>
        <v>3</v>
      </c>
      <c r="CR19" s="487">
        <f t="shared" si="24"/>
        <v>3</v>
      </c>
      <c r="CS19" s="487">
        <f t="shared" si="25"/>
        <v>3</v>
      </c>
      <c r="CT19" s="487">
        <f t="shared" si="26"/>
        <v>3</v>
      </c>
      <c r="CU19" s="487">
        <f t="shared" si="27"/>
        <v>3</v>
      </c>
      <c r="CV19" s="487">
        <f t="shared" si="28"/>
        <v>3</v>
      </c>
      <c r="CW19" s="487">
        <f t="shared" si="29"/>
        <v>3</v>
      </c>
      <c r="CX19" s="487">
        <f t="shared" si="30"/>
        <v>10</v>
      </c>
      <c r="CY19" s="487">
        <f t="shared" si="31"/>
        <v>3</v>
      </c>
      <c r="CZ19" s="213" t="str">
        <f t="shared" si="35"/>
        <v/>
      </c>
      <c r="DA19" s="213">
        <f t="shared" si="36"/>
        <v>0</v>
      </c>
      <c r="DB19" s="213">
        <f t="shared" si="37"/>
        <v>0</v>
      </c>
    </row>
    <row r="20" spans="1:106" s="113" customFormat="1" ht="15.75" thickTop="1" x14ac:dyDescent="0.25">
      <c r="A20" s="131">
        <v>180</v>
      </c>
      <c r="B20" s="124">
        <v>42023</v>
      </c>
      <c r="C20" s="123">
        <v>1082234</v>
      </c>
      <c r="D20" s="123" t="s">
        <v>101</v>
      </c>
      <c r="E20" s="123" t="str">
        <f t="shared" si="0"/>
        <v/>
      </c>
      <c r="F20" s="123" t="str">
        <f t="shared" si="1"/>
        <v/>
      </c>
      <c r="G20" s="113" t="s">
        <v>474</v>
      </c>
      <c r="K20" s="152" t="str">
        <f t="shared" ca="1" si="7"/>
        <v/>
      </c>
      <c r="N20" s="153" t="str">
        <f t="shared" si="2"/>
        <v/>
      </c>
      <c r="O20" s="113" t="s">
        <v>298</v>
      </c>
      <c r="P20" s="113" t="s">
        <v>689</v>
      </c>
      <c r="Q20" s="123" t="s">
        <v>102</v>
      </c>
      <c r="R20" s="127">
        <v>9162450098</v>
      </c>
      <c r="S20" s="153">
        <f t="shared" si="8"/>
        <v>9162450098</v>
      </c>
      <c r="T20" s="153" t="str">
        <f t="shared" si="3"/>
        <v/>
      </c>
      <c r="U20" s="113" t="s">
        <v>445</v>
      </c>
      <c r="Y20" s="123" t="s">
        <v>73</v>
      </c>
      <c r="Z20" s="123" t="s">
        <v>74</v>
      </c>
      <c r="AA20" s="123"/>
      <c r="AB20" s="123"/>
      <c r="AC20" s="123"/>
      <c r="AD20" s="123"/>
      <c r="AH20" s="158" t="s">
        <v>52</v>
      </c>
      <c r="AI20" s="123"/>
      <c r="AJ20" s="530"/>
      <c r="AK20" s="123"/>
      <c r="AL20" s="123"/>
      <c r="AM20" s="123"/>
      <c r="AN20" s="124">
        <v>29870</v>
      </c>
      <c r="AO20" s="126" t="s">
        <v>227</v>
      </c>
      <c r="AP20" s="126"/>
      <c r="AQ20" s="123" t="s">
        <v>53</v>
      </c>
      <c r="AR20" s="123"/>
      <c r="AS20" s="164">
        <v>42024</v>
      </c>
      <c r="AT20" s="128">
        <v>42024</v>
      </c>
      <c r="AU20" s="128">
        <v>42024</v>
      </c>
      <c r="AV20" s="173"/>
      <c r="AW20" s="190"/>
      <c r="AX20" s="123" t="s">
        <v>49</v>
      </c>
      <c r="BA20" s="129">
        <v>42025</v>
      </c>
      <c r="BB20" s="182"/>
      <c r="BC20" s="164">
        <v>42024</v>
      </c>
      <c r="BD20" s="186" t="s">
        <v>103</v>
      </c>
      <c r="BE20" s="164">
        <v>42031</v>
      </c>
      <c r="BF20" s="186" t="s">
        <v>104</v>
      </c>
      <c r="BG20" s="164">
        <v>42024</v>
      </c>
      <c r="BH20" s="123" t="s">
        <v>1627</v>
      </c>
      <c r="BI20" s="177">
        <v>42026</v>
      </c>
      <c r="BJ20" s="160"/>
      <c r="BK20" s="125"/>
      <c r="BL20" s="173"/>
      <c r="BM20" s="164">
        <v>42024</v>
      </c>
      <c r="BN20" s="125"/>
      <c r="BO20" s="173"/>
      <c r="BP20" s="165"/>
      <c r="BQ20" s="125"/>
      <c r="BR20" s="189">
        <v>42024</v>
      </c>
      <c r="BS20" s="442">
        <v>42024</v>
      </c>
      <c r="BT20" s="124">
        <v>42024</v>
      </c>
      <c r="BU20" s="443">
        <v>42024</v>
      </c>
      <c r="BV20" s="256"/>
      <c r="BW20" s="511" t="str">
        <f t="shared" si="9"/>
        <v xml:space="preserve">2305 (for processing) 1/21/2015, MDR 1/22/2015, </v>
      </c>
      <c r="BX20" s="511" t="str">
        <f t="shared" si="4"/>
        <v/>
      </c>
      <c r="BY20" s="511" t="str">
        <f t="shared" si="5"/>
        <v/>
      </c>
      <c r="BZ20" s="512" t="str">
        <f t="shared" si="6"/>
        <v/>
      </c>
      <c r="CA20" s="151" t="str">
        <f t="shared" si="10"/>
        <v/>
      </c>
      <c r="CB20" s="151" t="str">
        <f t="shared" ref="CB20:CB70" si="38">IFERROR(CA20*7+40763,"")</f>
        <v/>
      </c>
      <c r="CC20" s="153" t="str">
        <f t="shared" ca="1" si="33"/>
        <v/>
      </c>
      <c r="CD20" s="153" t="str">
        <f t="shared" si="11"/>
        <v/>
      </c>
      <c r="CE20" s="153" t="str">
        <f t="shared" si="12"/>
        <v/>
      </c>
      <c r="CF20" s="396" t="str">
        <f t="shared" si="13"/>
        <v/>
      </c>
      <c r="CG20" s="397" t="str">
        <f t="shared" si="14"/>
        <v/>
      </c>
      <c r="CH20" s="153" t="str">
        <f t="shared" si="15"/>
        <v/>
      </c>
      <c r="CI20" s="151" t="str">
        <f t="shared" si="34"/>
        <v/>
      </c>
      <c r="CJ20" s="151" t="str">
        <f t="shared" si="16"/>
        <v/>
      </c>
      <c r="CK20" s="153">
        <f t="shared" si="17"/>
        <v>0</v>
      </c>
      <c r="CL20" s="153">
        <f t="shared" si="18"/>
        <v>0</v>
      </c>
      <c r="CM20" s="153">
        <f t="shared" si="19"/>
        <v>0</v>
      </c>
      <c r="CN20" s="153">
        <f t="shared" si="20"/>
        <v>0</v>
      </c>
      <c r="CO20" s="153">
        <f t="shared" si="21"/>
        <v>0</v>
      </c>
      <c r="CP20" s="153">
        <f t="shared" si="22"/>
        <v>0</v>
      </c>
      <c r="CQ20" s="153">
        <f t="shared" si="23"/>
        <v>0</v>
      </c>
      <c r="CR20" s="153">
        <f t="shared" si="24"/>
        <v>0</v>
      </c>
      <c r="CS20" s="153">
        <f t="shared" si="25"/>
        <v>0</v>
      </c>
      <c r="CT20" s="153">
        <f t="shared" si="26"/>
        <v>0</v>
      </c>
      <c r="CU20" s="153">
        <f t="shared" si="27"/>
        <v>0</v>
      </c>
      <c r="CV20" s="153">
        <f t="shared" si="28"/>
        <v>0</v>
      </c>
      <c r="CW20" s="153">
        <f t="shared" si="29"/>
        <v>0</v>
      </c>
      <c r="CX20" s="153">
        <f t="shared" si="30"/>
        <v>1</v>
      </c>
      <c r="CY20" s="153">
        <f t="shared" si="31"/>
        <v>0</v>
      </c>
      <c r="CZ20" s="113" t="str">
        <f t="shared" si="35"/>
        <v/>
      </c>
      <c r="DA20" s="113">
        <f t="shared" si="36"/>
        <v>0</v>
      </c>
      <c r="DB20" s="113">
        <f t="shared" si="37"/>
        <v>0</v>
      </c>
    </row>
    <row r="21" spans="1:106" s="321" customFormat="1" x14ac:dyDescent="0.25">
      <c r="A21" s="314">
        <v>180</v>
      </c>
      <c r="B21" s="315">
        <v>42023</v>
      </c>
      <c r="C21" s="316">
        <v>1082235</v>
      </c>
      <c r="D21" s="316" t="s">
        <v>105</v>
      </c>
      <c r="E21" s="316" t="str">
        <f t="shared" si="0"/>
        <v/>
      </c>
      <c r="F21" s="316" t="str">
        <f t="shared" si="1"/>
        <v xml:space="preserve">2x2, </v>
      </c>
      <c r="G21" s="317" t="s">
        <v>474</v>
      </c>
      <c r="H21" s="317"/>
      <c r="I21" s="317"/>
      <c r="J21" s="317"/>
      <c r="K21" s="152" t="str">
        <f t="shared" ca="1" si="7"/>
        <v/>
      </c>
      <c r="L21" s="317"/>
      <c r="M21" s="334">
        <v>42046</v>
      </c>
      <c r="N21" s="156" t="str">
        <f t="shared" si="2"/>
        <v/>
      </c>
      <c r="O21" s="321" t="s">
        <v>302</v>
      </c>
      <c r="Q21" s="316" t="s">
        <v>106</v>
      </c>
      <c r="R21" s="319">
        <v>9266623461</v>
      </c>
      <c r="S21" s="156">
        <f t="shared" si="8"/>
        <v>9266623461</v>
      </c>
      <c r="T21" s="156" t="str">
        <f t="shared" si="3"/>
        <v/>
      </c>
      <c r="U21" s="321" t="s">
        <v>446</v>
      </c>
      <c r="V21" s="321" t="s">
        <v>535</v>
      </c>
      <c r="W21" s="321" t="s">
        <v>530</v>
      </c>
      <c r="Y21" s="316" t="s">
        <v>73</v>
      </c>
      <c r="Z21" s="316" t="s">
        <v>74</v>
      </c>
      <c r="AA21" s="316"/>
      <c r="AB21" s="316"/>
      <c r="AC21" s="316"/>
      <c r="AD21" s="316"/>
      <c r="AH21" s="320" t="s">
        <v>52</v>
      </c>
      <c r="AI21" s="316"/>
      <c r="AJ21" s="527"/>
      <c r="AK21" s="316"/>
      <c r="AL21" s="316"/>
      <c r="AM21" s="316"/>
      <c r="AN21" s="315">
        <v>33707</v>
      </c>
      <c r="AO21" s="322" t="s">
        <v>228</v>
      </c>
      <c r="AP21" s="322"/>
      <c r="AQ21" s="316" t="s">
        <v>53</v>
      </c>
      <c r="AR21" s="316"/>
      <c r="AS21" s="323">
        <v>42026</v>
      </c>
      <c r="AT21" s="324">
        <v>42026</v>
      </c>
      <c r="AU21" s="324">
        <v>42026</v>
      </c>
      <c r="AV21" s="325">
        <v>42026</v>
      </c>
      <c r="AW21" s="328">
        <v>42041</v>
      </c>
      <c r="AX21" s="316" t="s">
        <v>524</v>
      </c>
      <c r="AY21" s="317"/>
      <c r="AZ21" s="318">
        <v>42041</v>
      </c>
      <c r="BA21" s="318">
        <v>42025</v>
      </c>
      <c r="BB21" s="326"/>
      <c r="BC21" s="323">
        <v>42026</v>
      </c>
      <c r="BD21" s="327" t="s">
        <v>31</v>
      </c>
      <c r="BE21" s="323">
        <v>42026</v>
      </c>
      <c r="BF21" s="327" t="s">
        <v>32</v>
      </c>
      <c r="BG21" s="323">
        <v>42026</v>
      </c>
      <c r="BH21" s="316" t="s">
        <v>33</v>
      </c>
      <c r="BI21" s="329">
        <v>42041</v>
      </c>
      <c r="BJ21" s="323">
        <v>42026</v>
      </c>
      <c r="BK21" s="335"/>
      <c r="BL21" s="336"/>
      <c r="BM21" s="328">
        <v>42041</v>
      </c>
      <c r="BN21" s="330"/>
      <c r="BO21" s="331"/>
      <c r="BP21" s="337"/>
      <c r="BQ21" s="338">
        <v>42041</v>
      </c>
      <c r="BR21" s="339">
        <v>42041</v>
      </c>
      <c r="BS21" s="436">
        <v>42024</v>
      </c>
      <c r="BT21" s="315">
        <v>42024</v>
      </c>
      <c r="BU21" s="437">
        <v>42024</v>
      </c>
      <c r="BV21" s="333"/>
      <c r="BW21" s="499" t="str">
        <f t="shared" si="9"/>
        <v xml:space="preserve">1905 2/6/2015, 2305 1/21/2015, MDR 2/6/2015, </v>
      </c>
      <c r="BX21" s="499">
        <f t="shared" si="4"/>
        <v>11</v>
      </c>
      <c r="BY21" s="499">
        <f t="shared" si="5"/>
        <v>11</v>
      </c>
      <c r="BZ21" s="500">
        <f t="shared" si="6"/>
        <v>1</v>
      </c>
      <c r="CA21" s="155" t="str">
        <f t="shared" si="10"/>
        <v/>
      </c>
      <c r="CB21" s="155" t="str">
        <f t="shared" si="38"/>
        <v/>
      </c>
      <c r="CC21" s="156" t="str">
        <f t="shared" ca="1" si="33"/>
        <v/>
      </c>
      <c r="CD21" s="156" t="str">
        <f t="shared" si="11"/>
        <v/>
      </c>
      <c r="CE21" s="156" t="str">
        <f t="shared" si="12"/>
        <v/>
      </c>
      <c r="CF21" s="495" t="str">
        <f t="shared" si="13"/>
        <v/>
      </c>
      <c r="CG21" s="496" t="str">
        <f t="shared" si="14"/>
        <v/>
      </c>
      <c r="CH21" s="156" t="str">
        <f t="shared" si="15"/>
        <v/>
      </c>
      <c r="CI21" s="155" t="str">
        <f t="shared" si="34"/>
        <v/>
      </c>
      <c r="CJ21" s="155" t="str">
        <f t="shared" si="16"/>
        <v/>
      </c>
      <c r="CK21" s="156">
        <f t="shared" si="17"/>
        <v>1</v>
      </c>
      <c r="CL21" s="156">
        <f t="shared" si="18"/>
        <v>1</v>
      </c>
      <c r="CM21" s="156">
        <f t="shared" si="19"/>
        <v>1</v>
      </c>
      <c r="CN21" s="156">
        <f t="shared" si="20"/>
        <v>1</v>
      </c>
      <c r="CO21" s="156">
        <f t="shared" si="21"/>
        <v>1</v>
      </c>
      <c r="CP21" s="156">
        <f t="shared" si="22"/>
        <v>1</v>
      </c>
      <c r="CQ21" s="156">
        <f t="shared" si="23"/>
        <v>1</v>
      </c>
      <c r="CR21" s="156">
        <f t="shared" si="24"/>
        <v>1</v>
      </c>
      <c r="CS21" s="156">
        <f t="shared" si="25"/>
        <v>1</v>
      </c>
      <c r="CT21" s="156">
        <f t="shared" si="26"/>
        <v>1</v>
      </c>
      <c r="CU21" s="156">
        <f t="shared" si="27"/>
        <v>1</v>
      </c>
      <c r="CV21" s="156">
        <f t="shared" si="28"/>
        <v>1</v>
      </c>
      <c r="CW21" s="156">
        <f t="shared" si="29"/>
        <v>1</v>
      </c>
      <c r="CX21" s="156">
        <f t="shared" si="30"/>
        <v>1</v>
      </c>
      <c r="CY21" s="156">
        <f t="shared" si="31"/>
        <v>1</v>
      </c>
      <c r="CZ21" s="321">
        <f t="shared" si="35"/>
        <v>23</v>
      </c>
      <c r="DA21" s="321">
        <f t="shared" si="36"/>
        <v>1</v>
      </c>
      <c r="DB21" s="321">
        <f t="shared" si="37"/>
        <v>1</v>
      </c>
    </row>
    <row r="22" spans="1:106" s="8" customFormat="1" x14ac:dyDescent="0.25">
      <c r="A22" s="130">
        <v>180</v>
      </c>
      <c r="B22" s="12">
        <v>42023</v>
      </c>
      <c r="C22" s="11">
        <v>1082236</v>
      </c>
      <c r="D22" s="11" t="s">
        <v>107</v>
      </c>
      <c r="E22" s="11" t="str">
        <f t="shared" si="0"/>
        <v/>
      </c>
      <c r="F22" s="11" t="str">
        <f t="shared" si="1"/>
        <v/>
      </c>
      <c r="G22" s="113" t="s">
        <v>474</v>
      </c>
      <c r="H22" s="113"/>
      <c r="I22" s="113"/>
      <c r="J22" s="113"/>
      <c r="K22" s="152" t="str">
        <f t="shared" ca="1" si="7"/>
        <v/>
      </c>
      <c r="L22" s="113"/>
      <c r="N22" s="156" t="str">
        <f t="shared" si="2"/>
        <v/>
      </c>
      <c r="O22" s="8" t="s">
        <v>298</v>
      </c>
      <c r="P22" s="8" t="s">
        <v>689</v>
      </c>
      <c r="Q22" s="11" t="s">
        <v>108</v>
      </c>
      <c r="R22" s="13"/>
      <c r="S22" s="156">
        <f t="shared" si="8"/>
        <v>0</v>
      </c>
      <c r="T22" s="156" t="str">
        <f t="shared" si="3"/>
        <v/>
      </c>
      <c r="U22" s="8" t="s">
        <v>447</v>
      </c>
      <c r="Y22" s="11" t="s">
        <v>73</v>
      </c>
      <c r="Z22" s="11" t="s">
        <v>74</v>
      </c>
      <c r="AA22" s="11"/>
      <c r="AB22" s="11"/>
      <c r="AC22" s="11"/>
      <c r="AD22" s="11"/>
      <c r="AH22" s="157" t="s">
        <v>47</v>
      </c>
      <c r="AI22" s="11"/>
      <c r="AJ22" s="527"/>
      <c r="AK22" s="11"/>
      <c r="AL22" s="11"/>
      <c r="AM22" s="11"/>
      <c r="AN22" s="12">
        <v>33774</v>
      </c>
      <c r="AO22" s="18" t="s">
        <v>229</v>
      </c>
      <c r="AP22" s="18"/>
      <c r="AQ22" s="11" t="s">
        <v>50</v>
      </c>
      <c r="AR22" s="15"/>
      <c r="AS22" s="160"/>
      <c r="AT22" s="125"/>
      <c r="AU22" s="125"/>
      <c r="AV22" s="173"/>
      <c r="AW22" s="190"/>
      <c r="AX22" s="11" t="s">
        <v>49</v>
      </c>
      <c r="AY22" s="113"/>
      <c r="AZ22" s="113"/>
      <c r="BA22" s="129">
        <v>42025</v>
      </c>
      <c r="BB22" s="182"/>
      <c r="BC22" s="160"/>
      <c r="BD22" s="184" t="s">
        <v>49</v>
      </c>
      <c r="BE22" s="160"/>
      <c r="BF22" s="184" t="s">
        <v>49</v>
      </c>
      <c r="BG22" s="160"/>
      <c r="BH22" s="11" t="s">
        <v>49</v>
      </c>
      <c r="BI22" s="182"/>
      <c r="BJ22" s="160"/>
      <c r="BK22" s="125"/>
      <c r="BL22" s="173"/>
      <c r="BM22" s="160"/>
      <c r="BN22" s="125"/>
      <c r="BO22" s="173"/>
      <c r="BP22" s="165"/>
      <c r="BQ22" s="125"/>
      <c r="BR22" s="173"/>
      <c r="BS22" s="438">
        <v>42024</v>
      </c>
      <c r="BT22" s="12">
        <v>42024</v>
      </c>
      <c r="BU22" s="439">
        <v>42024</v>
      </c>
      <c r="BV22" s="254"/>
      <c r="BW22" s="499" t="str">
        <f t="shared" si="9"/>
        <v xml:space="preserve">2305 (for processing) 1/21/2015, </v>
      </c>
      <c r="BX22" s="499" t="str">
        <f t="shared" si="4"/>
        <v/>
      </c>
      <c r="BY22" s="499" t="str">
        <f t="shared" si="5"/>
        <v/>
      </c>
      <c r="BZ22" s="500" t="str">
        <f t="shared" si="6"/>
        <v/>
      </c>
      <c r="CA22" s="155" t="str">
        <f t="shared" si="10"/>
        <v/>
      </c>
      <c r="CB22" s="155" t="str">
        <f t="shared" si="38"/>
        <v/>
      </c>
      <c r="CC22" s="156" t="str">
        <f t="shared" ca="1" si="33"/>
        <v/>
      </c>
      <c r="CD22" s="156" t="str">
        <f t="shared" si="11"/>
        <v/>
      </c>
      <c r="CE22" s="156" t="str">
        <f t="shared" si="12"/>
        <v/>
      </c>
      <c r="CF22" s="495" t="str">
        <f t="shared" si="13"/>
        <v/>
      </c>
      <c r="CG22" s="496" t="str">
        <f t="shared" si="14"/>
        <v/>
      </c>
      <c r="CH22" s="156" t="str">
        <f t="shared" si="15"/>
        <v/>
      </c>
      <c r="CI22" s="155" t="str">
        <f t="shared" si="34"/>
        <v/>
      </c>
      <c r="CJ22" s="155" t="str">
        <f t="shared" si="16"/>
        <v/>
      </c>
      <c r="CK22" s="156">
        <f t="shared" si="17"/>
        <v>1</v>
      </c>
      <c r="CL22" s="156">
        <f t="shared" si="18"/>
        <v>1</v>
      </c>
      <c r="CM22" s="156">
        <f t="shared" si="19"/>
        <v>1</v>
      </c>
      <c r="CN22" s="156">
        <f t="shared" si="20"/>
        <v>1</v>
      </c>
      <c r="CO22" s="156">
        <f t="shared" si="21"/>
        <v>1</v>
      </c>
      <c r="CP22" s="156">
        <f t="shared" si="22"/>
        <v>1</v>
      </c>
      <c r="CQ22" s="156">
        <f t="shared" si="23"/>
        <v>1</v>
      </c>
      <c r="CR22" s="156">
        <f t="shared" si="24"/>
        <v>1</v>
      </c>
      <c r="CS22" s="156">
        <f t="shared" si="25"/>
        <v>1</v>
      </c>
      <c r="CT22" s="156">
        <f t="shared" si="26"/>
        <v>1</v>
      </c>
      <c r="CU22" s="156">
        <f t="shared" si="27"/>
        <v>1</v>
      </c>
      <c r="CV22" s="156">
        <f t="shared" si="28"/>
        <v>1</v>
      </c>
      <c r="CW22" s="156">
        <f t="shared" si="29"/>
        <v>1</v>
      </c>
      <c r="CX22" s="156">
        <f t="shared" si="30"/>
        <v>2</v>
      </c>
      <c r="CY22" s="156">
        <f t="shared" si="31"/>
        <v>1</v>
      </c>
      <c r="CZ22" s="8" t="str">
        <f t="shared" si="35"/>
        <v/>
      </c>
      <c r="DA22" s="8">
        <f t="shared" si="36"/>
        <v>0</v>
      </c>
      <c r="DB22" s="8">
        <f t="shared" si="37"/>
        <v>0</v>
      </c>
    </row>
    <row r="23" spans="1:106" s="8" customFormat="1" x14ac:dyDescent="0.25">
      <c r="A23" s="130">
        <v>180</v>
      </c>
      <c r="B23" s="12">
        <v>42023</v>
      </c>
      <c r="C23" s="11">
        <v>1082237</v>
      </c>
      <c r="D23" s="11" t="s">
        <v>109</v>
      </c>
      <c r="E23" s="11" t="str">
        <f t="shared" si="0"/>
        <v/>
      </c>
      <c r="F23" s="11" t="str">
        <f t="shared" si="1"/>
        <v/>
      </c>
      <c r="G23" s="113" t="s">
        <v>474</v>
      </c>
      <c r="H23" s="113"/>
      <c r="I23" s="113"/>
      <c r="J23" s="113"/>
      <c r="K23" s="152" t="str">
        <f t="shared" ca="1" si="7"/>
        <v/>
      </c>
      <c r="L23" s="113"/>
      <c r="N23" s="156" t="str">
        <f t="shared" si="2"/>
        <v/>
      </c>
      <c r="O23" s="8" t="s">
        <v>298</v>
      </c>
      <c r="P23" s="8" t="s">
        <v>689</v>
      </c>
      <c r="Q23" s="11" t="s">
        <v>49</v>
      </c>
      <c r="R23" s="14">
        <v>9985492486</v>
      </c>
      <c r="S23" s="156">
        <f t="shared" si="8"/>
        <v>9985492486</v>
      </c>
      <c r="T23" s="156" t="str">
        <f t="shared" si="3"/>
        <v/>
      </c>
      <c r="U23" s="8" t="s">
        <v>448</v>
      </c>
      <c r="V23" s="8" t="s">
        <v>537</v>
      </c>
      <c r="W23" s="8" t="s">
        <v>536</v>
      </c>
      <c r="Y23" s="11" t="s">
        <v>73</v>
      </c>
      <c r="Z23" s="11" t="s">
        <v>74</v>
      </c>
      <c r="AA23" s="11"/>
      <c r="AB23" s="11"/>
      <c r="AC23" s="11"/>
      <c r="AD23" s="11"/>
      <c r="AH23" s="157" t="s">
        <v>52</v>
      </c>
      <c r="AI23" s="11"/>
      <c r="AJ23" s="527"/>
      <c r="AK23" s="11"/>
      <c r="AL23" s="11"/>
      <c r="AM23" s="11"/>
      <c r="AN23" s="12">
        <v>33029</v>
      </c>
      <c r="AO23" s="18" t="s">
        <v>230</v>
      </c>
      <c r="AP23" s="18"/>
      <c r="AQ23" s="11" t="s">
        <v>50</v>
      </c>
      <c r="AR23" s="11"/>
      <c r="AS23" s="163">
        <v>42027</v>
      </c>
      <c r="AT23" s="19">
        <v>42027</v>
      </c>
      <c r="AU23" s="19">
        <v>42027</v>
      </c>
      <c r="AV23" s="176">
        <v>42027</v>
      </c>
      <c r="AW23" s="190"/>
      <c r="AX23" s="11" t="s">
        <v>49</v>
      </c>
      <c r="AY23" s="113"/>
      <c r="AZ23" s="113">
        <v>1</v>
      </c>
      <c r="BA23" s="129">
        <v>42025</v>
      </c>
      <c r="BB23" s="182"/>
      <c r="BC23" s="160"/>
      <c r="BD23" s="184" t="s">
        <v>49</v>
      </c>
      <c r="BE23" s="160"/>
      <c r="BF23" s="184" t="s">
        <v>49</v>
      </c>
      <c r="BG23" s="163">
        <v>42034</v>
      </c>
      <c r="BH23" s="11" t="s">
        <v>110</v>
      </c>
      <c r="BI23" s="177">
        <v>42034</v>
      </c>
      <c r="BJ23" s="160"/>
      <c r="BK23" s="125"/>
      <c r="BL23" s="173"/>
      <c r="BM23" s="163">
        <v>42034</v>
      </c>
      <c r="BN23" s="125"/>
      <c r="BO23" s="173"/>
      <c r="BP23" s="165"/>
      <c r="BQ23" s="19">
        <v>42034</v>
      </c>
      <c r="BR23" s="173"/>
      <c r="BS23" s="438">
        <v>42024</v>
      </c>
      <c r="BT23" s="12">
        <v>42024</v>
      </c>
      <c r="BU23" s="439">
        <v>42024</v>
      </c>
      <c r="BV23" s="254"/>
      <c r="BW23" s="499" t="str">
        <f t="shared" si="9"/>
        <v xml:space="preserve">2305 (for processing) 1/21/2015, MDR 1/30/2015, </v>
      </c>
      <c r="BX23" s="499" t="str">
        <f t="shared" si="4"/>
        <v/>
      </c>
      <c r="BY23" s="499" t="str">
        <f t="shared" si="5"/>
        <v/>
      </c>
      <c r="BZ23" s="500" t="str">
        <f t="shared" si="6"/>
        <v/>
      </c>
      <c r="CA23" s="155" t="str">
        <f t="shared" si="10"/>
        <v/>
      </c>
      <c r="CB23" s="155" t="str">
        <f t="shared" si="38"/>
        <v/>
      </c>
      <c r="CC23" s="156" t="str">
        <f t="shared" ca="1" si="33"/>
        <v/>
      </c>
      <c r="CD23" s="156" t="str">
        <f t="shared" si="11"/>
        <v/>
      </c>
      <c r="CE23" s="156" t="str">
        <f t="shared" si="12"/>
        <v/>
      </c>
      <c r="CF23" s="495" t="str">
        <f t="shared" si="13"/>
        <v/>
      </c>
      <c r="CG23" s="496" t="str">
        <f t="shared" si="14"/>
        <v/>
      </c>
      <c r="CH23" s="156" t="str">
        <f t="shared" si="15"/>
        <v/>
      </c>
      <c r="CI23" s="155" t="str">
        <f t="shared" si="34"/>
        <v/>
      </c>
      <c r="CJ23" s="155" t="str">
        <f t="shared" si="16"/>
        <v/>
      </c>
      <c r="CK23" s="156">
        <f t="shared" si="17"/>
        <v>1</v>
      </c>
      <c r="CL23" s="156">
        <f t="shared" si="18"/>
        <v>1</v>
      </c>
      <c r="CM23" s="156">
        <f t="shared" si="19"/>
        <v>1</v>
      </c>
      <c r="CN23" s="156">
        <f t="shared" si="20"/>
        <v>1</v>
      </c>
      <c r="CO23" s="156">
        <f t="shared" si="21"/>
        <v>1</v>
      </c>
      <c r="CP23" s="156">
        <f t="shared" si="22"/>
        <v>1</v>
      </c>
      <c r="CQ23" s="156">
        <f t="shared" si="23"/>
        <v>1</v>
      </c>
      <c r="CR23" s="156">
        <f t="shared" si="24"/>
        <v>1</v>
      </c>
      <c r="CS23" s="156">
        <f t="shared" si="25"/>
        <v>1</v>
      </c>
      <c r="CT23" s="156">
        <f t="shared" si="26"/>
        <v>1</v>
      </c>
      <c r="CU23" s="156">
        <f t="shared" si="27"/>
        <v>1</v>
      </c>
      <c r="CV23" s="156">
        <f t="shared" si="28"/>
        <v>1</v>
      </c>
      <c r="CW23" s="156">
        <f t="shared" si="29"/>
        <v>1</v>
      </c>
      <c r="CX23" s="156">
        <f t="shared" si="30"/>
        <v>3</v>
      </c>
      <c r="CY23" s="156">
        <f t="shared" si="31"/>
        <v>1</v>
      </c>
      <c r="CZ23" s="8" t="str">
        <f t="shared" si="35"/>
        <v/>
      </c>
      <c r="DA23" s="8">
        <f t="shared" si="36"/>
        <v>0</v>
      </c>
      <c r="DB23" s="8">
        <f t="shared" si="37"/>
        <v>0</v>
      </c>
    </row>
    <row r="24" spans="1:106" s="8" customFormat="1" x14ac:dyDescent="0.25">
      <c r="A24" s="130">
        <v>180</v>
      </c>
      <c r="B24" s="12">
        <v>42023</v>
      </c>
      <c r="C24" s="11">
        <v>1082239</v>
      </c>
      <c r="D24" s="11" t="s">
        <v>111</v>
      </c>
      <c r="E24" s="11" t="str">
        <f t="shared" si="0"/>
        <v/>
      </c>
      <c r="F24" s="11" t="str">
        <f t="shared" si="1"/>
        <v/>
      </c>
      <c r="G24" s="113" t="s">
        <v>474</v>
      </c>
      <c r="H24" s="113"/>
      <c r="I24" s="113"/>
      <c r="J24" s="113"/>
      <c r="K24" s="152" t="str">
        <f t="shared" ca="1" si="7"/>
        <v/>
      </c>
      <c r="L24" s="113"/>
      <c r="N24" s="156" t="str">
        <f t="shared" si="2"/>
        <v/>
      </c>
      <c r="O24" s="8" t="s">
        <v>298</v>
      </c>
      <c r="P24" s="8" t="s">
        <v>689</v>
      </c>
      <c r="Q24" s="11" t="s">
        <v>49</v>
      </c>
      <c r="R24" s="14">
        <v>9262039596</v>
      </c>
      <c r="S24" s="156">
        <f t="shared" si="8"/>
        <v>9262039596</v>
      </c>
      <c r="T24" s="156" t="str">
        <f t="shared" si="3"/>
        <v/>
      </c>
      <c r="U24" s="8" t="s">
        <v>450</v>
      </c>
      <c r="Y24" s="11" t="s">
        <v>73</v>
      </c>
      <c r="Z24" s="11" t="s">
        <v>74</v>
      </c>
      <c r="AA24" s="11"/>
      <c r="AB24" s="11"/>
      <c r="AC24" s="11"/>
      <c r="AD24" s="11"/>
      <c r="AH24" s="157" t="s">
        <v>52</v>
      </c>
      <c r="AI24" s="11"/>
      <c r="AJ24" s="527"/>
      <c r="AK24" s="11"/>
      <c r="AL24" s="11"/>
      <c r="AM24" s="11"/>
      <c r="AN24" s="12">
        <v>33426</v>
      </c>
      <c r="AO24" s="18" t="s">
        <v>231</v>
      </c>
      <c r="AP24" s="18"/>
      <c r="AQ24" s="11" t="s">
        <v>53</v>
      </c>
      <c r="AR24" s="11"/>
      <c r="AS24" s="163">
        <v>42026</v>
      </c>
      <c r="AT24" s="19">
        <v>42026</v>
      </c>
      <c r="AU24" s="19">
        <v>42026</v>
      </c>
      <c r="AV24" s="176">
        <v>42026</v>
      </c>
      <c r="AW24" s="438">
        <v>42027</v>
      </c>
      <c r="AX24" s="11" t="s">
        <v>113</v>
      </c>
      <c r="AY24" s="113"/>
      <c r="AZ24" s="113"/>
      <c r="BA24" s="113"/>
      <c r="BB24" s="182"/>
      <c r="BC24" s="163">
        <v>42027</v>
      </c>
      <c r="BD24" s="184" t="s">
        <v>112</v>
      </c>
      <c r="BE24" s="163">
        <v>42027</v>
      </c>
      <c r="BF24" s="184" t="s">
        <v>2777</v>
      </c>
      <c r="BG24" s="163">
        <v>42027</v>
      </c>
      <c r="BH24" s="11" t="s">
        <v>114</v>
      </c>
      <c r="BI24" s="182"/>
      <c r="BJ24" s="163">
        <v>42027</v>
      </c>
      <c r="BK24" s="19"/>
      <c r="BL24" s="176"/>
      <c r="BM24" s="163">
        <v>42027</v>
      </c>
      <c r="BN24" s="125"/>
      <c r="BO24" s="173"/>
      <c r="BP24" s="165"/>
      <c r="BQ24" s="19">
        <v>42027</v>
      </c>
      <c r="BR24" s="176">
        <v>42027</v>
      </c>
      <c r="BS24" s="438">
        <v>42024</v>
      </c>
      <c r="BT24" s="12">
        <v>42024</v>
      </c>
      <c r="BU24" s="439">
        <v>42025</v>
      </c>
      <c r="BV24" s="254"/>
      <c r="BW24" s="499" t="str">
        <f t="shared" si="9"/>
        <v/>
      </c>
      <c r="BX24" s="499" t="str">
        <f t="shared" si="4"/>
        <v/>
      </c>
      <c r="BY24" s="499" t="str">
        <f t="shared" si="5"/>
        <v/>
      </c>
      <c r="BZ24" s="500" t="str">
        <f t="shared" si="6"/>
        <v/>
      </c>
      <c r="CA24" s="155" t="str">
        <f t="shared" si="10"/>
        <v/>
      </c>
      <c r="CB24" s="155" t="str">
        <f t="shared" si="38"/>
        <v/>
      </c>
      <c r="CC24" s="156" t="str">
        <f t="shared" ca="1" si="33"/>
        <v/>
      </c>
      <c r="CD24" s="156" t="str">
        <f t="shared" si="11"/>
        <v/>
      </c>
      <c r="CE24" s="156" t="str">
        <f t="shared" si="12"/>
        <v/>
      </c>
      <c r="CF24" s="495" t="str">
        <f t="shared" si="13"/>
        <v/>
      </c>
      <c r="CG24" s="496" t="str">
        <f t="shared" si="14"/>
        <v/>
      </c>
      <c r="CH24" s="156" t="str">
        <f t="shared" si="15"/>
        <v/>
      </c>
      <c r="CI24" s="155" t="str">
        <f t="shared" si="34"/>
        <v/>
      </c>
      <c r="CJ24" s="155" t="str">
        <f t="shared" si="16"/>
        <v/>
      </c>
      <c r="CK24" s="156">
        <f t="shared" si="17"/>
        <v>1</v>
      </c>
      <c r="CL24" s="156">
        <f t="shared" si="18"/>
        <v>1</v>
      </c>
      <c r="CM24" s="156">
        <f t="shared" si="19"/>
        <v>1</v>
      </c>
      <c r="CN24" s="156">
        <f t="shared" si="20"/>
        <v>1</v>
      </c>
      <c r="CO24" s="156">
        <f t="shared" si="21"/>
        <v>1</v>
      </c>
      <c r="CP24" s="156">
        <f t="shared" si="22"/>
        <v>1</v>
      </c>
      <c r="CQ24" s="156">
        <f t="shared" si="23"/>
        <v>1</v>
      </c>
      <c r="CR24" s="156">
        <f t="shared" si="24"/>
        <v>1</v>
      </c>
      <c r="CS24" s="156">
        <f t="shared" si="25"/>
        <v>1</v>
      </c>
      <c r="CT24" s="156">
        <f t="shared" si="26"/>
        <v>1</v>
      </c>
      <c r="CU24" s="156">
        <f t="shared" si="27"/>
        <v>1</v>
      </c>
      <c r="CV24" s="156">
        <f t="shared" si="28"/>
        <v>1</v>
      </c>
      <c r="CW24" s="156">
        <f t="shared" si="29"/>
        <v>1</v>
      </c>
      <c r="CX24" s="156">
        <f t="shared" si="30"/>
        <v>4</v>
      </c>
      <c r="CY24" s="156">
        <f t="shared" si="31"/>
        <v>1</v>
      </c>
      <c r="CZ24" s="8" t="str">
        <f t="shared" si="35"/>
        <v/>
      </c>
      <c r="DA24" s="8">
        <f t="shared" si="36"/>
        <v>0</v>
      </c>
      <c r="DB24" s="8">
        <f t="shared" si="37"/>
        <v>0</v>
      </c>
    </row>
    <row r="25" spans="1:106" s="8" customFormat="1" x14ac:dyDescent="0.25">
      <c r="A25" s="130">
        <v>180</v>
      </c>
      <c r="B25" s="12">
        <v>42023</v>
      </c>
      <c r="C25" s="11">
        <v>1082240</v>
      </c>
      <c r="D25" s="11" t="s">
        <v>115</v>
      </c>
      <c r="E25" s="11" t="str">
        <f t="shared" si="0"/>
        <v/>
      </c>
      <c r="F25" s="11" t="str">
        <f t="shared" si="1"/>
        <v/>
      </c>
      <c r="G25" s="113" t="s">
        <v>474</v>
      </c>
      <c r="H25" s="113"/>
      <c r="I25" s="113"/>
      <c r="J25" s="113"/>
      <c r="K25" s="152" t="str">
        <f t="shared" ca="1" si="7"/>
        <v/>
      </c>
      <c r="L25" s="113"/>
      <c r="M25" s="20">
        <v>42040</v>
      </c>
      <c r="N25" s="156" t="str">
        <f t="shared" si="2"/>
        <v/>
      </c>
      <c r="O25" s="8" t="s">
        <v>298</v>
      </c>
      <c r="P25" s="8" t="s">
        <v>689</v>
      </c>
      <c r="Q25" s="11" t="s">
        <v>116</v>
      </c>
      <c r="R25" s="14">
        <v>9323016346</v>
      </c>
      <c r="S25" s="156">
        <f t="shared" si="8"/>
        <v>9323016346</v>
      </c>
      <c r="T25" s="156" t="str">
        <f t="shared" si="3"/>
        <v/>
      </c>
      <c r="U25" s="8" t="s">
        <v>452</v>
      </c>
      <c r="V25" s="8" t="s">
        <v>538</v>
      </c>
      <c r="W25" s="8" t="s">
        <v>507</v>
      </c>
      <c r="Y25" s="11" t="s">
        <v>73</v>
      </c>
      <c r="Z25" s="11" t="s">
        <v>74</v>
      </c>
      <c r="AA25" s="11"/>
      <c r="AB25" s="11"/>
      <c r="AC25" s="11"/>
      <c r="AD25" s="11"/>
      <c r="AH25" s="157" t="s">
        <v>52</v>
      </c>
      <c r="AI25" s="11"/>
      <c r="AJ25" s="527"/>
      <c r="AK25" s="11"/>
      <c r="AL25" s="11"/>
      <c r="AM25" s="11"/>
      <c r="AN25" s="12">
        <v>33059</v>
      </c>
      <c r="AO25" s="18" t="s">
        <v>232</v>
      </c>
      <c r="AP25" s="18"/>
      <c r="AQ25" s="11" t="s">
        <v>53</v>
      </c>
      <c r="AR25" s="11"/>
      <c r="AS25" s="163">
        <v>42024</v>
      </c>
      <c r="AT25" s="19">
        <v>42024</v>
      </c>
      <c r="AU25" s="19">
        <v>42024</v>
      </c>
      <c r="AV25" s="192">
        <v>42041</v>
      </c>
      <c r="AW25" s="438">
        <v>42030</v>
      </c>
      <c r="AX25" s="11" t="s">
        <v>117</v>
      </c>
      <c r="AY25" s="113"/>
      <c r="AZ25" s="129">
        <v>42030</v>
      </c>
      <c r="BA25" s="129">
        <v>42025</v>
      </c>
      <c r="BB25" s="182"/>
      <c r="BC25" s="163">
        <v>42024</v>
      </c>
      <c r="BD25" s="184" t="s">
        <v>21</v>
      </c>
      <c r="BE25" s="163">
        <v>42024</v>
      </c>
      <c r="BF25" s="184" t="s">
        <v>22</v>
      </c>
      <c r="BG25" s="163">
        <v>42024</v>
      </c>
      <c r="BH25" s="11" t="s">
        <v>23</v>
      </c>
      <c r="BI25" s="182"/>
      <c r="BJ25" s="160"/>
      <c r="BK25" s="125"/>
      <c r="BL25" s="173"/>
      <c r="BM25" s="163">
        <v>42024</v>
      </c>
      <c r="BN25" s="125"/>
      <c r="BO25" s="176">
        <v>42025</v>
      </c>
      <c r="BP25" s="187">
        <v>42025</v>
      </c>
      <c r="BQ25" s="19">
        <v>42030</v>
      </c>
      <c r="BR25" s="173"/>
      <c r="BS25" s="438">
        <v>42024</v>
      </c>
      <c r="BT25" s="12">
        <v>42024</v>
      </c>
      <c r="BU25" s="439">
        <v>42024</v>
      </c>
      <c r="BV25" s="254"/>
      <c r="BW25" s="499" t="str">
        <f t="shared" si="9"/>
        <v xml:space="preserve">1905 1/26/2015, 2305 1/21/2015, </v>
      </c>
      <c r="BX25" s="499" t="str">
        <f t="shared" si="4"/>
        <v/>
      </c>
      <c r="BY25" s="499" t="str">
        <f t="shared" si="5"/>
        <v/>
      </c>
      <c r="BZ25" s="500" t="str">
        <f t="shared" si="6"/>
        <v/>
      </c>
      <c r="CA25" s="155" t="str">
        <f t="shared" si="10"/>
        <v/>
      </c>
      <c r="CB25" s="155" t="str">
        <f t="shared" si="38"/>
        <v/>
      </c>
      <c r="CC25" s="156" t="str">
        <f t="shared" ca="1" si="33"/>
        <v/>
      </c>
      <c r="CD25" s="156" t="str">
        <f t="shared" si="11"/>
        <v/>
      </c>
      <c r="CE25" s="156" t="str">
        <f t="shared" si="12"/>
        <v/>
      </c>
      <c r="CF25" s="495" t="str">
        <f t="shared" si="13"/>
        <v/>
      </c>
      <c r="CG25" s="496" t="str">
        <f t="shared" si="14"/>
        <v/>
      </c>
      <c r="CH25" s="156" t="str">
        <f t="shared" si="15"/>
        <v/>
      </c>
      <c r="CI25" s="155" t="str">
        <f t="shared" si="34"/>
        <v/>
      </c>
      <c r="CJ25" s="155" t="str">
        <f t="shared" si="16"/>
        <v/>
      </c>
      <c r="CK25" s="156">
        <f t="shared" si="17"/>
        <v>1</v>
      </c>
      <c r="CL25" s="156">
        <f t="shared" si="18"/>
        <v>1</v>
      </c>
      <c r="CM25" s="156">
        <f t="shared" si="19"/>
        <v>1</v>
      </c>
      <c r="CN25" s="156">
        <f t="shared" si="20"/>
        <v>1</v>
      </c>
      <c r="CO25" s="156">
        <f t="shared" si="21"/>
        <v>1</v>
      </c>
      <c r="CP25" s="156">
        <f t="shared" si="22"/>
        <v>1</v>
      </c>
      <c r="CQ25" s="156">
        <f t="shared" si="23"/>
        <v>1</v>
      </c>
      <c r="CR25" s="156">
        <f t="shared" si="24"/>
        <v>1</v>
      </c>
      <c r="CS25" s="156">
        <f t="shared" si="25"/>
        <v>1</v>
      </c>
      <c r="CT25" s="156">
        <f t="shared" si="26"/>
        <v>1</v>
      </c>
      <c r="CU25" s="156">
        <f t="shared" si="27"/>
        <v>1</v>
      </c>
      <c r="CV25" s="156">
        <f t="shared" si="28"/>
        <v>1</v>
      </c>
      <c r="CW25" s="156">
        <f t="shared" si="29"/>
        <v>1</v>
      </c>
      <c r="CX25" s="156">
        <f t="shared" si="30"/>
        <v>5</v>
      </c>
      <c r="CY25" s="156">
        <f t="shared" si="31"/>
        <v>1</v>
      </c>
      <c r="CZ25" s="8">
        <f t="shared" si="35"/>
        <v>17</v>
      </c>
      <c r="DA25" s="8">
        <f t="shared" si="36"/>
        <v>0</v>
      </c>
      <c r="DB25" s="8">
        <f t="shared" si="37"/>
        <v>0</v>
      </c>
    </row>
    <row r="26" spans="1:106" s="8" customFormat="1" x14ac:dyDescent="0.25">
      <c r="A26" s="130">
        <v>180</v>
      </c>
      <c r="B26" s="12">
        <v>42023</v>
      </c>
      <c r="C26" s="11">
        <v>1082241</v>
      </c>
      <c r="D26" s="11" t="s">
        <v>118</v>
      </c>
      <c r="E26" s="11" t="str">
        <f t="shared" si="0"/>
        <v/>
      </c>
      <c r="F26" s="11" t="str">
        <f t="shared" si="1"/>
        <v/>
      </c>
      <c r="G26" s="113" t="s">
        <v>474</v>
      </c>
      <c r="H26" s="113"/>
      <c r="I26" s="113"/>
      <c r="J26" s="113"/>
      <c r="K26" s="152" t="str">
        <f t="shared" ca="1" si="7"/>
        <v/>
      </c>
      <c r="L26" s="113"/>
      <c r="N26" s="156" t="str">
        <f t="shared" si="2"/>
        <v/>
      </c>
      <c r="O26" s="8" t="s">
        <v>298</v>
      </c>
      <c r="P26" s="8" t="s">
        <v>689</v>
      </c>
      <c r="Q26" s="11" t="s">
        <v>49</v>
      </c>
      <c r="R26" s="14">
        <v>9081558696</v>
      </c>
      <c r="S26" s="156">
        <f t="shared" si="8"/>
        <v>9081558696</v>
      </c>
      <c r="T26" s="156" t="str">
        <f t="shared" si="3"/>
        <v/>
      </c>
      <c r="Y26" s="11" t="s">
        <v>73</v>
      </c>
      <c r="Z26" s="11" t="s">
        <v>74</v>
      </c>
      <c r="AA26" s="11"/>
      <c r="AB26" s="11"/>
      <c r="AC26" s="11"/>
      <c r="AD26" s="11"/>
      <c r="AH26" s="157" t="s">
        <v>52</v>
      </c>
      <c r="AI26" s="11"/>
      <c r="AJ26" s="527"/>
      <c r="AK26" s="11"/>
      <c r="AL26" s="11"/>
      <c r="AM26" s="11"/>
      <c r="AN26" s="12">
        <v>31336</v>
      </c>
      <c r="AO26" s="18" t="s">
        <v>49</v>
      </c>
      <c r="AP26" s="18"/>
      <c r="AQ26" s="11" t="s">
        <v>49</v>
      </c>
      <c r="AR26" s="11"/>
      <c r="AS26" s="160"/>
      <c r="AT26" s="125"/>
      <c r="AU26" s="125"/>
      <c r="AV26" s="173"/>
      <c r="AW26" s="190"/>
      <c r="AX26" s="11" t="s">
        <v>49</v>
      </c>
      <c r="AY26" s="113"/>
      <c r="AZ26" s="113"/>
      <c r="BA26" s="113"/>
      <c r="BB26" s="182"/>
      <c r="BC26" s="160"/>
      <c r="BD26" s="184" t="s">
        <v>49</v>
      </c>
      <c r="BE26" s="160"/>
      <c r="BF26" s="184" t="s">
        <v>49</v>
      </c>
      <c r="BG26" s="160"/>
      <c r="BH26" s="11" t="s">
        <v>49</v>
      </c>
      <c r="BI26" s="182"/>
      <c r="BJ26" s="160"/>
      <c r="BK26" s="125"/>
      <c r="BL26" s="173"/>
      <c r="BM26" s="160"/>
      <c r="BN26" s="125"/>
      <c r="BO26" s="173"/>
      <c r="BP26" s="165"/>
      <c r="BQ26" s="125"/>
      <c r="BR26" s="173"/>
      <c r="BS26" s="438">
        <v>42025</v>
      </c>
      <c r="BT26" s="12">
        <v>42025</v>
      </c>
      <c r="BU26" s="439">
        <v>42025</v>
      </c>
      <c r="BV26" s="254"/>
      <c r="BW26" s="499" t="str">
        <f t="shared" si="9"/>
        <v/>
      </c>
      <c r="BX26" s="499" t="str">
        <f t="shared" si="4"/>
        <v/>
      </c>
      <c r="BY26" s="499" t="str">
        <f t="shared" si="5"/>
        <v/>
      </c>
      <c r="BZ26" s="500" t="str">
        <f t="shared" si="6"/>
        <v/>
      </c>
      <c r="CA26" s="155" t="str">
        <f t="shared" si="10"/>
        <v/>
      </c>
      <c r="CB26" s="155" t="str">
        <f t="shared" si="38"/>
        <v/>
      </c>
      <c r="CC26" s="156" t="str">
        <f t="shared" ca="1" si="33"/>
        <v/>
      </c>
      <c r="CD26" s="156" t="str">
        <f t="shared" si="11"/>
        <v/>
      </c>
      <c r="CE26" s="156" t="str">
        <f t="shared" si="12"/>
        <v/>
      </c>
      <c r="CF26" s="495" t="str">
        <f t="shared" si="13"/>
        <v/>
      </c>
      <c r="CG26" s="496" t="str">
        <f t="shared" si="14"/>
        <v/>
      </c>
      <c r="CH26" s="156" t="str">
        <f t="shared" si="15"/>
        <v/>
      </c>
      <c r="CI26" s="155" t="str">
        <f t="shared" si="34"/>
        <v/>
      </c>
      <c r="CJ26" s="155" t="str">
        <f t="shared" si="16"/>
        <v/>
      </c>
      <c r="CK26" s="156">
        <f t="shared" si="17"/>
        <v>1</v>
      </c>
      <c r="CL26" s="156">
        <f t="shared" si="18"/>
        <v>1</v>
      </c>
      <c r="CM26" s="156">
        <f t="shared" si="19"/>
        <v>1</v>
      </c>
      <c r="CN26" s="156">
        <f t="shared" si="20"/>
        <v>1</v>
      </c>
      <c r="CO26" s="156">
        <f t="shared" si="21"/>
        <v>1</v>
      </c>
      <c r="CP26" s="156">
        <f t="shared" si="22"/>
        <v>1</v>
      </c>
      <c r="CQ26" s="156">
        <f t="shared" si="23"/>
        <v>1</v>
      </c>
      <c r="CR26" s="156">
        <f t="shared" si="24"/>
        <v>1</v>
      </c>
      <c r="CS26" s="156">
        <f t="shared" si="25"/>
        <v>1</v>
      </c>
      <c r="CT26" s="156">
        <f t="shared" si="26"/>
        <v>1</v>
      </c>
      <c r="CU26" s="156">
        <f t="shared" si="27"/>
        <v>1</v>
      </c>
      <c r="CV26" s="156">
        <f t="shared" si="28"/>
        <v>1</v>
      </c>
      <c r="CW26" s="156">
        <f t="shared" si="29"/>
        <v>1</v>
      </c>
      <c r="CX26" s="156">
        <f t="shared" si="30"/>
        <v>6</v>
      </c>
      <c r="CY26" s="156">
        <f t="shared" si="31"/>
        <v>1</v>
      </c>
      <c r="CZ26" s="8" t="str">
        <f t="shared" si="35"/>
        <v/>
      </c>
      <c r="DA26" s="8">
        <f t="shared" si="36"/>
        <v>0</v>
      </c>
      <c r="DB26" s="8">
        <f t="shared" si="37"/>
        <v>0</v>
      </c>
    </row>
    <row r="27" spans="1:106" s="321" customFormat="1" x14ac:dyDescent="0.25">
      <c r="A27" s="314">
        <v>180</v>
      </c>
      <c r="B27" s="315">
        <v>42023</v>
      </c>
      <c r="C27" s="316">
        <v>1082243</v>
      </c>
      <c r="D27" s="316" t="s">
        <v>119</v>
      </c>
      <c r="E27" s="316" t="str">
        <f t="shared" si="0"/>
        <v/>
      </c>
      <c r="F27" s="316" t="str">
        <f t="shared" si="1"/>
        <v xml:space="preserve">MDR, COE, 2x2, </v>
      </c>
      <c r="G27" s="317" t="s">
        <v>474</v>
      </c>
      <c r="H27" s="317"/>
      <c r="I27" s="317"/>
      <c r="J27" s="317"/>
      <c r="K27" s="152" t="str">
        <f t="shared" ca="1" si="7"/>
        <v/>
      </c>
      <c r="L27" s="317"/>
      <c r="M27" s="334">
        <v>42051</v>
      </c>
      <c r="N27" s="156" t="str">
        <f t="shared" si="2"/>
        <v/>
      </c>
      <c r="O27" s="321" t="s">
        <v>302</v>
      </c>
      <c r="Q27" s="316" t="s">
        <v>120</v>
      </c>
      <c r="R27" s="319">
        <v>9175447459</v>
      </c>
      <c r="S27" s="156">
        <f t="shared" si="8"/>
        <v>9175447459</v>
      </c>
      <c r="T27" s="156" t="str">
        <f t="shared" si="3"/>
        <v/>
      </c>
      <c r="U27" s="321" t="s">
        <v>454</v>
      </c>
      <c r="V27" s="321" t="s">
        <v>540</v>
      </c>
      <c r="W27" s="321" t="s">
        <v>539</v>
      </c>
      <c r="Y27" s="316" t="s">
        <v>73</v>
      </c>
      <c r="Z27" s="316" t="s">
        <v>74</v>
      </c>
      <c r="AA27" s="316"/>
      <c r="AB27" s="316"/>
      <c r="AC27" s="316"/>
      <c r="AD27" s="316"/>
      <c r="AH27" s="320" t="s">
        <v>52</v>
      </c>
      <c r="AI27" s="316"/>
      <c r="AJ27" s="527"/>
      <c r="AK27" s="316"/>
      <c r="AL27" s="316"/>
      <c r="AM27" s="316"/>
      <c r="AN27" s="315">
        <v>31529</v>
      </c>
      <c r="AO27" s="322" t="s">
        <v>233</v>
      </c>
      <c r="AP27" s="322" t="s">
        <v>233</v>
      </c>
      <c r="AQ27" s="316" t="s">
        <v>50</v>
      </c>
      <c r="AR27" s="316"/>
      <c r="AS27" s="328">
        <v>42039</v>
      </c>
      <c r="AT27" s="338">
        <v>42039</v>
      </c>
      <c r="AU27" s="338">
        <v>42039</v>
      </c>
      <c r="AV27" s="339">
        <v>42039</v>
      </c>
      <c r="AW27" s="328">
        <v>42048</v>
      </c>
      <c r="AX27" s="316" t="s">
        <v>796</v>
      </c>
      <c r="AY27" s="317"/>
      <c r="AZ27" s="318">
        <v>42048</v>
      </c>
      <c r="BA27" s="318">
        <v>42025</v>
      </c>
      <c r="BB27" s="326"/>
      <c r="BC27" s="328">
        <v>42039</v>
      </c>
      <c r="BD27" s="327" t="s">
        <v>481</v>
      </c>
      <c r="BE27" s="328">
        <v>42048</v>
      </c>
      <c r="BF27" s="327" t="s">
        <v>846</v>
      </c>
      <c r="BG27" s="328">
        <v>42039</v>
      </c>
      <c r="BH27" s="316" t="s">
        <v>480</v>
      </c>
      <c r="BI27" s="326"/>
      <c r="BJ27" s="328">
        <v>42046</v>
      </c>
      <c r="BK27" s="330"/>
      <c r="BL27" s="331"/>
      <c r="BM27" s="328">
        <v>42039</v>
      </c>
      <c r="BN27" s="330"/>
      <c r="BO27" s="331"/>
      <c r="BP27" s="337"/>
      <c r="BQ27" s="338">
        <v>42039</v>
      </c>
      <c r="BR27" s="331"/>
      <c r="BS27" s="436">
        <v>42024</v>
      </c>
      <c r="BT27" s="315">
        <v>42024</v>
      </c>
      <c r="BU27" s="437">
        <v>42024</v>
      </c>
      <c r="BV27" s="333"/>
      <c r="BW27" s="499" t="str">
        <f t="shared" si="9"/>
        <v xml:space="preserve">1905 2/13/2015, 2305 1/21/2015, </v>
      </c>
      <c r="BX27" s="499">
        <f t="shared" si="4"/>
        <v>11</v>
      </c>
      <c r="BY27" s="499">
        <f t="shared" si="5"/>
        <v>11</v>
      </c>
      <c r="BZ27" s="500">
        <f t="shared" si="6"/>
        <v>1</v>
      </c>
      <c r="CA27" s="155" t="str">
        <f t="shared" si="10"/>
        <v/>
      </c>
      <c r="CB27" s="155" t="str">
        <f t="shared" si="38"/>
        <v/>
      </c>
      <c r="CC27" s="156" t="str">
        <f t="shared" ca="1" si="33"/>
        <v/>
      </c>
      <c r="CD27" s="156" t="str">
        <f t="shared" si="11"/>
        <v/>
      </c>
      <c r="CE27" s="156" t="str">
        <f t="shared" si="12"/>
        <v/>
      </c>
      <c r="CF27" s="495" t="str">
        <f t="shared" si="13"/>
        <v/>
      </c>
      <c r="CG27" s="496" t="str">
        <f t="shared" si="14"/>
        <v/>
      </c>
      <c r="CH27" s="156" t="str">
        <f t="shared" si="15"/>
        <v/>
      </c>
      <c r="CI27" s="155" t="str">
        <f t="shared" si="34"/>
        <v/>
      </c>
      <c r="CJ27" s="155" t="str">
        <f t="shared" si="16"/>
        <v/>
      </c>
      <c r="CK27" s="156">
        <f t="shared" si="17"/>
        <v>2</v>
      </c>
      <c r="CL27" s="156">
        <f t="shared" si="18"/>
        <v>2</v>
      </c>
      <c r="CM27" s="156">
        <f t="shared" si="19"/>
        <v>2</v>
      </c>
      <c r="CN27" s="156">
        <f t="shared" si="20"/>
        <v>2</v>
      </c>
      <c r="CO27" s="156">
        <f t="shared" si="21"/>
        <v>2</v>
      </c>
      <c r="CP27" s="156">
        <f t="shared" si="22"/>
        <v>2</v>
      </c>
      <c r="CQ27" s="156">
        <f t="shared" si="23"/>
        <v>2</v>
      </c>
      <c r="CR27" s="156">
        <f t="shared" si="24"/>
        <v>2</v>
      </c>
      <c r="CS27" s="156">
        <f t="shared" si="25"/>
        <v>2</v>
      </c>
      <c r="CT27" s="156">
        <f t="shared" si="26"/>
        <v>2</v>
      </c>
      <c r="CU27" s="156">
        <f t="shared" si="27"/>
        <v>2</v>
      </c>
      <c r="CV27" s="156">
        <f t="shared" si="28"/>
        <v>2</v>
      </c>
      <c r="CW27" s="156">
        <f t="shared" si="29"/>
        <v>2</v>
      </c>
      <c r="CX27" s="156">
        <f t="shared" si="30"/>
        <v>6</v>
      </c>
      <c r="CY27" s="156">
        <f t="shared" si="31"/>
        <v>2</v>
      </c>
      <c r="CZ27" s="321">
        <f t="shared" si="35"/>
        <v>28</v>
      </c>
      <c r="DA27" s="321">
        <f t="shared" si="36"/>
        <v>1</v>
      </c>
      <c r="DB27" s="321">
        <f t="shared" si="37"/>
        <v>1</v>
      </c>
    </row>
    <row r="28" spans="1:106" s="8" customFormat="1" x14ac:dyDescent="0.25">
      <c r="A28" s="130">
        <v>180</v>
      </c>
      <c r="B28" s="12">
        <v>42023</v>
      </c>
      <c r="C28" s="11">
        <v>1082244</v>
      </c>
      <c r="D28" s="11" t="s">
        <v>121</v>
      </c>
      <c r="E28" s="11" t="str">
        <f t="shared" si="0"/>
        <v/>
      </c>
      <c r="F28" s="11" t="str">
        <f t="shared" si="1"/>
        <v/>
      </c>
      <c r="G28" s="113" t="s">
        <v>474</v>
      </c>
      <c r="H28" s="113"/>
      <c r="I28" s="113"/>
      <c r="J28" s="113"/>
      <c r="K28" s="152" t="str">
        <f t="shared" ca="1" si="7"/>
        <v/>
      </c>
      <c r="L28" s="113"/>
      <c r="N28" s="156" t="str">
        <f t="shared" si="2"/>
        <v/>
      </c>
      <c r="O28" s="8" t="s">
        <v>298</v>
      </c>
      <c r="P28" s="8" t="s">
        <v>689</v>
      </c>
      <c r="Q28" s="11" t="s">
        <v>122</v>
      </c>
      <c r="R28" s="14">
        <v>9085687425</v>
      </c>
      <c r="S28" s="156">
        <f t="shared" si="8"/>
        <v>9085687425</v>
      </c>
      <c r="T28" s="156" t="str">
        <f t="shared" si="3"/>
        <v/>
      </c>
      <c r="U28" s="8" t="s">
        <v>455</v>
      </c>
      <c r="Y28" s="11" t="s">
        <v>73</v>
      </c>
      <c r="Z28" s="11" t="s">
        <v>70</v>
      </c>
      <c r="AA28" s="11"/>
      <c r="AB28" s="11"/>
      <c r="AC28" s="11"/>
      <c r="AD28" s="11"/>
      <c r="AH28" s="157" t="s">
        <v>52</v>
      </c>
      <c r="AI28" s="11"/>
      <c r="AJ28" s="527"/>
      <c r="AK28" s="11"/>
      <c r="AL28" s="11"/>
      <c r="AM28" s="11"/>
      <c r="AN28" s="12">
        <v>32909</v>
      </c>
      <c r="AO28" s="18" t="s">
        <v>234</v>
      </c>
      <c r="AP28" s="18"/>
      <c r="AQ28" s="11" t="s">
        <v>53</v>
      </c>
      <c r="AR28" s="11"/>
      <c r="AS28" s="163">
        <v>42026</v>
      </c>
      <c r="AT28" s="19">
        <v>42027</v>
      </c>
      <c r="AU28" s="19">
        <v>42027</v>
      </c>
      <c r="AV28" s="173"/>
      <c r="AW28" s="190"/>
      <c r="AX28" s="11" t="s">
        <v>49</v>
      </c>
      <c r="AY28" s="113"/>
      <c r="AZ28" s="113"/>
      <c r="BA28" s="129">
        <v>42025</v>
      </c>
      <c r="BB28" s="182"/>
      <c r="BC28" s="163">
        <v>42026</v>
      </c>
      <c r="BD28" s="184" t="s">
        <v>29</v>
      </c>
      <c r="BE28" s="163">
        <v>42026</v>
      </c>
      <c r="BF28" s="184" t="s">
        <v>30</v>
      </c>
      <c r="BG28" s="163">
        <v>42026</v>
      </c>
      <c r="BH28" s="11" t="s">
        <v>1626</v>
      </c>
      <c r="BI28" s="177">
        <v>42026</v>
      </c>
      <c r="BJ28" s="163">
        <v>42033</v>
      </c>
      <c r="BK28" s="19"/>
      <c r="BL28" s="176"/>
      <c r="BM28" s="163">
        <v>42026</v>
      </c>
      <c r="BN28" s="19">
        <v>42026</v>
      </c>
      <c r="BO28" s="176">
        <v>42026</v>
      </c>
      <c r="BP28" s="187">
        <v>42026</v>
      </c>
      <c r="BQ28" s="19">
        <v>42027</v>
      </c>
      <c r="BR28" s="176">
        <v>42031</v>
      </c>
      <c r="BS28" s="438">
        <v>42024</v>
      </c>
      <c r="BT28" s="12">
        <v>42024</v>
      </c>
      <c r="BU28" s="439">
        <v>42024</v>
      </c>
      <c r="BV28" s="254"/>
      <c r="BW28" s="499" t="str">
        <f t="shared" si="9"/>
        <v xml:space="preserve">2305 (for processing) 1/21/2015, MDR 1/22/2015, </v>
      </c>
      <c r="BX28" s="499" t="str">
        <f t="shared" si="4"/>
        <v/>
      </c>
      <c r="BY28" s="499" t="str">
        <f t="shared" si="5"/>
        <v/>
      </c>
      <c r="BZ28" s="500" t="str">
        <f t="shared" si="6"/>
        <v/>
      </c>
      <c r="CA28" s="155" t="str">
        <f t="shared" si="10"/>
        <v/>
      </c>
      <c r="CB28" s="155" t="str">
        <f t="shared" si="38"/>
        <v/>
      </c>
      <c r="CC28" s="156" t="str">
        <f t="shared" ca="1" si="33"/>
        <v/>
      </c>
      <c r="CD28" s="156" t="str">
        <f t="shared" si="11"/>
        <v/>
      </c>
      <c r="CE28" s="156" t="str">
        <f t="shared" si="12"/>
        <v/>
      </c>
      <c r="CF28" s="495" t="str">
        <f t="shared" si="13"/>
        <v/>
      </c>
      <c r="CG28" s="496" t="str">
        <f t="shared" si="14"/>
        <v/>
      </c>
      <c r="CH28" s="156" t="str">
        <f t="shared" si="15"/>
        <v/>
      </c>
      <c r="CI28" s="155" t="str">
        <f t="shared" si="34"/>
        <v/>
      </c>
      <c r="CJ28" s="155" t="str">
        <f t="shared" si="16"/>
        <v/>
      </c>
      <c r="CK28" s="156">
        <f t="shared" si="17"/>
        <v>2</v>
      </c>
      <c r="CL28" s="156">
        <f t="shared" si="18"/>
        <v>2</v>
      </c>
      <c r="CM28" s="156">
        <f t="shared" si="19"/>
        <v>2</v>
      </c>
      <c r="CN28" s="156">
        <f t="shared" si="20"/>
        <v>2</v>
      </c>
      <c r="CO28" s="156">
        <f t="shared" si="21"/>
        <v>2</v>
      </c>
      <c r="CP28" s="156">
        <f t="shared" si="22"/>
        <v>2</v>
      </c>
      <c r="CQ28" s="156">
        <f t="shared" si="23"/>
        <v>2</v>
      </c>
      <c r="CR28" s="156">
        <f t="shared" si="24"/>
        <v>2</v>
      </c>
      <c r="CS28" s="156">
        <f t="shared" si="25"/>
        <v>2</v>
      </c>
      <c r="CT28" s="156">
        <f t="shared" si="26"/>
        <v>2</v>
      </c>
      <c r="CU28" s="156">
        <f t="shared" si="27"/>
        <v>2</v>
      </c>
      <c r="CV28" s="156">
        <f t="shared" si="28"/>
        <v>2</v>
      </c>
      <c r="CW28" s="156">
        <f t="shared" si="29"/>
        <v>2</v>
      </c>
      <c r="CX28" s="156">
        <f t="shared" si="30"/>
        <v>7</v>
      </c>
      <c r="CY28" s="156">
        <f t="shared" si="31"/>
        <v>2</v>
      </c>
      <c r="CZ28" s="8" t="str">
        <f t="shared" si="35"/>
        <v/>
      </c>
      <c r="DA28" s="8">
        <f t="shared" si="36"/>
        <v>0</v>
      </c>
      <c r="DB28" s="8">
        <f t="shared" si="37"/>
        <v>0</v>
      </c>
    </row>
    <row r="29" spans="1:106" s="8" customFormat="1" x14ac:dyDescent="0.25">
      <c r="A29" s="130">
        <v>180</v>
      </c>
      <c r="B29" s="12">
        <v>42023</v>
      </c>
      <c r="C29" s="11">
        <v>1082245</v>
      </c>
      <c r="D29" s="11" t="s">
        <v>123</v>
      </c>
      <c r="E29" s="11" t="str">
        <f t="shared" si="0"/>
        <v/>
      </c>
      <c r="F29" s="11" t="str">
        <f t="shared" si="1"/>
        <v/>
      </c>
      <c r="G29" s="113" t="s">
        <v>474</v>
      </c>
      <c r="H29" s="113"/>
      <c r="I29" s="113"/>
      <c r="J29" s="113"/>
      <c r="K29" s="152" t="str">
        <f t="shared" ca="1" si="7"/>
        <v/>
      </c>
      <c r="L29" s="113"/>
      <c r="M29" s="20">
        <v>42027</v>
      </c>
      <c r="N29" s="156" t="str">
        <f t="shared" si="2"/>
        <v/>
      </c>
      <c r="O29" s="8" t="s">
        <v>298</v>
      </c>
      <c r="P29" s="8" t="s">
        <v>689</v>
      </c>
      <c r="Q29" s="11" t="s">
        <v>124</v>
      </c>
      <c r="R29" s="14">
        <v>9051473810</v>
      </c>
      <c r="S29" s="156">
        <f t="shared" si="8"/>
        <v>9051473810</v>
      </c>
      <c r="T29" s="156" t="str">
        <f t="shared" si="3"/>
        <v/>
      </c>
      <c r="U29" s="8" t="s">
        <v>456</v>
      </c>
      <c r="Y29" s="11" t="s">
        <v>73</v>
      </c>
      <c r="Z29" s="11" t="s">
        <v>70</v>
      </c>
      <c r="AA29" s="11"/>
      <c r="AB29" s="11"/>
      <c r="AC29" s="11"/>
      <c r="AD29" s="11"/>
      <c r="AH29" s="157" t="s">
        <v>52</v>
      </c>
      <c r="AI29" s="11"/>
      <c r="AJ29" s="527"/>
      <c r="AK29" s="11"/>
      <c r="AL29" s="11"/>
      <c r="AM29" s="11"/>
      <c r="AN29" s="12">
        <v>29200</v>
      </c>
      <c r="AO29" s="18" t="s">
        <v>235</v>
      </c>
      <c r="AP29" s="18"/>
      <c r="AQ29" s="11" t="s">
        <v>50</v>
      </c>
      <c r="AR29" s="11"/>
      <c r="AS29" s="163">
        <v>42024</v>
      </c>
      <c r="AT29" s="19">
        <v>42024</v>
      </c>
      <c r="AU29" s="19">
        <v>42024</v>
      </c>
      <c r="AV29" s="176">
        <v>42024</v>
      </c>
      <c r="AW29" s="438">
        <v>42024</v>
      </c>
      <c r="AX29" s="11" t="s">
        <v>1620</v>
      </c>
      <c r="AY29" s="113"/>
      <c r="AZ29" s="129">
        <v>42027</v>
      </c>
      <c r="BA29" s="129">
        <v>42027</v>
      </c>
      <c r="BB29" s="182"/>
      <c r="BC29" s="163">
        <v>42024</v>
      </c>
      <c r="BD29" s="184" t="s">
        <v>24</v>
      </c>
      <c r="BE29" s="163">
        <v>42025</v>
      </c>
      <c r="BF29" s="184" t="s">
        <v>2778</v>
      </c>
      <c r="BG29" s="163">
        <v>42024</v>
      </c>
      <c r="BH29" s="11" t="s">
        <v>25</v>
      </c>
      <c r="BI29" s="177">
        <v>42028</v>
      </c>
      <c r="BJ29" s="190">
        <v>42038</v>
      </c>
      <c r="BK29" s="191"/>
      <c r="BL29" s="192"/>
      <c r="BM29" s="190">
        <v>42038</v>
      </c>
      <c r="BN29" s="125"/>
      <c r="BO29" s="173"/>
      <c r="BP29" s="187">
        <v>42025</v>
      </c>
      <c r="BQ29" s="19">
        <v>42025</v>
      </c>
      <c r="BR29" s="176">
        <v>42025</v>
      </c>
      <c r="BS29" s="438">
        <v>42024</v>
      </c>
      <c r="BT29" s="12">
        <v>42024</v>
      </c>
      <c r="BU29" s="439">
        <v>42024</v>
      </c>
      <c r="BV29" s="254"/>
      <c r="BW29" s="499" t="str">
        <f t="shared" si="9"/>
        <v xml:space="preserve">1905 1/23/2015, 2305 1/23/2015, MDR 1/24/2015, </v>
      </c>
      <c r="BX29" s="499" t="str">
        <f t="shared" si="4"/>
        <v/>
      </c>
      <c r="BY29" s="499" t="str">
        <f t="shared" si="5"/>
        <v/>
      </c>
      <c r="BZ29" s="500" t="str">
        <f t="shared" si="6"/>
        <v/>
      </c>
      <c r="CA29" s="155" t="str">
        <f t="shared" si="10"/>
        <v/>
      </c>
      <c r="CB29" s="155" t="str">
        <f t="shared" si="38"/>
        <v/>
      </c>
      <c r="CC29" s="156" t="str">
        <f t="shared" ca="1" si="33"/>
        <v/>
      </c>
      <c r="CD29" s="156" t="str">
        <f t="shared" si="11"/>
        <v/>
      </c>
      <c r="CE29" s="156" t="str">
        <f t="shared" si="12"/>
        <v/>
      </c>
      <c r="CF29" s="495" t="str">
        <f t="shared" si="13"/>
        <v/>
      </c>
      <c r="CG29" s="496" t="str">
        <f t="shared" si="14"/>
        <v/>
      </c>
      <c r="CH29" s="156" t="str">
        <f t="shared" si="15"/>
        <v/>
      </c>
      <c r="CI29" s="155" t="str">
        <f t="shared" si="34"/>
        <v/>
      </c>
      <c r="CJ29" s="155" t="str">
        <f t="shared" si="16"/>
        <v/>
      </c>
      <c r="CK29" s="156">
        <f t="shared" si="17"/>
        <v>2</v>
      </c>
      <c r="CL29" s="156">
        <f t="shared" si="18"/>
        <v>2</v>
      </c>
      <c r="CM29" s="156">
        <f t="shared" si="19"/>
        <v>2</v>
      </c>
      <c r="CN29" s="156">
        <f t="shared" si="20"/>
        <v>2</v>
      </c>
      <c r="CO29" s="156">
        <f t="shared" si="21"/>
        <v>2</v>
      </c>
      <c r="CP29" s="156">
        <f t="shared" si="22"/>
        <v>2</v>
      </c>
      <c r="CQ29" s="156">
        <f t="shared" si="23"/>
        <v>2</v>
      </c>
      <c r="CR29" s="156">
        <f t="shared" si="24"/>
        <v>2</v>
      </c>
      <c r="CS29" s="156">
        <f t="shared" si="25"/>
        <v>2</v>
      </c>
      <c r="CT29" s="156">
        <f t="shared" si="26"/>
        <v>2</v>
      </c>
      <c r="CU29" s="156">
        <f t="shared" si="27"/>
        <v>2</v>
      </c>
      <c r="CV29" s="156">
        <f t="shared" si="28"/>
        <v>2</v>
      </c>
      <c r="CW29" s="156">
        <f t="shared" si="29"/>
        <v>2</v>
      </c>
      <c r="CX29" s="156">
        <f t="shared" si="30"/>
        <v>8</v>
      </c>
      <c r="CY29" s="156">
        <f t="shared" si="31"/>
        <v>2</v>
      </c>
      <c r="CZ29" s="8">
        <f t="shared" si="35"/>
        <v>4</v>
      </c>
      <c r="DA29" s="8">
        <f t="shared" si="36"/>
        <v>0</v>
      </c>
      <c r="DB29" s="8">
        <f t="shared" si="37"/>
        <v>0</v>
      </c>
    </row>
    <row r="30" spans="1:106" s="8" customFormat="1" x14ac:dyDescent="0.25">
      <c r="A30" s="130">
        <v>180</v>
      </c>
      <c r="B30" s="12">
        <v>42023</v>
      </c>
      <c r="C30" s="11">
        <v>1082246</v>
      </c>
      <c r="D30" s="11" t="s">
        <v>125</v>
      </c>
      <c r="E30" s="11" t="str">
        <f t="shared" si="0"/>
        <v/>
      </c>
      <c r="F30" s="11" t="str">
        <f t="shared" si="1"/>
        <v/>
      </c>
      <c r="G30" s="113" t="s">
        <v>474</v>
      </c>
      <c r="H30" s="113"/>
      <c r="I30" s="113"/>
      <c r="J30" s="113"/>
      <c r="K30" s="152" t="str">
        <f t="shared" ca="1" si="7"/>
        <v/>
      </c>
      <c r="L30" s="113"/>
      <c r="N30" s="156" t="str">
        <f t="shared" si="2"/>
        <v/>
      </c>
      <c r="O30" s="8" t="s">
        <v>298</v>
      </c>
      <c r="P30" s="8" t="s">
        <v>689</v>
      </c>
      <c r="Q30" s="11" t="s">
        <v>49</v>
      </c>
      <c r="R30" s="14">
        <v>9159472039</v>
      </c>
      <c r="S30" s="156">
        <f t="shared" si="8"/>
        <v>9159472039</v>
      </c>
      <c r="T30" s="156" t="str">
        <f t="shared" si="3"/>
        <v/>
      </c>
      <c r="Y30" s="11" t="s">
        <v>73</v>
      </c>
      <c r="Z30" s="11" t="s">
        <v>74</v>
      </c>
      <c r="AA30" s="11"/>
      <c r="AB30" s="11"/>
      <c r="AC30" s="11"/>
      <c r="AD30" s="11"/>
      <c r="AH30" s="157" t="s">
        <v>52</v>
      </c>
      <c r="AI30" s="11"/>
      <c r="AJ30" s="527"/>
      <c r="AK30" s="11"/>
      <c r="AL30" s="11"/>
      <c r="AM30" s="11"/>
      <c r="AN30" s="12">
        <v>30033</v>
      </c>
      <c r="AO30" s="18" t="s">
        <v>49</v>
      </c>
      <c r="AP30" s="18"/>
      <c r="AQ30" s="11" t="s">
        <v>53</v>
      </c>
      <c r="AR30" s="11"/>
      <c r="AS30" s="160"/>
      <c r="AT30" s="125"/>
      <c r="AU30" s="125"/>
      <c r="AV30" s="173"/>
      <c r="AW30" s="190"/>
      <c r="AX30" s="11" t="s">
        <v>49</v>
      </c>
      <c r="AY30" s="113"/>
      <c r="AZ30" s="113"/>
      <c r="BA30" s="113"/>
      <c r="BB30" s="182"/>
      <c r="BC30" s="160"/>
      <c r="BD30" s="184" t="s">
        <v>49</v>
      </c>
      <c r="BE30" s="160"/>
      <c r="BF30" s="184" t="s">
        <v>49</v>
      </c>
      <c r="BG30" s="160"/>
      <c r="BH30" s="11" t="s">
        <v>49</v>
      </c>
      <c r="BI30" s="182"/>
      <c r="BJ30" s="160"/>
      <c r="BK30" s="125"/>
      <c r="BL30" s="173"/>
      <c r="BM30" s="160"/>
      <c r="BN30" s="125"/>
      <c r="BO30" s="173"/>
      <c r="BP30" s="187"/>
      <c r="BQ30" s="125"/>
      <c r="BR30" s="173"/>
      <c r="BS30" s="190"/>
      <c r="BT30" s="191"/>
      <c r="BU30" s="192"/>
      <c r="BV30" s="173"/>
      <c r="BW30" s="497" t="str">
        <f t="shared" si="9"/>
        <v/>
      </c>
      <c r="BX30" s="497" t="str">
        <f t="shared" si="4"/>
        <v/>
      </c>
      <c r="BY30" s="497" t="str">
        <f t="shared" si="5"/>
        <v/>
      </c>
      <c r="BZ30" s="498" t="str">
        <f t="shared" si="6"/>
        <v/>
      </c>
      <c r="CA30" s="156" t="str">
        <f t="shared" si="10"/>
        <v/>
      </c>
      <c r="CB30" s="155" t="str">
        <f t="shared" si="38"/>
        <v/>
      </c>
      <c r="CC30" s="156" t="str">
        <f t="shared" ca="1" si="33"/>
        <v/>
      </c>
      <c r="CD30" s="156" t="str">
        <f t="shared" si="11"/>
        <v/>
      </c>
      <c r="CE30" s="156" t="str">
        <f t="shared" si="12"/>
        <v/>
      </c>
      <c r="CF30" s="495" t="str">
        <f t="shared" si="13"/>
        <v/>
      </c>
      <c r="CG30" s="496" t="str">
        <f t="shared" si="14"/>
        <v/>
      </c>
      <c r="CH30" s="156" t="str">
        <f t="shared" si="15"/>
        <v/>
      </c>
      <c r="CI30" s="155" t="str">
        <f t="shared" si="34"/>
        <v/>
      </c>
      <c r="CJ30" s="155" t="str">
        <f t="shared" si="16"/>
        <v/>
      </c>
      <c r="CK30" s="156">
        <f t="shared" si="17"/>
        <v>2</v>
      </c>
      <c r="CL30" s="156">
        <f t="shared" si="18"/>
        <v>2</v>
      </c>
      <c r="CM30" s="156">
        <f t="shared" si="19"/>
        <v>2</v>
      </c>
      <c r="CN30" s="156">
        <f t="shared" si="20"/>
        <v>2</v>
      </c>
      <c r="CO30" s="156">
        <f t="shared" si="21"/>
        <v>2</v>
      </c>
      <c r="CP30" s="156">
        <f t="shared" si="22"/>
        <v>2</v>
      </c>
      <c r="CQ30" s="156">
        <f t="shared" si="23"/>
        <v>2</v>
      </c>
      <c r="CR30" s="156">
        <f t="shared" si="24"/>
        <v>2</v>
      </c>
      <c r="CS30" s="156">
        <f t="shared" si="25"/>
        <v>2</v>
      </c>
      <c r="CT30" s="156">
        <f t="shared" si="26"/>
        <v>2</v>
      </c>
      <c r="CU30" s="156">
        <f t="shared" si="27"/>
        <v>2</v>
      </c>
      <c r="CV30" s="156">
        <f t="shared" si="28"/>
        <v>2</v>
      </c>
      <c r="CW30" s="156">
        <f t="shared" si="29"/>
        <v>2</v>
      </c>
      <c r="CX30" s="156">
        <f t="shared" si="30"/>
        <v>9</v>
      </c>
      <c r="CY30" s="156">
        <f t="shared" si="31"/>
        <v>2</v>
      </c>
      <c r="CZ30" s="8" t="str">
        <f t="shared" si="35"/>
        <v/>
      </c>
      <c r="DA30" s="8">
        <f t="shared" si="36"/>
        <v>0</v>
      </c>
      <c r="DB30" s="8">
        <f t="shared" si="37"/>
        <v>0</v>
      </c>
    </row>
    <row r="31" spans="1:106" s="321" customFormat="1" x14ac:dyDescent="0.25">
      <c r="A31" s="314">
        <v>180</v>
      </c>
      <c r="B31" s="315">
        <v>42023</v>
      </c>
      <c r="C31" s="316">
        <v>1082247</v>
      </c>
      <c r="D31" s="316" t="s">
        <v>126</v>
      </c>
      <c r="E31" s="316" t="str">
        <f t="shared" si="0"/>
        <v/>
      </c>
      <c r="F31" s="316" t="str">
        <f t="shared" si="1"/>
        <v xml:space="preserve">Contract, TOR, </v>
      </c>
      <c r="G31" s="317" t="s">
        <v>474</v>
      </c>
      <c r="H31" s="317"/>
      <c r="I31" s="317"/>
      <c r="J31" s="317"/>
      <c r="K31" s="152" t="str">
        <f t="shared" ca="1" si="7"/>
        <v/>
      </c>
      <c r="L31" s="317"/>
      <c r="M31" s="334">
        <v>42062</v>
      </c>
      <c r="N31" s="156" t="str">
        <f t="shared" si="2"/>
        <v/>
      </c>
      <c r="O31" s="321" t="s">
        <v>302</v>
      </c>
      <c r="Q31" s="316" t="s">
        <v>129</v>
      </c>
      <c r="R31" s="319">
        <v>9179198486</v>
      </c>
      <c r="S31" s="156">
        <f t="shared" si="8"/>
        <v>9179198486</v>
      </c>
      <c r="T31" s="156" t="str">
        <f t="shared" si="3"/>
        <v/>
      </c>
      <c r="U31" s="321" t="s">
        <v>457</v>
      </c>
      <c r="V31" s="321" t="s">
        <v>542</v>
      </c>
      <c r="W31" s="321" t="s">
        <v>543</v>
      </c>
      <c r="X31" s="321" t="s">
        <v>541</v>
      </c>
      <c r="Y31" s="316" t="s">
        <v>127</v>
      </c>
      <c r="Z31" s="316" t="s">
        <v>128</v>
      </c>
      <c r="AA31" s="316"/>
      <c r="AB31" s="316"/>
      <c r="AC31" s="316"/>
      <c r="AD31" s="316"/>
      <c r="AH31" s="320" t="s">
        <v>52</v>
      </c>
      <c r="AI31" s="316"/>
      <c r="AJ31" s="527"/>
      <c r="AK31" s="316"/>
      <c r="AL31" s="316"/>
      <c r="AM31" s="316"/>
      <c r="AN31" s="315">
        <v>30750</v>
      </c>
      <c r="AO31" s="322" t="s">
        <v>236</v>
      </c>
      <c r="AP31" s="322"/>
      <c r="AQ31" s="316" t="s">
        <v>50</v>
      </c>
      <c r="AR31" s="316" t="s">
        <v>378</v>
      </c>
      <c r="AS31" s="323">
        <v>42026</v>
      </c>
      <c r="AT31" s="324">
        <v>42026</v>
      </c>
      <c r="AU31" s="324">
        <v>42026</v>
      </c>
      <c r="AV31" s="325">
        <v>42026</v>
      </c>
      <c r="AW31" s="436">
        <v>42026</v>
      </c>
      <c r="AX31" s="316" t="s">
        <v>28</v>
      </c>
      <c r="AY31" s="317"/>
      <c r="AZ31" s="318">
        <v>42059</v>
      </c>
      <c r="BA31" s="318">
        <v>42026</v>
      </c>
      <c r="BB31" s="326"/>
      <c r="BC31" s="323">
        <v>42024</v>
      </c>
      <c r="BD31" s="327" t="s">
        <v>26</v>
      </c>
      <c r="BE31" s="328">
        <v>42046</v>
      </c>
      <c r="BF31" s="327" t="s">
        <v>776</v>
      </c>
      <c r="BG31" s="323">
        <v>42024</v>
      </c>
      <c r="BH31" s="316" t="s">
        <v>130</v>
      </c>
      <c r="BI31" s="329">
        <v>42081</v>
      </c>
      <c r="BJ31" s="328">
        <v>42068</v>
      </c>
      <c r="BK31" s="338">
        <v>42061</v>
      </c>
      <c r="BL31" s="339">
        <v>42067</v>
      </c>
      <c r="BM31" s="328">
        <v>42039</v>
      </c>
      <c r="BN31" s="330"/>
      <c r="BO31" s="331"/>
      <c r="BP31" s="332">
        <v>42081</v>
      </c>
      <c r="BQ31" s="330"/>
      <c r="BR31" s="339">
        <v>42081</v>
      </c>
      <c r="BS31" s="436">
        <v>42023</v>
      </c>
      <c r="BT31" s="338"/>
      <c r="BU31" s="437">
        <v>42024</v>
      </c>
      <c r="BV31" s="333"/>
      <c r="BW31" s="499" t="str">
        <f t="shared" si="9"/>
        <v xml:space="preserve">1905 2/24/2015, 2305 1/22/2015, MDR 3/18/2015, NBI receipt 2/26/2015, </v>
      </c>
      <c r="BX31" s="499">
        <f t="shared" si="4"/>
        <v>11</v>
      </c>
      <c r="BY31" s="499">
        <f t="shared" si="5"/>
        <v>11</v>
      </c>
      <c r="BZ31" s="500">
        <f t="shared" si="6"/>
        <v>1</v>
      </c>
      <c r="CA31" s="156" t="str">
        <f t="shared" si="10"/>
        <v/>
      </c>
      <c r="CB31" s="155" t="str">
        <f t="shared" si="38"/>
        <v/>
      </c>
      <c r="CC31" s="156" t="str">
        <f t="shared" ca="1" si="33"/>
        <v/>
      </c>
      <c r="CD31" s="156" t="str">
        <f t="shared" si="11"/>
        <v/>
      </c>
      <c r="CE31" s="156" t="str">
        <f t="shared" si="12"/>
        <v/>
      </c>
      <c r="CF31" s="495" t="str">
        <f t="shared" si="13"/>
        <v/>
      </c>
      <c r="CG31" s="496" t="str">
        <f t="shared" si="14"/>
        <v/>
      </c>
      <c r="CH31" s="156" t="str">
        <f t="shared" si="15"/>
        <v/>
      </c>
      <c r="CI31" s="155" t="str">
        <f t="shared" si="34"/>
        <v/>
      </c>
      <c r="CJ31" s="155" t="str">
        <f t="shared" si="16"/>
        <v/>
      </c>
      <c r="CK31" s="156">
        <f t="shared" si="17"/>
        <v>3</v>
      </c>
      <c r="CL31" s="156">
        <f t="shared" si="18"/>
        <v>3</v>
      </c>
      <c r="CM31" s="156">
        <f t="shared" si="19"/>
        <v>3</v>
      </c>
      <c r="CN31" s="156">
        <f t="shared" si="20"/>
        <v>3</v>
      </c>
      <c r="CO31" s="156">
        <f t="shared" si="21"/>
        <v>3</v>
      </c>
      <c r="CP31" s="156">
        <f t="shared" si="22"/>
        <v>3</v>
      </c>
      <c r="CQ31" s="156">
        <f t="shared" si="23"/>
        <v>3</v>
      </c>
      <c r="CR31" s="156">
        <f t="shared" si="24"/>
        <v>3</v>
      </c>
      <c r="CS31" s="156">
        <f t="shared" si="25"/>
        <v>3</v>
      </c>
      <c r="CT31" s="156">
        <f t="shared" si="26"/>
        <v>3</v>
      </c>
      <c r="CU31" s="156">
        <f t="shared" si="27"/>
        <v>3</v>
      </c>
      <c r="CV31" s="156">
        <f t="shared" si="28"/>
        <v>3</v>
      </c>
      <c r="CW31" s="156">
        <f t="shared" si="29"/>
        <v>3</v>
      </c>
      <c r="CX31" s="156">
        <f t="shared" si="30"/>
        <v>9</v>
      </c>
      <c r="CY31" s="156">
        <f t="shared" si="31"/>
        <v>3</v>
      </c>
      <c r="CZ31" s="321">
        <f t="shared" si="35"/>
        <v>39</v>
      </c>
      <c r="DA31" s="321">
        <f t="shared" si="36"/>
        <v>0</v>
      </c>
      <c r="DB31" s="321">
        <f t="shared" si="37"/>
        <v>1</v>
      </c>
    </row>
    <row r="32" spans="1:106" s="343" customFormat="1" ht="15.75" thickBot="1" x14ac:dyDescent="0.3">
      <c r="A32" s="340">
        <v>180</v>
      </c>
      <c r="B32" s="341">
        <v>42023</v>
      </c>
      <c r="C32" s="342">
        <v>1082248</v>
      </c>
      <c r="D32" s="342" t="s">
        <v>131</v>
      </c>
      <c r="E32" s="342" t="str">
        <f t="shared" si="0"/>
        <v/>
      </c>
      <c r="F32" s="342" t="str">
        <f t="shared" si="1"/>
        <v xml:space="preserve">2x2, </v>
      </c>
      <c r="G32" s="343" t="s">
        <v>474</v>
      </c>
      <c r="K32" s="491" t="str">
        <f t="shared" ca="1" si="7"/>
        <v/>
      </c>
      <c r="M32" s="344">
        <v>42027</v>
      </c>
      <c r="N32" s="487" t="str">
        <f t="shared" si="2"/>
        <v/>
      </c>
      <c r="O32" s="343" t="s">
        <v>302</v>
      </c>
      <c r="Q32" s="342" t="s">
        <v>132</v>
      </c>
      <c r="R32" s="345">
        <v>9155771488</v>
      </c>
      <c r="S32" s="487">
        <f t="shared" si="8"/>
        <v>9155771488</v>
      </c>
      <c r="T32" s="487" t="str">
        <f t="shared" si="3"/>
        <v/>
      </c>
      <c r="U32" s="343" t="s">
        <v>451</v>
      </c>
      <c r="Y32" s="342" t="s">
        <v>73</v>
      </c>
      <c r="Z32" s="342" t="s">
        <v>70</v>
      </c>
      <c r="AA32" s="342"/>
      <c r="AB32" s="342"/>
      <c r="AC32" s="342"/>
      <c r="AD32" s="342"/>
      <c r="AH32" s="346" t="s">
        <v>52</v>
      </c>
      <c r="AI32" s="342"/>
      <c r="AJ32" s="528"/>
      <c r="AK32" s="342"/>
      <c r="AL32" s="342"/>
      <c r="AM32" s="342"/>
      <c r="AN32" s="341">
        <v>33829</v>
      </c>
      <c r="AO32" s="347" t="s">
        <v>237</v>
      </c>
      <c r="AP32" s="347"/>
      <c r="AQ32" s="342" t="s">
        <v>53</v>
      </c>
      <c r="AR32" s="342"/>
      <c r="AS32" s="348">
        <v>42024</v>
      </c>
      <c r="AT32" s="349">
        <v>42024</v>
      </c>
      <c r="AU32" s="349">
        <v>42024</v>
      </c>
      <c r="AV32" s="350">
        <v>42024</v>
      </c>
      <c r="AW32" s="444">
        <v>42024</v>
      </c>
      <c r="AX32" s="342" t="s">
        <v>1239</v>
      </c>
      <c r="AZ32" s="344">
        <v>42027</v>
      </c>
      <c r="BA32" s="344">
        <v>42025</v>
      </c>
      <c r="BB32" s="351"/>
      <c r="BC32" s="348">
        <v>42024</v>
      </c>
      <c r="BD32" s="352" t="s">
        <v>1238</v>
      </c>
      <c r="BE32" s="348">
        <v>42024</v>
      </c>
      <c r="BF32" s="352" t="s">
        <v>1240</v>
      </c>
      <c r="BG32" s="348">
        <v>42024</v>
      </c>
      <c r="BH32" s="342" t="s">
        <v>1241</v>
      </c>
      <c r="BI32" s="353">
        <v>42024</v>
      </c>
      <c r="BJ32" s="348">
        <v>42026</v>
      </c>
      <c r="BK32" s="349"/>
      <c r="BL32" s="350"/>
      <c r="BM32" s="348">
        <v>42024</v>
      </c>
      <c r="BN32" s="354"/>
      <c r="BO32" s="355"/>
      <c r="BP32" s="356"/>
      <c r="BQ32" s="349">
        <v>42024</v>
      </c>
      <c r="BR32" s="350">
        <v>42024</v>
      </c>
      <c r="BS32" s="444">
        <v>42024</v>
      </c>
      <c r="BT32" s="341">
        <v>42024</v>
      </c>
      <c r="BU32" s="445">
        <v>42024</v>
      </c>
      <c r="BV32" s="357"/>
      <c r="BW32" s="501" t="str">
        <f t="shared" si="9"/>
        <v xml:space="preserve">1905 1/23/2015, 2305 1/21/2015, MDR 1/20/2015, </v>
      </c>
      <c r="BX32" s="501">
        <f t="shared" si="4"/>
        <v>11</v>
      </c>
      <c r="BY32" s="501">
        <f t="shared" si="5"/>
        <v>11</v>
      </c>
      <c r="BZ32" s="502">
        <f t="shared" si="6"/>
        <v>1</v>
      </c>
      <c r="CA32" s="487">
        <f t="shared" si="10"/>
        <v>180</v>
      </c>
      <c r="CB32" s="503">
        <f t="shared" si="38"/>
        <v>42023</v>
      </c>
      <c r="CC32" s="487">
        <f t="shared" ca="1" si="33"/>
        <v>18</v>
      </c>
      <c r="CD32" s="487">
        <f t="shared" si="11"/>
        <v>4</v>
      </c>
      <c r="CE32" s="487">
        <f t="shared" si="12"/>
        <v>4</v>
      </c>
      <c r="CF32" s="504">
        <f t="shared" si="13"/>
        <v>0</v>
      </c>
      <c r="CG32" s="505">
        <f t="shared" si="14"/>
        <v>1</v>
      </c>
      <c r="CH32" s="487" t="str">
        <f t="shared" si="15"/>
        <v/>
      </c>
      <c r="CI32" s="503" t="str">
        <f t="shared" si="34"/>
        <v/>
      </c>
      <c r="CJ32" s="503" t="str">
        <f t="shared" si="16"/>
        <v/>
      </c>
      <c r="CK32" s="487">
        <f t="shared" si="17"/>
        <v>4</v>
      </c>
      <c r="CL32" s="487">
        <f t="shared" si="18"/>
        <v>4</v>
      </c>
      <c r="CM32" s="487">
        <f t="shared" si="19"/>
        <v>4</v>
      </c>
      <c r="CN32" s="487">
        <f t="shared" si="20"/>
        <v>4</v>
      </c>
      <c r="CO32" s="487">
        <f t="shared" si="21"/>
        <v>4</v>
      </c>
      <c r="CP32" s="487">
        <f t="shared" si="22"/>
        <v>4</v>
      </c>
      <c r="CQ32" s="487">
        <f t="shared" si="23"/>
        <v>4</v>
      </c>
      <c r="CR32" s="487">
        <f t="shared" si="24"/>
        <v>4</v>
      </c>
      <c r="CS32" s="487">
        <f t="shared" si="25"/>
        <v>4</v>
      </c>
      <c r="CT32" s="487">
        <f t="shared" si="26"/>
        <v>4</v>
      </c>
      <c r="CU32" s="487">
        <f t="shared" si="27"/>
        <v>4</v>
      </c>
      <c r="CV32" s="487">
        <f t="shared" si="28"/>
        <v>4</v>
      </c>
      <c r="CW32" s="487">
        <f t="shared" si="29"/>
        <v>4</v>
      </c>
      <c r="CX32" s="487">
        <f t="shared" si="30"/>
        <v>9</v>
      </c>
      <c r="CY32" s="487">
        <f t="shared" si="31"/>
        <v>4</v>
      </c>
      <c r="CZ32" s="343">
        <f t="shared" si="35"/>
        <v>4</v>
      </c>
      <c r="DA32" s="343">
        <f t="shared" si="36"/>
        <v>1</v>
      </c>
      <c r="DB32" s="343">
        <f t="shared" si="37"/>
        <v>1</v>
      </c>
    </row>
    <row r="33" spans="1:106" s="361" customFormat="1" ht="16.5" thickTop="1" thickBot="1" x14ac:dyDescent="0.3">
      <c r="A33" s="358">
        <v>181</v>
      </c>
      <c r="B33" s="359">
        <v>42031</v>
      </c>
      <c r="C33" s="360">
        <v>1082249</v>
      </c>
      <c r="D33" s="360" t="s">
        <v>133</v>
      </c>
      <c r="E33" s="360"/>
      <c r="F33" s="360"/>
      <c r="K33" s="493" t="str">
        <f t="shared" ca="1" si="7"/>
        <v/>
      </c>
      <c r="N33" s="489" t="str">
        <f t="shared" si="2"/>
        <v/>
      </c>
      <c r="O33" s="361" t="s">
        <v>298</v>
      </c>
      <c r="Q33" s="360" t="s">
        <v>49</v>
      </c>
      <c r="R33" s="362"/>
      <c r="S33" s="489">
        <f t="shared" si="8"/>
        <v>0</v>
      </c>
      <c r="T33" s="489" t="str">
        <f t="shared" si="3"/>
        <v/>
      </c>
      <c r="Y33" s="360" t="s">
        <v>49</v>
      </c>
      <c r="Z33" s="360" t="s">
        <v>49</v>
      </c>
      <c r="AA33" s="360"/>
      <c r="AB33" s="360"/>
      <c r="AC33" s="360"/>
      <c r="AD33" s="360"/>
      <c r="AH33" s="363" t="s">
        <v>52</v>
      </c>
      <c r="AI33" s="360"/>
      <c r="AJ33" s="531"/>
      <c r="AK33" s="360"/>
      <c r="AL33" s="360"/>
      <c r="AM33" s="360"/>
      <c r="AN33" s="364"/>
      <c r="AO33" s="365" t="s">
        <v>49</v>
      </c>
      <c r="AP33" s="365"/>
      <c r="AQ33" s="360" t="s">
        <v>49</v>
      </c>
      <c r="AR33" s="366"/>
      <c r="AS33" s="367"/>
      <c r="AT33" s="362"/>
      <c r="AU33" s="362"/>
      <c r="AV33" s="368"/>
      <c r="AW33" s="446"/>
      <c r="AX33" s="360" t="s">
        <v>49</v>
      </c>
      <c r="BB33" s="369"/>
      <c r="BC33" s="367"/>
      <c r="BD33" s="370" t="s">
        <v>49</v>
      </c>
      <c r="BE33" s="367"/>
      <c r="BF33" s="370" t="s">
        <v>49</v>
      </c>
      <c r="BG33" s="367"/>
      <c r="BH33" s="360" t="s">
        <v>49</v>
      </c>
      <c r="BI33" s="371"/>
      <c r="BJ33" s="367"/>
      <c r="BK33" s="362"/>
      <c r="BL33" s="368"/>
      <c r="BM33" s="367"/>
      <c r="BN33" s="362"/>
      <c r="BO33" s="368"/>
      <c r="BP33" s="372"/>
      <c r="BQ33" s="362"/>
      <c r="BR33" s="368"/>
      <c r="BS33" s="446"/>
      <c r="BT33" s="364"/>
      <c r="BU33" s="447"/>
      <c r="BV33" s="368"/>
      <c r="BW33" s="513" t="str">
        <f t="shared" si="9"/>
        <v/>
      </c>
      <c r="BX33" s="513" t="str">
        <f t="shared" si="4"/>
        <v/>
      </c>
      <c r="BY33" s="513" t="str">
        <f t="shared" si="5"/>
        <v/>
      </c>
      <c r="BZ33" s="514" t="str">
        <f t="shared" si="6"/>
        <v/>
      </c>
      <c r="CA33" s="489" t="str">
        <f t="shared" si="10"/>
        <v/>
      </c>
      <c r="CB33" s="515" t="str">
        <f t="shared" si="38"/>
        <v/>
      </c>
      <c r="CC33" s="489" t="str">
        <f t="shared" ca="1" si="33"/>
        <v/>
      </c>
      <c r="CD33" s="489" t="str">
        <f t="shared" si="11"/>
        <v/>
      </c>
      <c r="CE33" s="489" t="str">
        <f t="shared" si="12"/>
        <v/>
      </c>
      <c r="CF33" s="516" t="str">
        <f t="shared" si="13"/>
        <v/>
      </c>
      <c r="CG33" s="517" t="str">
        <f t="shared" si="14"/>
        <v/>
      </c>
      <c r="CH33" s="489" t="str">
        <f t="shared" si="15"/>
        <v/>
      </c>
      <c r="CI33" s="515" t="str">
        <f t="shared" si="34"/>
        <v/>
      </c>
      <c r="CJ33" s="515" t="str">
        <f t="shared" si="16"/>
        <v/>
      </c>
      <c r="CK33" s="489">
        <f t="shared" si="17"/>
        <v>0</v>
      </c>
      <c r="CL33" s="489">
        <f t="shared" si="18"/>
        <v>0</v>
      </c>
      <c r="CM33" s="489">
        <f t="shared" si="19"/>
        <v>0</v>
      </c>
      <c r="CN33" s="489">
        <f t="shared" si="20"/>
        <v>0</v>
      </c>
      <c r="CO33" s="489">
        <f t="shared" si="21"/>
        <v>0</v>
      </c>
      <c r="CP33" s="489">
        <f t="shared" si="22"/>
        <v>0</v>
      </c>
      <c r="CQ33" s="489">
        <f t="shared" si="23"/>
        <v>0</v>
      </c>
      <c r="CR33" s="489">
        <f t="shared" si="24"/>
        <v>0</v>
      </c>
      <c r="CS33" s="489">
        <f t="shared" si="25"/>
        <v>0</v>
      </c>
      <c r="CT33" s="489">
        <f t="shared" si="26"/>
        <v>0</v>
      </c>
      <c r="CU33" s="489">
        <f t="shared" si="27"/>
        <v>0</v>
      </c>
      <c r="CV33" s="489">
        <f t="shared" si="28"/>
        <v>0</v>
      </c>
      <c r="CW33" s="489">
        <f t="shared" si="29"/>
        <v>0</v>
      </c>
      <c r="CX33" s="489">
        <f t="shared" si="30"/>
        <v>1</v>
      </c>
      <c r="CY33" s="489">
        <f t="shared" si="31"/>
        <v>0</v>
      </c>
      <c r="CZ33" s="361" t="str">
        <f t="shared" si="35"/>
        <v/>
      </c>
      <c r="DA33" s="361">
        <f t="shared" si="36"/>
        <v>0</v>
      </c>
      <c r="DB33" s="361">
        <f t="shared" si="37"/>
        <v>0</v>
      </c>
    </row>
    <row r="34" spans="1:106" s="317" customFormat="1" ht="15.75" thickTop="1" x14ac:dyDescent="0.25">
      <c r="A34" s="373">
        <v>181</v>
      </c>
      <c r="B34" s="374">
        <v>42031</v>
      </c>
      <c r="C34" s="375">
        <v>1082250</v>
      </c>
      <c r="D34" s="375" t="s">
        <v>134</v>
      </c>
      <c r="E34" s="375" t="str">
        <f t="shared" ref="E34:E65" si="39">IF(P34="(*_*)","",IF(BC34&lt;1,"SSS, ","")&amp;IF(BE34&lt;1,"HDMF, ","")&amp;IF(BG34&lt;1,"PHIC, ","")&amp;IF(BJ34&lt;1,"NBI, ","")&amp;IF(BM34&lt;1,"NSO, ","")&amp;IF(AS34&lt;1,"Info, ","")&amp;IF(AT34&lt;1,"AWOL, ","")&amp;IF(AU34&lt;1,"Hand, ","")&amp;IF(AV34&lt;1,"Waiver, ","")&amp;IF(AW34&lt;1,"TIN, ","")&amp;IF(AZ34&lt;1,"1905, ","")&amp;IF(BA34&lt;1,"2305, ",""))</f>
        <v/>
      </c>
      <c r="F34" s="375" t="str">
        <f t="shared" ref="F34:F65" si="40">IF(P34="(*_*)","",IF(BI34&lt;1,"MDR, ","")&amp;IF(BS34&lt;1,"JO, ","")&amp;IF(BT34&lt;1,"Contract, ","")&amp;IF(BU34&lt;1,"Confi, ","")&amp;IF(BQ34&lt;1,"TOR, ","")&amp;IF(BR34&lt;1,"COE, ","")&amp;IF(BP34&lt;1,"2x2, ",""))</f>
        <v xml:space="preserve">MDR, COE, 2x2, </v>
      </c>
      <c r="K34" s="152" t="str">
        <f t="shared" ca="1" si="7"/>
        <v/>
      </c>
      <c r="M34" s="318">
        <v>42046</v>
      </c>
      <c r="N34" s="153" t="str">
        <f t="shared" si="2"/>
        <v/>
      </c>
      <c r="O34" s="317" t="s">
        <v>302</v>
      </c>
      <c r="Q34" s="375" t="s">
        <v>136</v>
      </c>
      <c r="R34" s="376">
        <v>9055254072</v>
      </c>
      <c r="S34" s="153">
        <f t="shared" si="8"/>
        <v>9055254072</v>
      </c>
      <c r="T34" s="153" t="str">
        <f t="shared" si="3"/>
        <v/>
      </c>
      <c r="U34" s="321" t="s">
        <v>444</v>
      </c>
      <c r="V34" s="317" t="s">
        <v>337</v>
      </c>
      <c r="W34" s="317" t="s">
        <v>335</v>
      </c>
      <c r="X34" s="317" t="s">
        <v>336</v>
      </c>
      <c r="Y34" s="375" t="s">
        <v>135</v>
      </c>
      <c r="Z34" s="375" t="s">
        <v>128</v>
      </c>
      <c r="AA34" s="375" t="s">
        <v>517</v>
      </c>
      <c r="AB34" s="375"/>
      <c r="AC34" s="375" t="str">
        <f>IF(Z34="N/A","Php 1,500","Php 1,000")</f>
        <v>Php 1,500</v>
      </c>
      <c r="AD34" s="375" t="str">
        <f>IF(Z34="N/A","",IF(Z34="Level 1","Php 3,000","Php 4,000"))</f>
        <v/>
      </c>
      <c r="AE34" s="377" t="str">
        <f>IF(Z34="N/A","Php 1,200","")</f>
        <v>Php 1,200</v>
      </c>
      <c r="AF34" s="317" t="str">
        <f>IF(Z34="N/A","Php 300","")</f>
        <v>Php 300</v>
      </c>
      <c r="AH34" s="378" t="s">
        <v>52</v>
      </c>
      <c r="AI34" s="375" t="s">
        <v>338</v>
      </c>
      <c r="AJ34" s="530"/>
      <c r="AK34" s="375"/>
      <c r="AL34" s="375" t="s">
        <v>339</v>
      </c>
      <c r="AM34" s="375" t="s">
        <v>340</v>
      </c>
      <c r="AN34" s="374">
        <v>33046</v>
      </c>
      <c r="AO34" s="379" t="s">
        <v>989</v>
      </c>
      <c r="AP34" s="379" t="s">
        <v>989</v>
      </c>
      <c r="AQ34" s="375" t="s">
        <v>50</v>
      </c>
      <c r="AR34" s="375" t="s">
        <v>378</v>
      </c>
      <c r="AS34" s="328">
        <v>42059</v>
      </c>
      <c r="AT34" s="338">
        <v>42047</v>
      </c>
      <c r="AU34" s="338">
        <v>42047</v>
      </c>
      <c r="AV34" s="339">
        <v>42047</v>
      </c>
      <c r="AW34" s="328">
        <v>42046</v>
      </c>
      <c r="AX34" s="375" t="s">
        <v>687</v>
      </c>
      <c r="AZ34" s="317">
        <v>1</v>
      </c>
      <c r="BA34" s="318">
        <v>42044</v>
      </c>
      <c r="BB34" s="326"/>
      <c r="BC34" s="328">
        <v>42059</v>
      </c>
      <c r="BD34" s="380" t="s">
        <v>1071</v>
      </c>
      <c r="BE34" s="328">
        <v>42060</v>
      </c>
      <c r="BF34" s="380" t="s">
        <v>1102</v>
      </c>
      <c r="BG34" s="328">
        <v>42047</v>
      </c>
      <c r="BH34" s="375" t="s">
        <v>797</v>
      </c>
      <c r="BI34" s="329"/>
      <c r="BJ34" s="328">
        <v>42065</v>
      </c>
      <c r="BK34" s="338">
        <v>42060</v>
      </c>
      <c r="BL34" s="339">
        <v>42065</v>
      </c>
      <c r="BM34" s="328">
        <v>42059</v>
      </c>
      <c r="BN34" s="330"/>
      <c r="BO34" s="331"/>
      <c r="BP34" s="332"/>
      <c r="BQ34" s="338">
        <v>42059</v>
      </c>
      <c r="BR34" s="331"/>
      <c r="BS34" s="448">
        <v>42030</v>
      </c>
      <c r="BT34" s="374">
        <v>42030</v>
      </c>
      <c r="BU34" s="449">
        <v>42030</v>
      </c>
      <c r="BV34" s="381"/>
      <c r="BW34" s="511" t="str">
        <f t="shared" si="9"/>
        <v xml:space="preserve">2305 2/9/2015, NBI receipt 2/25/2015, </v>
      </c>
      <c r="BX34" s="511">
        <f t="shared" si="4"/>
        <v>11</v>
      </c>
      <c r="BY34" s="511">
        <f t="shared" si="5"/>
        <v>11</v>
      </c>
      <c r="BZ34" s="512">
        <f t="shared" si="6"/>
        <v>1</v>
      </c>
      <c r="CA34" s="153" t="str">
        <f t="shared" ref="CA34:CA65" si="41">IF((A34-A35)=0,"",A34)</f>
        <v/>
      </c>
      <c r="CB34" s="151" t="str">
        <f t="shared" si="38"/>
        <v/>
      </c>
      <c r="CC34" s="153" t="str">
        <f t="shared" ca="1" si="33"/>
        <v/>
      </c>
      <c r="CD34" s="153" t="str">
        <f t="shared" si="11"/>
        <v/>
      </c>
      <c r="CE34" s="153" t="str">
        <f t="shared" si="12"/>
        <v/>
      </c>
      <c r="CF34" s="396" t="str">
        <f t="shared" si="13"/>
        <v/>
      </c>
      <c r="CG34" s="397" t="str">
        <f t="shared" si="14"/>
        <v/>
      </c>
      <c r="CH34" s="153" t="str">
        <f t="shared" si="15"/>
        <v/>
      </c>
      <c r="CI34" s="151" t="str">
        <f t="shared" si="34"/>
        <v/>
      </c>
      <c r="CJ34" s="151" t="str">
        <f t="shared" si="16"/>
        <v/>
      </c>
      <c r="CK34" s="153">
        <f t="shared" si="17"/>
        <v>1</v>
      </c>
      <c r="CL34" s="153">
        <f t="shared" si="18"/>
        <v>1</v>
      </c>
      <c r="CM34" s="153">
        <f t="shared" si="19"/>
        <v>1</v>
      </c>
      <c r="CN34" s="153">
        <f t="shared" si="20"/>
        <v>1</v>
      </c>
      <c r="CO34" s="153">
        <f t="shared" si="21"/>
        <v>1</v>
      </c>
      <c r="CP34" s="153">
        <f t="shared" si="22"/>
        <v>1</v>
      </c>
      <c r="CQ34" s="153">
        <f t="shared" si="23"/>
        <v>1</v>
      </c>
      <c r="CR34" s="153">
        <f t="shared" si="24"/>
        <v>1</v>
      </c>
      <c r="CS34" s="153">
        <f t="shared" si="25"/>
        <v>1</v>
      </c>
      <c r="CT34" s="153">
        <f t="shared" si="26"/>
        <v>1</v>
      </c>
      <c r="CU34" s="153">
        <f t="shared" si="27"/>
        <v>1</v>
      </c>
      <c r="CV34" s="153">
        <f t="shared" si="28"/>
        <v>1</v>
      </c>
      <c r="CW34" s="153">
        <f t="shared" si="29"/>
        <v>1</v>
      </c>
      <c r="CX34" s="153">
        <f t="shared" si="30"/>
        <v>1</v>
      </c>
      <c r="CY34" s="153">
        <f t="shared" si="31"/>
        <v>1</v>
      </c>
      <c r="CZ34" s="317">
        <f t="shared" si="35"/>
        <v>15</v>
      </c>
      <c r="DA34" s="317">
        <f t="shared" si="36"/>
        <v>1</v>
      </c>
      <c r="DB34" s="317">
        <f t="shared" si="37"/>
        <v>1</v>
      </c>
    </row>
    <row r="35" spans="1:106" s="321" customFormat="1" x14ac:dyDescent="0.25">
      <c r="A35" s="314">
        <v>181</v>
      </c>
      <c r="B35" s="315">
        <v>42031</v>
      </c>
      <c r="C35" s="316">
        <v>1082251</v>
      </c>
      <c r="D35" s="316" t="s">
        <v>137</v>
      </c>
      <c r="E35" s="316" t="str">
        <f t="shared" si="39"/>
        <v/>
      </c>
      <c r="F35" s="316" t="str">
        <f t="shared" si="40"/>
        <v xml:space="preserve">MDR, COE, </v>
      </c>
      <c r="G35" s="317"/>
      <c r="H35" s="317"/>
      <c r="I35" s="317"/>
      <c r="J35" s="317"/>
      <c r="K35" s="152" t="str">
        <f t="shared" ca="1" si="7"/>
        <v/>
      </c>
      <c r="L35" s="317"/>
      <c r="M35" s="334">
        <v>42076</v>
      </c>
      <c r="N35" s="156" t="str">
        <f t="shared" si="2"/>
        <v/>
      </c>
      <c r="O35" s="321" t="s">
        <v>302</v>
      </c>
      <c r="Q35" s="316" t="s">
        <v>139</v>
      </c>
      <c r="R35" s="319">
        <v>9985398034</v>
      </c>
      <c r="S35" s="156">
        <f t="shared" si="8"/>
        <v>9985398034</v>
      </c>
      <c r="T35" s="156" t="str">
        <f t="shared" si="3"/>
        <v/>
      </c>
      <c r="U35" s="321" t="s">
        <v>514</v>
      </c>
      <c r="V35" s="321" t="s">
        <v>343</v>
      </c>
      <c r="W35" s="321" t="s">
        <v>341</v>
      </c>
      <c r="X35" s="321" t="s">
        <v>342</v>
      </c>
      <c r="Y35" s="316" t="s">
        <v>138</v>
      </c>
      <c r="Z35" s="320" t="s">
        <v>128</v>
      </c>
      <c r="AA35" s="320" t="s">
        <v>518</v>
      </c>
      <c r="AB35" s="320"/>
      <c r="AC35" s="320" t="str">
        <f>IF(Z35="N/A","Php 1,500","Php 1,000")</f>
        <v>Php 1,500</v>
      </c>
      <c r="AD35" s="320" t="str">
        <f t="shared" ref="AD35:AD92" si="42">IF(Z35="N/A","",IF(Z35="Level 1","Php 3,000","Php 4,000"))</f>
        <v/>
      </c>
      <c r="AE35" s="377" t="str">
        <f t="shared" ref="AE35:AE91" si="43">IF(Z35="N/A","Php 1,200","")</f>
        <v>Php 1,200</v>
      </c>
      <c r="AF35" s="317" t="str">
        <f t="shared" ref="AF35:AF91" si="44">IF(Z35="N/A","Php 300","")</f>
        <v>Php 300</v>
      </c>
      <c r="AG35" s="317"/>
      <c r="AH35" s="320" t="s">
        <v>52</v>
      </c>
      <c r="AI35" s="316" t="s">
        <v>253</v>
      </c>
      <c r="AJ35" s="527"/>
      <c r="AK35" s="316"/>
      <c r="AL35" s="316" t="s">
        <v>339</v>
      </c>
      <c r="AM35" s="316" t="s">
        <v>344</v>
      </c>
      <c r="AN35" s="315">
        <v>30043</v>
      </c>
      <c r="AO35" s="322" t="s">
        <v>238</v>
      </c>
      <c r="AP35" s="322"/>
      <c r="AQ35" s="316" t="s">
        <v>50</v>
      </c>
      <c r="AR35" s="316"/>
      <c r="AS35" s="323">
        <v>42031</v>
      </c>
      <c r="AT35" s="324">
        <v>42031</v>
      </c>
      <c r="AU35" s="324">
        <v>42031</v>
      </c>
      <c r="AV35" s="325">
        <v>42031</v>
      </c>
      <c r="AW35" s="328">
        <v>42044</v>
      </c>
      <c r="AX35" s="316" t="s">
        <v>1364</v>
      </c>
      <c r="AY35" s="317"/>
      <c r="AZ35" s="318">
        <v>42073</v>
      </c>
      <c r="BA35" s="318">
        <v>42034</v>
      </c>
      <c r="BB35" s="326"/>
      <c r="BC35" s="323">
        <v>42034</v>
      </c>
      <c r="BD35" s="327" t="s">
        <v>140</v>
      </c>
      <c r="BE35" s="328">
        <v>42045</v>
      </c>
      <c r="BF35" s="327" t="s">
        <v>685</v>
      </c>
      <c r="BG35" s="328">
        <v>42045</v>
      </c>
      <c r="BH35" s="316" t="s">
        <v>686</v>
      </c>
      <c r="BI35" s="329"/>
      <c r="BJ35" s="328">
        <v>42087</v>
      </c>
      <c r="BK35" s="330"/>
      <c r="BL35" s="331"/>
      <c r="BM35" s="323">
        <v>42034</v>
      </c>
      <c r="BN35" s="338">
        <v>42045</v>
      </c>
      <c r="BO35" s="331"/>
      <c r="BP35" s="332">
        <v>42031</v>
      </c>
      <c r="BQ35" s="324">
        <v>42034</v>
      </c>
      <c r="BR35" s="331"/>
      <c r="BS35" s="436">
        <v>42030</v>
      </c>
      <c r="BT35" s="315">
        <v>42030</v>
      </c>
      <c r="BU35" s="437">
        <v>42030</v>
      </c>
      <c r="BV35" s="333"/>
      <c r="BW35" s="499" t="str">
        <f t="shared" si="9"/>
        <v xml:space="preserve">1905 3/10/2015, 2305 1/30/2015, </v>
      </c>
      <c r="BX35" s="499">
        <f t="shared" ref="BX35:BX66" si="45">IF(O35="n","",COUNT(BM35,BJ35,BG35,BE35,BC35,AW35,AV35,AU35,AT35,AS35,AZ35))</f>
        <v>11</v>
      </c>
      <c r="BY35" s="499">
        <f t="shared" si="5"/>
        <v>11</v>
      </c>
      <c r="BZ35" s="500">
        <f t="shared" si="6"/>
        <v>1</v>
      </c>
      <c r="CA35" s="156" t="str">
        <f t="shared" si="41"/>
        <v/>
      </c>
      <c r="CB35" s="155" t="str">
        <f t="shared" si="38"/>
        <v/>
      </c>
      <c r="CC35" s="156" t="str">
        <f t="shared" ca="1" si="33"/>
        <v/>
      </c>
      <c r="CD35" s="156" t="str">
        <f t="shared" si="11"/>
        <v/>
      </c>
      <c r="CE35" s="156" t="str">
        <f t="shared" si="12"/>
        <v/>
      </c>
      <c r="CF35" s="495" t="str">
        <f t="shared" si="13"/>
        <v/>
      </c>
      <c r="CG35" s="496" t="str">
        <f t="shared" si="14"/>
        <v/>
      </c>
      <c r="CH35" s="156" t="str">
        <f t="shared" si="15"/>
        <v/>
      </c>
      <c r="CI35" s="155" t="str">
        <f t="shared" si="34"/>
        <v/>
      </c>
      <c r="CJ35" s="155" t="str">
        <f t="shared" si="16"/>
        <v/>
      </c>
      <c r="CK35" s="156">
        <f t="shared" si="17"/>
        <v>2</v>
      </c>
      <c r="CL35" s="156">
        <f t="shared" si="18"/>
        <v>2</v>
      </c>
      <c r="CM35" s="156">
        <f t="shared" si="19"/>
        <v>2</v>
      </c>
      <c r="CN35" s="156">
        <f t="shared" si="20"/>
        <v>2</v>
      </c>
      <c r="CO35" s="156">
        <f t="shared" si="21"/>
        <v>2</v>
      </c>
      <c r="CP35" s="156">
        <f t="shared" si="22"/>
        <v>2</v>
      </c>
      <c r="CQ35" s="156">
        <f t="shared" si="23"/>
        <v>2</v>
      </c>
      <c r="CR35" s="156">
        <f t="shared" si="24"/>
        <v>2</v>
      </c>
      <c r="CS35" s="156">
        <f t="shared" si="25"/>
        <v>2</v>
      </c>
      <c r="CT35" s="156">
        <f t="shared" si="26"/>
        <v>2</v>
      </c>
      <c r="CU35" s="156">
        <f t="shared" si="27"/>
        <v>2</v>
      </c>
      <c r="CV35" s="156">
        <f t="shared" si="28"/>
        <v>2</v>
      </c>
      <c r="CW35" s="156">
        <f t="shared" si="29"/>
        <v>2</v>
      </c>
      <c r="CX35" s="156">
        <f t="shared" si="30"/>
        <v>1</v>
      </c>
      <c r="CY35" s="156">
        <f t="shared" si="31"/>
        <v>2</v>
      </c>
      <c r="CZ35" s="321">
        <f t="shared" si="35"/>
        <v>45</v>
      </c>
      <c r="DA35" s="321">
        <f t="shared" si="36"/>
        <v>0</v>
      </c>
      <c r="DB35" s="321">
        <f t="shared" si="37"/>
        <v>1</v>
      </c>
    </row>
    <row r="36" spans="1:106" s="8" customFormat="1" x14ac:dyDescent="0.25">
      <c r="A36" s="130">
        <v>181</v>
      </c>
      <c r="B36" s="12">
        <v>42030</v>
      </c>
      <c r="C36" s="11">
        <v>1082252</v>
      </c>
      <c r="D36" s="11" t="s">
        <v>141</v>
      </c>
      <c r="E36" s="11" t="str">
        <f t="shared" si="39"/>
        <v/>
      </c>
      <c r="F36" s="11" t="str">
        <f t="shared" si="40"/>
        <v/>
      </c>
      <c r="G36" s="113" t="s">
        <v>472</v>
      </c>
      <c r="H36" s="113"/>
      <c r="I36" s="113"/>
      <c r="J36" s="113"/>
      <c r="K36" s="152" t="str">
        <f t="shared" ca="1" si="7"/>
        <v/>
      </c>
      <c r="L36" s="113"/>
      <c r="N36" s="156" t="str">
        <f t="shared" si="2"/>
        <v/>
      </c>
      <c r="O36" s="8" t="s">
        <v>298</v>
      </c>
      <c r="P36" s="113" t="s">
        <v>689</v>
      </c>
      <c r="Q36" s="250" t="s">
        <v>143</v>
      </c>
      <c r="R36" s="14">
        <v>9175868202</v>
      </c>
      <c r="S36" s="156">
        <f t="shared" si="8"/>
        <v>9175868202</v>
      </c>
      <c r="T36" s="156" t="str">
        <f t="shared" si="3"/>
        <v/>
      </c>
      <c r="U36" s="113" t="s">
        <v>433</v>
      </c>
      <c r="V36" s="8" t="s">
        <v>305</v>
      </c>
      <c r="W36" s="8" t="s">
        <v>303</v>
      </c>
      <c r="X36" s="8" t="s">
        <v>304</v>
      </c>
      <c r="Y36" s="11" t="s">
        <v>142</v>
      </c>
      <c r="Z36" s="157" t="s">
        <v>74</v>
      </c>
      <c r="AA36" s="157" t="str">
        <f>IF(Z36="N/A","",IF(Z36="Level 1","Php 16,000","Php 17,000"))</f>
        <v>Php 17,000</v>
      </c>
      <c r="AB36" s="157"/>
      <c r="AC36" s="157" t="str">
        <f>IF(Z36="N/A","Php 1,500","Php 1,000")</f>
        <v>Php 1,000</v>
      </c>
      <c r="AD36" s="157" t="str">
        <f t="shared" si="42"/>
        <v>Php 4,000</v>
      </c>
      <c r="AE36" s="121" t="str">
        <f t="shared" si="43"/>
        <v/>
      </c>
      <c r="AF36" s="113" t="str">
        <f t="shared" si="44"/>
        <v/>
      </c>
      <c r="AG36" s="113"/>
      <c r="AH36" s="157" t="s">
        <v>52</v>
      </c>
      <c r="AI36" s="11" t="s">
        <v>253</v>
      </c>
      <c r="AJ36" s="527"/>
      <c r="AK36" s="11"/>
      <c r="AL36" s="11" t="s">
        <v>259</v>
      </c>
      <c r="AM36" s="11" t="s">
        <v>248</v>
      </c>
      <c r="AN36" s="12">
        <v>30980</v>
      </c>
      <c r="AO36" s="18" t="s">
        <v>990</v>
      </c>
      <c r="AP36" s="18" t="s">
        <v>990</v>
      </c>
      <c r="AQ36" s="11" t="s">
        <v>50</v>
      </c>
      <c r="AR36" s="11" t="s">
        <v>495</v>
      </c>
      <c r="AS36" s="163">
        <v>42033</v>
      </c>
      <c r="AT36" s="19">
        <v>42033</v>
      </c>
      <c r="AU36" s="19">
        <v>42033</v>
      </c>
      <c r="AV36" s="192">
        <v>42038</v>
      </c>
      <c r="AW36" s="438">
        <v>42033</v>
      </c>
      <c r="AX36" s="11" t="s">
        <v>145</v>
      </c>
      <c r="AY36" s="113"/>
      <c r="AZ36" s="113"/>
      <c r="BA36" s="129">
        <v>42032</v>
      </c>
      <c r="BB36" s="177">
        <v>42033</v>
      </c>
      <c r="BC36" s="163">
        <v>42028</v>
      </c>
      <c r="BD36" s="184" t="s">
        <v>144</v>
      </c>
      <c r="BE36" s="163">
        <v>42034</v>
      </c>
      <c r="BF36" s="184" t="s">
        <v>147</v>
      </c>
      <c r="BG36" s="163">
        <v>42033</v>
      </c>
      <c r="BH36" s="11" t="s">
        <v>146</v>
      </c>
      <c r="BI36" s="177"/>
      <c r="BJ36" s="163">
        <v>42028</v>
      </c>
      <c r="BK36" s="19"/>
      <c r="BL36" s="176"/>
      <c r="BM36" s="163">
        <v>42028</v>
      </c>
      <c r="BN36" s="125"/>
      <c r="BO36" s="176">
        <v>42028</v>
      </c>
      <c r="BP36" s="187">
        <v>42033</v>
      </c>
      <c r="BQ36" s="125"/>
      <c r="BR36" s="173"/>
      <c r="BS36" s="438">
        <v>42030</v>
      </c>
      <c r="BT36" s="12">
        <v>42030</v>
      </c>
      <c r="BU36" s="439">
        <v>42030</v>
      </c>
      <c r="BV36" s="254"/>
      <c r="BW36" s="499" t="str">
        <f t="shared" si="9"/>
        <v xml:space="preserve">2305 (for processing) 1/28/2015, 2316 1/29/2015, </v>
      </c>
      <c r="BX36" s="499" t="str">
        <f t="shared" si="45"/>
        <v/>
      </c>
      <c r="BY36" s="499" t="str">
        <f t="shared" si="5"/>
        <v/>
      </c>
      <c r="BZ36" s="500" t="str">
        <f t="shared" si="6"/>
        <v/>
      </c>
      <c r="CA36" s="156" t="str">
        <f t="shared" si="41"/>
        <v/>
      </c>
      <c r="CB36" s="155" t="str">
        <f t="shared" si="38"/>
        <v/>
      </c>
      <c r="CC36" s="156" t="str">
        <f t="shared" ca="1" si="33"/>
        <v/>
      </c>
      <c r="CD36" s="156" t="str">
        <f t="shared" si="11"/>
        <v/>
      </c>
      <c r="CE36" s="156" t="str">
        <f t="shared" si="12"/>
        <v/>
      </c>
      <c r="CF36" s="495" t="str">
        <f t="shared" si="13"/>
        <v/>
      </c>
      <c r="CG36" s="496" t="str">
        <f t="shared" si="14"/>
        <v/>
      </c>
      <c r="CH36" s="156" t="str">
        <f t="shared" si="15"/>
        <v/>
      </c>
      <c r="CI36" s="155" t="str">
        <f t="shared" si="34"/>
        <v/>
      </c>
      <c r="CJ36" s="155" t="str">
        <f t="shared" si="16"/>
        <v/>
      </c>
      <c r="CK36" s="156">
        <f t="shared" si="17"/>
        <v>2</v>
      </c>
      <c r="CL36" s="156">
        <f t="shared" si="18"/>
        <v>2</v>
      </c>
      <c r="CM36" s="156">
        <f t="shared" si="19"/>
        <v>2</v>
      </c>
      <c r="CN36" s="156">
        <f t="shared" si="20"/>
        <v>2</v>
      </c>
      <c r="CO36" s="156">
        <f t="shared" si="21"/>
        <v>2</v>
      </c>
      <c r="CP36" s="156">
        <f t="shared" si="22"/>
        <v>2</v>
      </c>
      <c r="CQ36" s="156">
        <f t="shared" si="23"/>
        <v>2</v>
      </c>
      <c r="CR36" s="156">
        <f t="shared" si="24"/>
        <v>2</v>
      </c>
      <c r="CS36" s="156">
        <f t="shared" si="25"/>
        <v>2</v>
      </c>
      <c r="CT36" s="156">
        <f t="shared" si="26"/>
        <v>2</v>
      </c>
      <c r="CU36" s="156">
        <f t="shared" si="27"/>
        <v>2</v>
      </c>
      <c r="CV36" s="156">
        <f t="shared" si="28"/>
        <v>2</v>
      </c>
      <c r="CW36" s="156">
        <f t="shared" si="29"/>
        <v>2</v>
      </c>
      <c r="CX36" s="156">
        <f t="shared" si="30"/>
        <v>2</v>
      </c>
      <c r="CY36" s="156">
        <f t="shared" si="31"/>
        <v>2</v>
      </c>
      <c r="CZ36" s="8" t="str">
        <f t="shared" si="35"/>
        <v/>
      </c>
      <c r="DA36" s="8">
        <f t="shared" si="36"/>
        <v>0</v>
      </c>
      <c r="DB36" s="8">
        <f t="shared" si="37"/>
        <v>0</v>
      </c>
    </row>
    <row r="37" spans="1:106" s="321" customFormat="1" x14ac:dyDescent="0.25">
      <c r="A37" s="314">
        <v>181</v>
      </c>
      <c r="B37" s="315">
        <v>42030</v>
      </c>
      <c r="C37" s="316">
        <v>1082253</v>
      </c>
      <c r="D37" s="316" t="s">
        <v>148</v>
      </c>
      <c r="E37" s="316" t="str">
        <f t="shared" si="39"/>
        <v/>
      </c>
      <c r="F37" s="316" t="str">
        <f t="shared" si="40"/>
        <v/>
      </c>
      <c r="G37" s="317" t="s">
        <v>472</v>
      </c>
      <c r="H37" s="317"/>
      <c r="I37" s="317"/>
      <c r="J37" s="317"/>
      <c r="K37" s="152" t="str">
        <f t="shared" ca="1" si="7"/>
        <v/>
      </c>
      <c r="L37" s="317"/>
      <c r="M37" s="334">
        <v>42046</v>
      </c>
      <c r="N37" s="156" t="str">
        <f t="shared" si="2"/>
        <v/>
      </c>
      <c r="O37" s="321" t="s">
        <v>302</v>
      </c>
      <c r="Q37" s="316" t="s">
        <v>149</v>
      </c>
      <c r="R37" s="319">
        <v>9062243135</v>
      </c>
      <c r="S37" s="156">
        <f t="shared" si="8"/>
        <v>9062243135</v>
      </c>
      <c r="T37" s="156" t="str">
        <f t="shared" si="3"/>
        <v/>
      </c>
      <c r="U37" s="321" t="s">
        <v>434</v>
      </c>
      <c r="V37" s="321" t="s">
        <v>308</v>
      </c>
      <c r="W37" s="321" t="s">
        <v>306</v>
      </c>
      <c r="X37" s="321" t="s">
        <v>307</v>
      </c>
      <c r="Y37" s="316" t="s">
        <v>142</v>
      </c>
      <c r="Z37" s="320" t="s">
        <v>74</v>
      </c>
      <c r="AA37" s="320" t="str">
        <f t="shared" ref="AA37:AA55" si="46">IF(Z37="N/A","",IF(Z37="Level 1","Php 16,000","Php 17,000"))</f>
        <v>Php 17,000</v>
      </c>
      <c r="AB37" s="320"/>
      <c r="AC37" s="320" t="str">
        <f t="shared" ref="AC37:AC91" si="47">IF(Z37="N/A","Php 1,500","Php 1,000")</f>
        <v>Php 1,000</v>
      </c>
      <c r="AD37" s="320" t="str">
        <f t="shared" si="42"/>
        <v>Php 4,000</v>
      </c>
      <c r="AE37" s="377" t="str">
        <f t="shared" si="43"/>
        <v/>
      </c>
      <c r="AF37" s="317" t="str">
        <f t="shared" si="44"/>
        <v/>
      </c>
      <c r="AG37" s="317"/>
      <c r="AH37" s="320" t="s">
        <v>52</v>
      </c>
      <c r="AI37" s="316" t="s">
        <v>253</v>
      </c>
      <c r="AJ37" s="527"/>
      <c r="AK37" s="316"/>
      <c r="AL37" s="316" t="s">
        <v>247</v>
      </c>
      <c r="AM37" s="316" t="s">
        <v>248</v>
      </c>
      <c r="AN37" s="315">
        <v>30386</v>
      </c>
      <c r="AO37" s="322" t="s">
        <v>150</v>
      </c>
      <c r="AP37" s="322"/>
      <c r="AQ37" s="316" t="s">
        <v>53</v>
      </c>
      <c r="AR37" s="316"/>
      <c r="AS37" s="323">
        <v>42031</v>
      </c>
      <c r="AT37" s="324">
        <v>42031</v>
      </c>
      <c r="AU37" s="324">
        <v>42031</v>
      </c>
      <c r="AV37" s="339">
        <v>42038</v>
      </c>
      <c r="AW37" s="436">
        <v>42031</v>
      </c>
      <c r="AX37" s="316" t="s">
        <v>152</v>
      </c>
      <c r="AY37" s="317"/>
      <c r="AZ37" s="318">
        <v>42032</v>
      </c>
      <c r="BA37" s="318">
        <v>42032</v>
      </c>
      <c r="BB37" s="326"/>
      <c r="BC37" s="323">
        <v>42031</v>
      </c>
      <c r="BD37" s="327" t="s">
        <v>151</v>
      </c>
      <c r="BE37" s="323">
        <v>42031</v>
      </c>
      <c r="BF37" s="327" t="s">
        <v>154</v>
      </c>
      <c r="BG37" s="323">
        <v>42031</v>
      </c>
      <c r="BH37" s="316" t="s">
        <v>153</v>
      </c>
      <c r="BI37" s="329">
        <v>42052</v>
      </c>
      <c r="BJ37" s="328">
        <v>42034</v>
      </c>
      <c r="BK37" s="338"/>
      <c r="BL37" s="339"/>
      <c r="BM37" s="323">
        <v>42031</v>
      </c>
      <c r="BN37" s="330"/>
      <c r="BO37" s="325">
        <v>42031</v>
      </c>
      <c r="BP37" s="332">
        <v>42031</v>
      </c>
      <c r="BQ37" s="324">
        <v>42031</v>
      </c>
      <c r="BR37" s="325">
        <v>42031</v>
      </c>
      <c r="BS37" s="436">
        <v>42030</v>
      </c>
      <c r="BT37" s="315">
        <v>42030</v>
      </c>
      <c r="BU37" s="437">
        <v>42030</v>
      </c>
      <c r="BV37" s="333"/>
      <c r="BW37" s="499" t="str">
        <f t="shared" si="9"/>
        <v xml:space="preserve">1905 1/28/2015, 2305 1/28/2015, MDR 2/17/2015, </v>
      </c>
      <c r="BX37" s="499">
        <f t="shared" si="45"/>
        <v>11</v>
      </c>
      <c r="BY37" s="499">
        <f t="shared" si="5"/>
        <v>11</v>
      </c>
      <c r="BZ37" s="500">
        <f t="shared" si="6"/>
        <v>1</v>
      </c>
      <c r="CA37" s="156" t="str">
        <f t="shared" si="41"/>
        <v/>
      </c>
      <c r="CB37" s="155" t="str">
        <f t="shared" si="38"/>
        <v/>
      </c>
      <c r="CC37" s="156" t="str">
        <f t="shared" ca="1" si="33"/>
        <v/>
      </c>
      <c r="CD37" s="156" t="str">
        <f t="shared" si="11"/>
        <v/>
      </c>
      <c r="CE37" s="156" t="str">
        <f t="shared" si="12"/>
        <v/>
      </c>
      <c r="CF37" s="495" t="str">
        <f t="shared" si="13"/>
        <v/>
      </c>
      <c r="CG37" s="496" t="str">
        <f t="shared" si="14"/>
        <v/>
      </c>
      <c r="CH37" s="156" t="str">
        <f t="shared" si="15"/>
        <v/>
      </c>
      <c r="CI37" s="155" t="str">
        <f t="shared" si="34"/>
        <v/>
      </c>
      <c r="CJ37" s="155" t="str">
        <f t="shared" si="16"/>
        <v/>
      </c>
      <c r="CK37" s="156">
        <f t="shared" si="17"/>
        <v>3</v>
      </c>
      <c r="CL37" s="156">
        <f t="shared" si="18"/>
        <v>3</v>
      </c>
      <c r="CM37" s="156">
        <f t="shared" si="19"/>
        <v>3</v>
      </c>
      <c r="CN37" s="156">
        <f t="shared" si="20"/>
        <v>3</v>
      </c>
      <c r="CO37" s="156">
        <f t="shared" si="21"/>
        <v>3</v>
      </c>
      <c r="CP37" s="156">
        <f t="shared" si="22"/>
        <v>3</v>
      </c>
      <c r="CQ37" s="156">
        <f t="shared" si="23"/>
        <v>3</v>
      </c>
      <c r="CR37" s="156">
        <f t="shared" si="24"/>
        <v>3</v>
      </c>
      <c r="CS37" s="156">
        <f t="shared" si="25"/>
        <v>3</v>
      </c>
      <c r="CT37" s="156">
        <f t="shared" si="26"/>
        <v>3</v>
      </c>
      <c r="CU37" s="156">
        <f t="shared" si="27"/>
        <v>3</v>
      </c>
      <c r="CV37" s="156">
        <f t="shared" si="28"/>
        <v>3</v>
      </c>
      <c r="CW37" s="156">
        <f t="shared" si="29"/>
        <v>3</v>
      </c>
      <c r="CX37" s="156">
        <f t="shared" si="30"/>
        <v>2</v>
      </c>
      <c r="CY37" s="156">
        <f t="shared" si="31"/>
        <v>3</v>
      </c>
      <c r="CZ37" s="321">
        <f t="shared" si="35"/>
        <v>16</v>
      </c>
      <c r="DA37" s="321">
        <f t="shared" si="36"/>
        <v>1</v>
      </c>
      <c r="DB37" s="321">
        <f t="shared" si="37"/>
        <v>1</v>
      </c>
    </row>
    <row r="38" spans="1:106" s="321" customFormat="1" x14ac:dyDescent="0.25">
      <c r="A38" s="314">
        <v>181</v>
      </c>
      <c r="B38" s="315">
        <v>42030</v>
      </c>
      <c r="C38" s="316">
        <v>1082254</v>
      </c>
      <c r="D38" s="316" t="s">
        <v>155</v>
      </c>
      <c r="E38" s="316" t="str">
        <f t="shared" si="39"/>
        <v/>
      </c>
      <c r="F38" s="316" t="str">
        <f t="shared" si="40"/>
        <v xml:space="preserve">TOR, 2x2, </v>
      </c>
      <c r="G38" s="317" t="s">
        <v>472</v>
      </c>
      <c r="H38" s="317"/>
      <c r="I38" s="317"/>
      <c r="J38" s="317"/>
      <c r="K38" s="152" t="str">
        <f t="shared" ca="1" si="7"/>
        <v/>
      </c>
      <c r="L38" s="317"/>
      <c r="M38" s="334">
        <v>42038</v>
      </c>
      <c r="N38" s="156" t="str">
        <f t="shared" si="2"/>
        <v/>
      </c>
      <c r="O38" s="321" t="s">
        <v>302</v>
      </c>
      <c r="Q38" s="316" t="s">
        <v>156</v>
      </c>
      <c r="R38" s="319">
        <v>9097299229</v>
      </c>
      <c r="S38" s="156">
        <f t="shared" si="8"/>
        <v>9097299229</v>
      </c>
      <c r="T38" s="156" t="str">
        <f t="shared" si="3"/>
        <v/>
      </c>
      <c r="U38" s="321" t="s">
        <v>435</v>
      </c>
      <c r="V38" s="321" t="s">
        <v>311</v>
      </c>
      <c r="W38" s="321" t="s">
        <v>309</v>
      </c>
      <c r="X38" s="321" t="s">
        <v>310</v>
      </c>
      <c r="Y38" s="316" t="s">
        <v>142</v>
      </c>
      <c r="Z38" s="320" t="s">
        <v>70</v>
      </c>
      <c r="AA38" s="320" t="str">
        <f t="shared" si="46"/>
        <v>Php 16,000</v>
      </c>
      <c r="AB38" s="320"/>
      <c r="AC38" s="320" t="str">
        <f t="shared" si="47"/>
        <v>Php 1,000</v>
      </c>
      <c r="AD38" s="320" t="str">
        <f t="shared" si="42"/>
        <v>Php 3,000</v>
      </c>
      <c r="AE38" s="377" t="str">
        <f t="shared" si="43"/>
        <v/>
      </c>
      <c r="AF38" s="317" t="str">
        <f t="shared" si="44"/>
        <v/>
      </c>
      <c r="AG38" s="317"/>
      <c r="AH38" s="320" t="s">
        <v>52</v>
      </c>
      <c r="AI38" s="316" t="s">
        <v>338</v>
      </c>
      <c r="AJ38" s="527" t="s">
        <v>1129</v>
      </c>
      <c r="AK38" s="316"/>
      <c r="AL38" s="316" t="s">
        <v>265</v>
      </c>
      <c r="AM38" s="316" t="s">
        <v>248</v>
      </c>
      <c r="AN38" s="315">
        <v>33480</v>
      </c>
      <c r="AO38" s="322" t="s">
        <v>157</v>
      </c>
      <c r="AP38" s="322"/>
      <c r="AQ38" s="316" t="s">
        <v>50</v>
      </c>
      <c r="AR38" s="316"/>
      <c r="AS38" s="323">
        <v>42032</v>
      </c>
      <c r="AT38" s="324">
        <v>42032</v>
      </c>
      <c r="AU38" s="324">
        <v>42032</v>
      </c>
      <c r="AV38" s="339">
        <v>42038</v>
      </c>
      <c r="AW38" s="436">
        <v>42033</v>
      </c>
      <c r="AX38" s="316" t="s">
        <v>159</v>
      </c>
      <c r="AY38" s="317"/>
      <c r="AZ38" s="317">
        <v>1</v>
      </c>
      <c r="BA38" s="318">
        <v>42034</v>
      </c>
      <c r="BB38" s="326"/>
      <c r="BC38" s="323">
        <v>42033</v>
      </c>
      <c r="BD38" s="327" t="s">
        <v>158</v>
      </c>
      <c r="BE38" s="323">
        <v>42032</v>
      </c>
      <c r="BF38" s="327" t="s">
        <v>161</v>
      </c>
      <c r="BG38" s="323">
        <v>42032</v>
      </c>
      <c r="BH38" s="316" t="s">
        <v>160</v>
      </c>
      <c r="BI38" s="329">
        <v>42033</v>
      </c>
      <c r="BJ38" s="323">
        <v>42033</v>
      </c>
      <c r="BK38" s="324"/>
      <c r="BL38" s="325"/>
      <c r="BM38" s="323">
        <v>42032</v>
      </c>
      <c r="BN38" s="330"/>
      <c r="BO38" s="331"/>
      <c r="BP38" s="332"/>
      <c r="BQ38" s="330"/>
      <c r="BR38" s="339">
        <v>42132</v>
      </c>
      <c r="BS38" s="436">
        <v>42030</v>
      </c>
      <c r="BT38" s="315">
        <v>42030</v>
      </c>
      <c r="BU38" s="437">
        <v>42030</v>
      </c>
      <c r="BV38" s="333"/>
      <c r="BW38" s="499" t="str">
        <f t="shared" si="9"/>
        <v xml:space="preserve">2305 1/30/2015, MDR 1/29/2015, </v>
      </c>
      <c r="BX38" s="499">
        <f t="shared" si="45"/>
        <v>11</v>
      </c>
      <c r="BY38" s="499">
        <f t="shared" si="5"/>
        <v>11</v>
      </c>
      <c r="BZ38" s="500">
        <f t="shared" si="6"/>
        <v>1</v>
      </c>
      <c r="CA38" s="156" t="str">
        <f t="shared" si="41"/>
        <v/>
      </c>
      <c r="CB38" s="155" t="str">
        <f t="shared" si="38"/>
        <v/>
      </c>
      <c r="CC38" s="156" t="str">
        <f t="shared" ca="1" si="33"/>
        <v/>
      </c>
      <c r="CD38" s="156" t="str">
        <f t="shared" si="11"/>
        <v/>
      </c>
      <c r="CE38" s="156" t="str">
        <f t="shared" si="12"/>
        <v/>
      </c>
      <c r="CF38" s="495" t="str">
        <f t="shared" si="13"/>
        <v/>
      </c>
      <c r="CG38" s="496" t="str">
        <f t="shared" si="14"/>
        <v/>
      </c>
      <c r="CH38" s="156" t="str">
        <f t="shared" si="15"/>
        <v/>
      </c>
      <c r="CI38" s="155" t="str">
        <f t="shared" si="34"/>
        <v/>
      </c>
      <c r="CJ38" s="155" t="str">
        <f t="shared" si="16"/>
        <v/>
      </c>
      <c r="CK38" s="156">
        <f t="shared" si="17"/>
        <v>4</v>
      </c>
      <c r="CL38" s="156">
        <f t="shared" si="18"/>
        <v>4</v>
      </c>
      <c r="CM38" s="156">
        <f t="shared" si="19"/>
        <v>4</v>
      </c>
      <c r="CN38" s="156">
        <f t="shared" si="20"/>
        <v>4</v>
      </c>
      <c r="CO38" s="156">
        <f t="shared" si="21"/>
        <v>4</v>
      </c>
      <c r="CP38" s="156">
        <f t="shared" si="22"/>
        <v>4</v>
      </c>
      <c r="CQ38" s="156">
        <f t="shared" si="23"/>
        <v>4</v>
      </c>
      <c r="CR38" s="156">
        <f t="shared" si="24"/>
        <v>4</v>
      </c>
      <c r="CS38" s="156">
        <f t="shared" si="25"/>
        <v>4</v>
      </c>
      <c r="CT38" s="156">
        <f t="shared" si="26"/>
        <v>4</v>
      </c>
      <c r="CU38" s="156">
        <f t="shared" si="27"/>
        <v>4</v>
      </c>
      <c r="CV38" s="156">
        <f t="shared" si="28"/>
        <v>4</v>
      </c>
      <c r="CW38" s="156">
        <f t="shared" si="29"/>
        <v>4</v>
      </c>
      <c r="CX38" s="156">
        <f t="shared" si="30"/>
        <v>2</v>
      </c>
      <c r="CY38" s="156">
        <f t="shared" si="31"/>
        <v>4</v>
      </c>
      <c r="CZ38" s="321">
        <f t="shared" si="35"/>
        <v>8</v>
      </c>
      <c r="DA38" s="321">
        <f t="shared" si="36"/>
        <v>1</v>
      </c>
      <c r="DB38" s="321">
        <f t="shared" si="37"/>
        <v>1</v>
      </c>
    </row>
    <row r="39" spans="1:106" s="321" customFormat="1" x14ac:dyDescent="0.25">
      <c r="A39" s="314">
        <v>181</v>
      </c>
      <c r="B39" s="315">
        <v>42030</v>
      </c>
      <c r="C39" s="316">
        <v>1082255</v>
      </c>
      <c r="D39" s="316" t="s">
        <v>162</v>
      </c>
      <c r="E39" s="316" t="str">
        <f t="shared" si="39"/>
        <v/>
      </c>
      <c r="F39" s="316" t="str">
        <f t="shared" si="40"/>
        <v xml:space="preserve">COE, </v>
      </c>
      <c r="G39" s="317" t="s">
        <v>472</v>
      </c>
      <c r="H39" s="317"/>
      <c r="I39" s="317"/>
      <c r="J39" s="317"/>
      <c r="K39" s="152" t="str">
        <f t="shared" ref="K39:K70" ca="1" si="48">IF(IF(OR(O39="c",O39="n"),"",IF(L39="",IF((TODAY()-B39)&gt;20,"Dedlyn!",(B39+18)-TODAY()),L39-TODAY()))&lt;1,"Dedlyn!",IF(OR(O39="c",O39="n"),"",IF(L39="",IF((TODAY()-B39)&gt;20,"Dedlyn!",(B39+18)-TODAY()),L39-TODAY())))</f>
        <v/>
      </c>
      <c r="L39" s="317"/>
      <c r="M39" s="334">
        <v>42062</v>
      </c>
      <c r="N39" s="156" t="str">
        <f t="shared" si="2"/>
        <v/>
      </c>
      <c r="O39" s="321" t="s">
        <v>302</v>
      </c>
      <c r="Q39" s="316" t="s">
        <v>156</v>
      </c>
      <c r="R39" s="319">
        <v>9158566619</v>
      </c>
      <c r="S39" s="156">
        <f t="shared" si="8"/>
        <v>9158566619</v>
      </c>
      <c r="T39" s="156" t="str">
        <f t="shared" si="3"/>
        <v/>
      </c>
      <c r="U39" s="321" t="s">
        <v>436</v>
      </c>
      <c r="V39" s="321" t="s">
        <v>314</v>
      </c>
      <c r="W39" s="321" t="s">
        <v>312</v>
      </c>
      <c r="X39" s="321" t="s">
        <v>313</v>
      </c>
      <c r="Y39" s="316" t="s">
        <v>142</v>
      </c>
      <c r="Z39" s="320" t="s">
        <v>70</v>
      </c>
      <c r="AA39" s="320" t="str">
        <f t="shared" si="46"/>
        <v>Php 16,000</v>
      </c>
      <c r="AB39" s="320"/>
      <c r="AC39" s="320" t="str">
        <f t="shared" si="47"/>
        <v>Php 1,000</v>
      </c>
      <c r="AD39" s="320" t="str">
        <f t="shared" si="42"/>
        <v>Php 3,000</v>
      </c>
      <c r="AE39" s="377" t="str">
        <f t="shared" si="43"/>
        <v/>
      </c>
      <c r="AF39" s="317" t="str">
        <f t="shared" si="44"/>
        <v/>
      </c>
      <c r="AG39" s="317"/>
      <c r="AH39" s="320" t="s">
        <v>52</v>
      </c>
      <c r="AI39" s="316" t="s">
        <v>253</v>
      </c>
      <c r="AJ39" s="527"/>
      <c r="AK39" s="316"/>
      <c r="AL39" s="316" t="s">
        <v>254</v>
      </c>
      <c r="AM39" s="316" t="s">
        <v>248</v>
      </c>
      <c r="AN39" s="315">
        <v>33555</v>
      </c>
      <c r="AO39" s="322" t="s">
        <v>163</v>
      </c>
      <c r="AP39" s="322"/>
      <c r="AQ39" s="316" t="s">
        <v>50</v>
      </c>
      <c r="AR39" s="316" t="s">
        <v>378</v>
      </c>
      <c r="AS39" s="323">
        <v>42031</v>
      </c>
      <c r="AT39" s="324">
        <v>42031</v>
      </c>
      <c r="AU39" s="324">
        <v>42031</v>
      </c>
      <c r="AV39" s="339">
        <v>42038</v>
      </c>
      <c r="AW39" s="328">
        <v>42062</v>
      </c>
      <c r="AX39" s="316" t="s">
        <v>981</v>
      </c>
      <c r="AY39" s="317"/>
      <c r="AZ39" s="317">
        <v>1</v>
      </c>
      <c r="BA39" s="318">
        <v>42053</v>
      </c>
      <c r="BB39" s="326"/>
      <c r="BC39" s="323">
        <v>42031</v>
      </c>
      <c r="BD39" s="327" t="s">
        <v>164</v>
      </c>
      <c r="BE39" s="323">
        <v>42031</v>
      </c>
      <c r="BF39" s="327" t="s">
        <v>166</v>
      </c>
      <c r="BG39" s="323">
        <v>42033</v>
      </c>
      <c r="BH39" s="316" t="s">
        <v>165</v>
      </c>
      <c r="BI39" s="329">
        <v>42033</v>
      </c>
      <c r="BJ39" s="323">
        <v>42034</v>
      </c>
      <c r="BK39" s="324"/>
      <c r="BL39" s="325"/>
      <c r="BM39" s="323">
        <v>42031</v>
      </c>
      <c r="BN39" s="330"/>
      <c r="BO39" s="331"/>
      <c r="BP39" s="332">
        <v>42031</v>
      </c>
      <c r="BQ39" s="324">
        <v>42031</v>
      </c>
      <c r="BR39" s="331"/>
      <c r="BS39" s="436">
        <v>42030</v>
      </c>
      <c r="BT39" s="315">
        <v>42030</v>
      </c>
      <c r="BU39" s="437">
        <v>42030</v>
      </c>
      <c r="BV39" s="333"/>
      <c r="BW39" s="499" t="str">
        <f t="shared" si="9"/>
        <v xml:space="preserve">2305 2/18/2015, MDR 1/29/2015, </v>
      </c>
      <c r="BX39" s="499">
        <f t="shared" si="45"/>
        <v>11</v>
      </c>
      <c r="BY39" s="499">
        <f t="shared" si="5"/>
        <v>11</v>
      </c>
      <c r="BZ39" s="500">
        <f t="shared" si="6"/>
        <v>1</v>
      </c>
      <c r="CA39" s="156" t="str">
        <f t="shared" si="41"/>
        <v/>
      </c>
      <c r="CB39" s="155" t="str">
        <f t="shared" si="38"/>
        <v/>
      </c>
      <c r="CC39" s="156" t="str">
        <f t="shared" ca="1" si="33"/>
        <v/>
      </c>
      <c r="CD39" s="156" t="str">
        <f t="shared" ref="CD39:CD70" si="49">IF(CG39="","",CY39)</f>
        <v/>
      </c>
      <c r="CE39" s="156" t="str">
        <f t="shared" ref="CE39:CE70" si="50">IF(CG39="","",CW39)</f>
        <v/>
      </c>
      <c r="CF39" s="495" t="str">
        <f t="shared" si="13"/>
        <v/>
      </c>
      <c r="CG39" s="496" t="str">
        <f t="shared" ref="CG39:CG70" si="51">IF(CB39="","",SUM(CK39:CU39)/((CY39)*11))</f>
        <v/>
      </c>
      <c r="CH39" s="156" t="str">
        <f t="shared" ref="CH39:CH70" si="52">IF(CB39="","",IF(MIN(CK39:CU39)&gt;CY39,"",CONCATENATE(IF(SUM(IF(CK39&lt;CL39,1,0),IF(CK39&lt;CM39,1,0),IF(CK39&lt;CN39,1,0),IF(CK39&lt;CO39,1,0),IF(CK39&lt;CP39,1,0),IF(CK39&lt;CQ39,1,0),IF(CK39&lt;CR39,1,0),IF(CK39&lt;CS39,1,0),IF(CK39&lt;CT39,1,0),IF(CK39&lt;CU39,1,0))&gt;7,"SSS ("&amp;CY39-CK39&amp;") ",""),IF(SUM(IF(CL39&lt;CK39,1,0),IF(CL39&lt;CM39,1,0),IF(CL39&lt;CN39,1,0),IF(CL39&lt;CO39,1,0),IF(CL39&lt;CP39,1,0),IF(CL39&lt;CQ39,1,0),IF(CL39&lt;CR39,1,0),IF(CL39&lt;CS39,1,0),IF(CL39&lt;CT39,1,0),IF(CL39&lt;CU39,1,0))&gt;7,"HDMF ("&amp;CY39-CL39&amp;") ",""),IF(SUM(IF(CM39&lt;CK39,1,0),IF(CM39&lt;CL39,1,0),IF(CM39&lt;CN39,1,0),IF(CM39&lt;CO39,1,0),IF(CM39&lt;CP39,1,0),IF(CM39&lt;CQ39,1,0),IF(CM39&lt;CR39,1,0),IF(CM39&lt;CS39,1,0),IF(CM39&lt;CT39,1,0),IF(CM39&lt;CU39,1,0))&gt;7,"PHIC ("&amp;CY39-CM39&amp;") ",""),IF(SUM(IF(CN39&lt;CK39,1,0),IF(CN39&lt;CL39,1,0),IF(CN39&lt;CM39,1,0),IF(CN39&lt;CO39,1,0),IF(CN39&lt;CP39,1,0),IF(CN39&lt;CQ39,1,0),IF(CN39&lt;CR39,1,0),IF(CN39&lt;CS39,1,0),IF(CN39&lt;CT39,1,0),IF(CN39&lt;CU39,1,0))&gt;7,"NBI ("&amp;CY39-CN39&amp;") ",""),IF(SUM(IF(CO39&lt;CK39,1,0),IF(CO39&lt;CL39,1,0),IF(CO39&lt;CN39,1,0),IF(CO39&lt;CM39,1,0),IF(CO39&lt;CP39,1,0),IF(CO39&lt;CQ39,1,0),IF(CO39&lt;CR39,1,0),IF(CO39&lt;CS39,1,0),IF(CO39&lt;CT39,1,0),IF(CO39&lt;CU39,1,0))&gt;7,"NSO ("&amp;CY39-CO39&amp;") ",""),IF(SUM(IF(CP39&lt;CK39,1,0),IF(CP39&lt;CL39,1,0),IF(CP39&lt;CN39,1,0),IF(CP39&lt;CO39,1,0),IF(CP39&lt;CM39,1,0),IF(CP39&lt;CQ39,1,0),IF(CP39&lt;CR39,1,0),IF(CP39&lt;CS39,1,0),IF(CP39&lt;CT39,1,0),IF(CP39&lt;CU39,1,0))&gt;7,"Info ("&amp;CY39-CP39&amp;") ",""),IF(SUM(IF(CQ39&lt;CK39,1,0),IF(CQ39&lt;CL39,1,0),IF(CQ39&lt;CN39,1,0),IF(CQ39&lt;CO39,1,0),IF(CQ39&lt;CP39,1,0),IF(CQ39&lt;CM39,1,0),IF(CQ39&lt;CR39,1,0),IF(CQ39&lt;CS39,1,0),IF(CQ39&lt;CT39,1,0),IF(CQ39&lt;CU39,1,0))&gt;7,"AWOL ("&amp;CY39-CQ39&amp;") ",""),IF(SUM(IF(CR39&lt;CK39,1,0),IF(CR39&lt;CL39,1,0),IF(CR39&lt;CN39,1,0),IF(CR39&lt;CO39,1,0),IF(CR39&lt;CP39,1,0),IF(CR39&lt;CQ39,1,0),IF(CR39&lt;CM39,1,0),IF(CR39&lt;CS39,1,0),IF(CR39&lt;CT39,1,0),IF(CR39&lt;CU39,1,0))&gt;7,"Hand ("&amp;CY39-CR39&amp;") ",""),IF(SUM(IF(CS39&lt;CK39,1,0),IF(CS39&lt;CL39,1,0),IF(CS39&lt;CN39,1,0),IF(CS39&lt;CO39,1,0),IF(CS39&lt;CP39,1,0),IF(CS39&lt;CQ39,1,0),IF(CS39&lt;CR39,1,0),IF(CS39&lt;CM39,1,0),IF(CS39&lt;CT39,1,0),IF(CS39&lt;CU39,1,0))&gt;7,"Waiver ("&amp;CY39-CS39&amp;") ",""),IF(SUM(IF(CT39&lt;CK39,1,0),IF(CT39&lt;CL39,1,0),IF(CT39&lt;CN39,1,0),IF(CT39&lt;CO39,1,0),IF(CT39&lt;CP39,1,0),IF(CT39&lt;CQ39,1,0),IF(CT39&lt;CR39,1,0),IF(CT39&lt;CS39,1,0),IF(CT39&lt;CM39,1,0),IF(CT39&lt;CU39,1,0))&gt;7,"TIN ("&amp;CY39-CT39&amp;") ",""),IF(SUM(IF(CU39&lt;CK39,1,0),IF(CU39&lt;CL39,1,0),IF(CU39&lt;CN39,1,0),IF(CU39&lt;CO39,1,0),IF(CU39&lt;CP39,1,0),IF(CU39&lt;CQ39,1,0),IF(CU39&lt;CR39,1,0),IF(CU39&lt;CS39,1,0),IF(CU39&lt;CT39,1,0),IF(CU39&lt;CM39,1,0))&gt;7,"1905 ("&amp;CY39-CU39&amp;") ",""))))</f>
        <v/>
      </c>
      <c r="CI39" s="155" t="str">
        <f t="shared" si="34"/>
        <v/>
      </c>
      <c r="CJ39" s="155" t="str">
        <f t="shared" si="16"/>
        <v/>
      </c>
      <c r="CK39" s="156">
        <f t="shared" si="17"/>
        <v>5</v>
      </c>
      <c r="CL39" s="156">
        <f t="shared" si="18"/>
        <v>5</v>
      </c>
      <c r="CM39" s="156">
        <f t="shared" si="19"/>
        <v>5</v>
      </c>
      <c r="CN39" s="156">
        <f t="shared" si="20"/>
        <v>5</v>
      </c>
      <c r="CO39" s="156">
        <f t="shared" si="21"/>
        <v>5</v>
      </c>
      <c r="CP39" s="156">
        <f t="shared" si="22"/>
        <v>5</v>
      </c>
      <c r="CQ39" s="156">
        <f t="shared" si="23"/>
        <v>5</v>
      </c>
      <c r="CR39" s="156">
        <f t="shared" si="24"/>
        <v>5</v>
      </c>
      <c r="CS39" s="156">
        <f t="shared" si="25"/>
        <v>5</v>
      </c>
      <c r="CT39" s="156">
        <f t="shared" ref="CT39:CT70" si="53">IF(CB38="",CT38+IF(IF(O39="n",0,COUNT(AW39))=1,1,0),IF(IF(O39="n",0,COUNT(AW39))=1,1,0))</f>
        <v>5</v>
      </c>
      <c r="CU39" s="156">
        <f t="shared" ref="CU39:CU70" si="54">IF(CB38="",CU38+IF(IF(O39="n",0,COUNT(AZ39))=1,1,0),IF(IF(O39="n",0,COUNT(AZ39))=1,1,0))</f>
        <v>5</v>
      </c>
      <c r="CV39" s="156">
        <f t="shared" ref="CV39:CV70" si="55">IF(CB38="",CV38+IF(IF(O39="n",0,COUNT(BA39))=1,1,0),IF(IF(O39="n",0,COUNT(BA39))=1,1,0))</f>
        <v>5</v>
      </c>
      <c r="CW39" s="156">
        <f t="shared" si="29"/>
        <v>5</v>
      </c>
      <c r="CX39" s="156">
        <f t="shared" si="30"/>
        <v>2</v>
      </c>
      <c r="CY39" s="156">
        <f t="shared" si="31"/>
        <v>5</v>
      </c>
      <c r="CZ39" s="321">
        <f t="shared" si="35"/>
        <v>32</v>
      </c>
      <c r="DA39" s="321">
        <f t="shared" si="36"/>
        <v>0</v>
      </c>
      <c r="DB39" s="321">
        <f t="shared" si="37"/>
        <v>1</v>
      </c>
    </row>
    <row r="40" spans="1:106" s="8" customFormat="1" x14ac:dyDescent="0.25">
      <c r="A40" s="130">
        <v>181</v>
      </c>
      <c r="B40" s="12">
        <v>42030</v>
      </c>
      <c r="C40" s="11">
        <v>1082256</v>
      </c>
      <c r="D40" s="11" t="s">
        <v>167</v>
      </c>
      <c r="E40" s="11" t="str">
        <f t="shared" si="39"/>
        <v/>
      </c>
      <c r="F40" s="11" t="str">
        <f t="shared" si="40"/>
        <v/>
      </c>
      <c r="G40" s="113" t="s">
        <v>472</v>
      </c>
      <c r="H40" s="113"/>
      <c r="I40" s="113"/>
      <c r="J40" s="113"/>
      <c r="K40" s="152" t="str">
        <f t="shared" ca="1" si="48"/>
        <v/>
      </c>
      <c r="L40" s="113"/>
      <c r="N40" s="156" t="str">
        <f t="shared" si="2"/>
        <v/>
      </c>
      <c r="O40" s="8" t="s">
        <v>298</v>
      </c>
      <c r="P40" s="113" t="s">
        <v>689</v>
      </c>
      <c r="Q40" s="11" t="s">
        <v>168</v>
      </c>
      <c r="R40" s="14">
        <v>9066351853</v>
      </c>
      <c r="S40" s="156">
        <f t="shared" si="8"/>
        <v>9066351853</v>
      </c>
      <c r="T40" s="156" t="str">
        <f t="shared" si="3"/>
        <v/>
      </c>
      <c r="U40" s="8" t="s">
        <v>437</v>
      </c>
      <c r="V40" s="8" t="s">
        <v>317</v>
      </c>
      <c r="W40" s="8" t="s">
        <v>315</v>
      </c>
      <c r="X40" s="8" t="s">
        <v>316</v>
      </c>
      <c r="Y40" s="11" t="s">
        <v>142</v>
      </c>
      <c r="Z40" s="157" t="s">
        <v>74</v>
      </c>
      <c r="AA40" s="157" t="str">
        <f t="shared" si="46"/>
        <v>Php 17,000</v>
      </c>
      <c r="AB40" s="157"/>
      <c r="AC40" s="157" t="str">
        <f t="shared" si="47"/>
        <v>Php 1,000</v>
      </c>
      <c r="AD40" s="157" t="str">
        <f t="shared" si="42"/>
        <v>Php 4,000</v>
      </c>
      <c r="AE40" s="121" t="str">
        <f t="shared" si="43"/>
        <v/>
      </c>
      <c r="AF40" s="113" t="str">
        <f t="shared" si="44"/>
        <v/>
      </c>
      <c r="AG40" s="113"/>
      <c r="AH40" s="157" t="s">
        <v>52</v>
      </c>
      <c r="AI40" s="11" t="s">
        <v>253</v>
      </c>
      <c r="AJ40" s="527"/>
      <c r="AK40" s="11"/>
      <c r="AL40" s="11" t="s">
        <v>259</v>
      </c>
      <c r="AM40" s="11" t="s">
        <v>248</v>
      </c>
      <c r="AN40" s="12">
        <v>31186</v>
      </c>
      <c r="AO40" s="18" t="s">
        <v>991</v>
      </c>
      <c r="AP40" s="18"/>
      <c r="AQ40" s="11" t="s">
        <v>50</v>
      </c>
      <c r="AR40" s="11"/>
      <c r="AS40" s="160"/>
      <c r="AT40" s="125"/>
      <c r="AU40" s="125"/>
      <c r="AV40" s="192">
        <v>42038</v>
      </c>
      <c r="AW40" s="190"/>
      <c r="AX40" s="11" t="s">
        <v>49</v>
      </c>
      <c r="AY40" s="113"/>
      <c r="AZ40" s="113"/>
      <c r="BA40" s="129">
        <v>42032</v>
      </c>
      <c r="BB40" s="182"/>
      <c r="BC40" s="160"/>
      <c r="BD40" s="184" t="s">
        <v>49</v>
      </c>
      <c r="BE40" s="160"/>
      <c r="BF40" s="184" t="s">
        <v>49</v>
      </c>
      <c r="BG40" s="160"/>
      <c r="BH40" s="11" t="s">
        <v>49</v>
      </c>
      <c r="BI40" s="182"/>
      <c r="BJ40" s="160"/>
      <c r="BK40" s="125"/>
      <c r="BL40" s="173"/>
      <c r="BM40" s="160"/>
      <c r="BN40" s="125"/>
      <c r="BO40" s="173"/>
      <c r="BP40" s="165"/>
      <c r="BQ40" s="125"/>
      <c r="BR40" s="173"/>
      <c r="BS40" s="438">
        <v>42030</v>
      </c>
      <c r="BT40" s="12">
        <v>42030</v>
      </c>
      <c r="BU40" s="439">
        <v>42030</v>
      </c>
      <c r="BV40" s="254"/>
      <c r="BW40" s="499" t="str">
        <f t="shared" si="9"/>
        <v xml:space="preserve">2305 (for processing) 1/28/2015, </v>
      </c>
      <c r="BX40" s="499" t="str">
        <f t="shared" si="45"/>
        <v/>
      </c>
      <c r="BY40" s="499" t="str">
        <f t="shared" si="5"/>
        <v/>
      </c>
      <c r="BZ40" s="500" t="str">
        <f t="shared" si="6"/>
        <v/>
      </c>
      <c r="CA40" s="156" t="str">
        <f t="shared" si="41"/>
        <v/>
      </c>
      <c r="CB40" s="155" t="str">
        <f t="shared" si="38"/>
        <v/>
      </c>
      <c r="CC40" s="156" t="str">
        <f t="shared" ca="1" si="33"/>
        <v/>
      </c>
      <c r="CD40" s="156" t="str">
        <f t="shared" si="49"/>
        <v/>
      </c>
      <c r="CE40" s="156" t="str">
        <f t="shared" si="50"/>
        <v/>
      </c>
      <c r="CF40" s="495" t="str">
        <f t="shared" si="13"/>
        <v/>
      </c>
      <c r="CG40" s="496" t="str">
        <f t="shared" si="51"/>
        <v/>
      </c>
      <c r="CH40" s="156" t="str">
        <f t="shared" si="52"/>
        <v/>
      </c>
      <c r="CI40" s="155" t="str">
        <f t="shared" si="34"/>
        <v/>
      </c>
      <c r="CJ40" s="155" t="str">
        <f t="shared" si="16"/>
        <v/>
      </c>
      <c r="CK40" s="156">
        <f t="shared" si="17"/>
        <v>5</v>
      </c>
      <c r="CL40" s="156">
        <f t="shared" si="18"/>
        <v>5</v>
      </c>
      <c r="CM40" s="156">
        <f t="shared" si="19"/>
        <v>5</v>
      </c>
      <c r="CN40" s="156">
        <f t="shared" si="20"/>
        <v>5</v>
      </c>
      <c r="CO40" s="156">
        <f t="shared" si="21"/>
        <v>5</v>
      </c>
      <c r="CP40" s="156">
        <f t="shared" si="22"/>
        <v>5</v>
      </c>
      <c r="CQ40" s="156">
        <f t="shared" si="23"/>
        <v>5</v>
      </c>
      <c r="CR40" s="156">
        <f t="shared" si="24"/>
        <v>5</v>
      </c>
      <c r="CS40" s="156">
        <f t="shared" si="25"/>
        <v>5</v>
      </c>
      <c r="CT40" s="156">
        <f t="shared" si="53"/>
        <v>5</v>
      </c>
      <c r="CU40" s="156">
        <f t="shared" si="54"/>
        <v>5</v>
      </c>
      <c r="CV40" s="156">
        <f t="shared" si="55"/>
        <v>5</v>
      </c>
      <c r="CW40" s="156">
        <f t="shared" si="29"/>
        <v>5</v>
      </c>
      <c r="CX40" s="156">
        <f t="shared" si="30"/>
        <v>3</v>
      </c>
      <c r="CY40" s="156">
        <f t="shared" si="31"/>
        <v>5</v>
      </c>
      <c r="CZ40" s="8" t="str">
        <f t="shared" si="35"/>
        <v/>
      </c>
      <c r="DA40" s="8">
        <f t="shared" si="36"/>
        <v>0</v>
      </c>
      <c r="DB40" s="8">
        <f t="shared" si="37"/>
        <v>0</v>
      </c>
    </row>
    <row r="41" spans="1:106" s="8" customFormat="1" x14ac:dyDescent="0.25">
      <c r="A41" s="130">
        <v>181</v>
      </c>
      <c r="B41" s="12">
        <v>42030</v>
      </c>
      <c r="C41" s="11">
        <v>1082257</v>
      </c>
      <c r="D41" s="11" t="s">
        <v>169</v>
      </c>
      <c r="E41" s="11" t="str">
        <f t="shared" si="39"/>
        <v/>
      </c>
      <c r="F41" s="11" t="str">
        <f t="shared" si="40"/>
        <v/>
      </c>
      <c r="G41" s="113" t="s">
        <v>472</v>
      </c>
      <c r="H41" s="113"/>
      <c r="I41" s="113"/>
      <c r="J41" s="113"/>
      <c r="K41" s="152" t="str">
        <f t="shared" ca="1" si="48"/>
        <v/>
      </c>
      <c r="L41" s="113"/>
      <c r="N41" s="156" t="str">
        <f t="shared" si="2"/>
        <v/>
      </c>
      <c r="O41" s="8" t="s">
        <v>298</v>
      </c>
      <c r="P41" s="113" t="s">
        <v>689</v>
      </c>
      <c r="Q41" s="11" t="s">
        <v>170</v>
      </c>
      <c r="R41" s="14">
        <v>9056008178</v>
      </c>
      <c r="S41" s="156">
        <f t="shared" si="8"/>
        <v>9056008178</v>
      </c>
      <c r="T41" s="156" t="str">
        <f t="shared" si="3"/>
        <v/>
      </c>
      <c r="U41" s="8" t="s">
        <v>438</v>
      </c>
      <c r="V41" s="8" t="s">
        <v>320</v>
      </c>
      <c r="W41" s="8" t="s">
        <v>318</v>
      </c>
      <c r="X41" s="8" t="s">
        <v>319</v>
      </c>
      <c r="Y41" s="11" t="s">
        <v>142</v>
      </c>
      <c r="Z41" s="157" t="s">
        <v>70</v>
      </c>
      <c r="AA41" s="157" t="str">
        <f t="shared" si="46"/>
        <v>Php 16,000</v>
      </c>
      <c r="AB41" s="157"/>
      <c r="AC41" s="157" t="str">
        <f t="shared" si="47"/>
        <v>Php 1,000</v>
      </c>
      <c r="AD41" s="157" t="str">
        <f t="shared" si="42"/>
        <v>Php 3,000</v>
      </c>
      <c r="AE41" s="121" t="str">
        <f t="shared" si="43"/>
        <v/>
      </c>
      <c r="AF41" s="113" t="str">
        <f t="shared" si="44"/>
        <v/>
      </c>
      <c r="AG41" s="113"/>
      <c r="AH41" s="157" t="s">
        <v>52</v>
      </c>
      <c r="AI41" s="11" t="s">
        <v>264</v>
      </c>
      <c r="AJ41" s="527"/>
      <c r="AK41" s="11"/>
      <c r="AL41" s="11" t="s">
        <v>265</v>
      </c>
      <c r="AM41" s="11" t="s">
        <v>248</v>
      </c>
      <c r="AN41" s="12">
        <v>32586</v>
      </c>
      <c r="AO41" s="18" t="s">
        <v>992</v>
      </c>
      <c r="AP41" s="18"/>
      <c r="AQ41" s="11" t="s">
        <v>53</v>
      </c>
      <c r="AR41" s="11"/>
      <c r="AS41" s="163">
        <v>42031</v>
      </c>
      <c r="AT41" s="19">
        <v>42031</v>
      </c>
      <c r="AU41" s="19">
        <v>42031</v>
      </c>
      <c r="AV41" s="192">
        <v>42038</v>
      </c>
      <c r="AW41" s="438">
        <v>42031</v>
      </c>
      <c r="AX41" s="11" t="s">
        <v>172</v>
      </c>
      <c r="AY41" s="113"/>
      <c r="AZ41" s="113"/>
      <c r="BA41" s="129">
        <v>42032</v>
      </c>
      <c r="BB41" s="182"/>
      <c r="BC41" s="163">
        <v>42031</v>
      </c>
      <c r="BD41" s="184" t="s">
        <v>171</v>
      </c>
      <c r="BE41" s="163">
        <v>42031</v>
      </c>
      <c r="BF41" s="184" t="s">
        <v>174</v>
      </c>
      <c r="BG41" s="163">
        <v>42031</v>
      </c>
      <c r="BH41" s="11" t="s">
        <v>173</v>
      </c>
      <c r="BI41" s="182"/>
      <c r="BJ41" s="160"/>
      <c r="BK41" s="125"/>
      <c r="BL41" s="173"/>
      <c r="BM41" s="163">
        <v>42031</v>
      </c>
      <c r="BN41" s="125"/>
      <c r="BO41" s="173"/>
      <c r="BP41" s="187">
        <v>42031</v>
      </c>
      <c r="BQ41" s="19">
        <v>42031</v>
      </c>
      <c r="BR41" s="176">
        <v>42031</v>
      </c>
      <c r="BS41" s="438">
        <v>42030</v>
      </c>
      <c r="BT41" s="12">
        <v>42030</v>
      </c>
      <c r="BU41" s="439">
        <v>42030</v>
      </c>
      <c r="BV41" s="254"/>
      <c r="BW41" s="499" t="str">
        <f t="shared" si="9"/>
        <v xml:space="preserve">2305 (for processing) 1/28/2015, </v>
      </c>
      <c r="BX41" s="499" t="str">
        <f t="shared" si="45"/>
        <v/>
      </c>
      <c r="BY41" s="499" t="str">
        <f t="shared" si="5"/>
        <v/>
      </c>
      <c r="BZ41" s="500" t="str">
        <f t="shared" si="6"/>
        <v/>
      </c>
      <c r="CA41" s="156" t="str">
        <f t="shared" si="41"/>
        <v/>
      </c>
      <c r="CB41" s="155" t="str">
        <f t="shared" si="38"/>
        <v/>
      </c>
      <c r="CC41" s="156" t="str">
        <f t="shared" ca="1" si="33"/>
        <v/>
      </c>
      <c r="CD41" s="156" t="str">
        <f t="shared" si="49"/>
        <v/>
      </c>
      <c r="CE41" s="156" t="str">
        <f t="shared" si="50"/>
        <v/>
      </c>
      <c r="CF41" s="495" t="str">
        <f t="shared" si="13"/>
        <v/>
      </c>
      <c r="CG41" s="496" t="str">
        <f t="shared" si="51"/>
        <v/>
      </c>
      <c r="CH41" s="156" t="str">
        <f t="shared" si="52"/>
        <v/>
      </c>
      <c r="CI41" s="155" t="str">
        <f t="shared" si="34"/>
        <v/>
      </c>
      <c r="CJ41" s="155" t="str">
        <f t="shared" si="16"/>
        <v/>
      </c>
      <c r="CK41" s="156">
        <f t="shared" si="17"/>
        <v>5</v>
      </c>
      <c r="CL41" s="156">
        <f t="shared" si="18"/>
        <v>5</v>
      </c>
      <c r="CM41" s="156">
        <f t="shared" si="19"/>
        <v>5</v>
      </c>
      <c r="CN41" s="156">
        <f t="shared" si="20"/>
        <v>5</v>
      </c>
      <c r="CO41" s="156">
        <f t="shared" si="21"/>
        <v>5</v>
      </c>
      <c r="CP41" s="156">
        <f t="shared" si="22"/>
        <v>5</v>
      </c>
      <c r="CQ41" s="156">
        <f t="shared" si="23"/>
        <v>5</v>
      </c>
      <c r="CR41" s="156">
        <f t="shared" si="24"/>
        <v>5</v>
      </c>
      <c r="CS41" s="156">
        <f t="shared" si="25"/>
        <v>5</v>
      </c>
      <c r="CT41" s="156">
        <f t="shared" si="53"/>
        <v>5</v>
      </c>
      <c r="CU41" s="156">
        <f t="shared" si="54"/>
        <v>5</v>
      </c>
      <c r="CV41" s="156">
        <f t="shared" si="55"/>
        <v>5</v>
      </c>
      <c r="CW41" s="156">
        <f t="shared" si="29"/>
        <v>5</v>
      </c>
      <c r="CX41" s="156">
        <f t="shared" si="30"/>
        <v>4</v>
      </c>
      <c r="CY41" s="156">
        <f t="shared" si="31"/>
        <v>5</v>
      </c>
      <c r="CZ41" s="8" t="str">
        <f t="shared" si="35"/>
        <v/>
      </c>
      <c r="DA41" s="8">
        <f t="shared" si="36"/>
        <v>0</v>
      </c>
      <c r="DB41" s="8">
        <f t="shared" si="37"/>
        <v>0</v>
      </c>
    </row>
    <row r="42" spans="1:106" s="321" customFormat="1" x14ac:dyDescent="0.25">
      <c r="A42" s="314">
        <v>181</v>
      </c>
      <c r="B42" s="315">
        <v>42030</v>
      </c>
      <c r="C42" s="316">
        <v>1082258</v>
      </c>
      <c r="D42" s="316" t="s">
        <v>175</v>
      </c>
      <c r="E42" s="316" t="str">
        <f t="shared" si="39"/>
        <v/>
      </c>
      <c r="F42" s="316" t="str">
        <f t="shared" si="40"/>
        <v xml:space="preserve">TOR, </v>
      </c>
      <c r="G42" s="317" t="s">
        <v>472</v>
      </c>
      <c r="H42" s="317"/>
      <c r="I42" s="317"/>
      <c r="J42" s="317"/>
      <c r="K42" s="152" t="str">
        <f t="shared" ca="1" si="48"/>
        <v/>
      </c>
      <c r="L42" s="317"/>
      <c r="M42" s="334">
        <v>42038</v>
      </c>
      <c r="N42" s="156" t="str">
        <f t="shared" si="2"/>
        <v/>
      </c>
      <c r="O42" s="321" t="s">
        <v>302</v>
      </c>
      <c r="Q42" s="316" t="s">
        <v>176</v>
      </c>
      <c r="R42" s="319">
        <v>9069101612</v>
      </c>
      <c r="S42" s="156">
        <f t="shared" si="8"/>
        <v>9069101612</v>
      </c>
      <c r="T42" s="156" t="str">
        <f t="shared" si="3"/>
        <v/>
      </c>
      <c r="U42" s="321" t="s">
        <v>439</v>
      </c>
      <c r="V42" s="321" t="s">
        <v>323</v>
      </c>
      <c r="W42" s="321" t="s">
        <v>321</v>
      </c>
      <c r="X42" s="321" t="s">
        <v>322</v>
      </c>
      <c r="Y42" s="316" t="s">
        <v>142</v>
      </c>
      <c r="Z42" s="320" t="s">
        <v>74</v>
      </c>
      <c r="AA42" s="320" t="str">
        <f t="shared" si="46"/>
        <v>Php 17,000</v>
      </c>
      <c r="AB42" s="320"/>
      <c r="AC42" s="320" t="str">
        <f t="shared" si="47"/>
        <v>Php 1,000</v>
      </c>
      <c r="AD42" s="320" t="str">
        <f t="shared" si="42"/>
        <v>Php 4,000</v>
      </c>
      <c r="AE42" s="377" t="str">
        <f t="shared" si="43"/>
        <v/>
      </c>
      <c r="AF42" s="317" t="str">
        <f t="shared" si="44"/>
        <v/>
      </c>
      <c r="AG42" s="317"/>
      <c r="AH42" s="320" t="s">
        <v>52</v>
      </c>
      <c r="AI42" s="316" t="s">
        <v>253</v>
      </c>
      <c r="AJ42" s="527"/>
      <c r="AK42" s="316"/>
      <c r="AL42" s="316" t="s">
        <v>259</v>
      </c>
      <c r="AM42" s="316" t="s">
        <v>248</v>
      </c>
      <c r="AN42" s="315">
        <v>34328</v>
      </c>
      <c r="AO42" s="322" t="s">
        <v>177</v>
      </c>
      <c r="AP42" s="322"/>
      <c r="AQ42" s="316" t="s">
        <v>53</v>
      </c>
      <c r="AR42" s="316"/>
      <c r="AS42" s="323">
        <v>42031</v>
      </c>
      <c r="AT42" s="324">
        <v>42031</v>
      </c>
      <c r="AU42" s="324">
        <v>42031</v>
      </c>
      <c r="AV42" s="339">
        <v>42038</v>
      </c>
      <c r="AW42" s="436">
        <v>42033</v>
      </c>
      <c r="AX42" s="316" t="s">
        <v>179</v>
      </c>
      <c r="AY42" s="317"/>
      <c r="AZ42" s="318">
        <v>42033</v>
      </c>
      <c r="BA42" s="318">
        <v>42038</v>
      </c>
      <c r="BB42" s="326"/>
      <c r="BC42" s="323">
        <v>42031</v>
      </c>
      <c r="BD42" s="327" t="s">
        <v>178</v>
      </c>
      <c r="BE42" s="323">
        <v>42033</v>
      </c>
      <c r="BF42" s="327" t="s">
        <v>181</v>
      </c>
      <c r="BG42" s="323">
        <v>42034</v>
      </c>
      <c r="BH42" s="316" t="s">
        <v>180</v>
      </c>
      <c r="BI42" s="329">
        <v>42034</v>
      </c>
      <c r="BJ42" s="328">
        <v>42060</v>
      </c>
      <c r="BK42" s="330"/>
      <c r="BL42" s="331"/>
      <c r="BM42" s="323">
        <v>42031</v>
      </c>
      <c r="BN42" s="330"/>
      <c r="BO42" s="331"/>
      <c r="BP42" s="332">
        <v>42031</v>
      </c>
      <c r="BQ42" s="330"/>
      <c r="BR42" s="325">
        <v>42031</v>
      </c>
      <c r="BS42" s="436">
        <v>42030</v>
      </c>
      <c r="BT42" s="315">
        <v>42030</v>
      </c>
      <c r="BU42" s="437">
        <v>42030</v>
      </c>
      <c r="BV42" s="333"/>
      <c r="BW42" s="499" t="str">
        <f t="shared" si="9"/>
        <v xml:space="preserve">1905 1/29/2015, 2305 2/3/2015, MDR 1/30/2015, </v>
      </c>
      <c r="BX42" s="499">
        <f t="shared" si="45"/>
        <v>11</v>
      </c>
      <c r="BY42" s="499">
        <f t="shared" si="5"/>
        <v>11</v>
      </c>
      <c r="BZ42" s="500">
        <f t="shared" si="6"/>
        <v>1</v>
      </c>
      <c r="CA42" s="156" t="str">
        <f t="shared" si="41"/>
        <v/>
      </c>
      <c r="CB42" s="155" t="str">
        <f t="shared" si="38"/>
        <v/>
      </c>
      <c r="CC42" s="156" t="str">
        <f t="shared" ca="1" si="33"/>
        <v/>
      </c>
      <c r="CD42" s="156" t="str">
        <f t="shared" si="49"/>
        <v/>
      </c>
      <c r="CE42" s="156" t="str">
        <f t="shared" si="50"/>
        <v/>
      </c>
      <c r="CF42" s="495" t="str">
        <f t="shared" si="13"/>
        <v/>
      </c>
      <c r="CG42" s="496" t="str">
        <f t="shared" si="51"/>
        <v/>
      </c>
      <c r="CH42" s="156" t="str">
        <f t="shared" si="52"/>
        <v/>
      </c>
      <c r="CI42" s="155" t="str">
        <f t="shared" si="34"/>
        <v/>
      </c>
      <c r="CJ42" s="155" t="str">
        <f t="shared" si="16"/>
        <v/>
      </c>
      <c r="CK42" s="156">
        <f t="shared" si="17"/>
        <v>6</v>
      </c>
      <c r="CL42" s="156">
        <f t="shared" si="18"/>
        <v>6</v>
      </c>
      <c r="CM42" s="156">
        <f t="shared" si="19"/>
        <v>6</v>
      </c>
      <c r="CN42" s="156">
        <f t="shared" si="20"/>
        <v>6</v>
      </c>
      <c r="CO42" s="156">
        <f t="shared" si="21"/>
        <v>6</v>
      </c>
      <c r="CP42" s="156">
        <f t="shared" si="22"/>
        <v>6</v>
      </c>
      <c r="CQ42" s="156">
        <f t="shared" si="23"/>
        <v>6</v>
      </c>
      <c r="CR42" s="156">
        <f t="shared" si="24"/>
        <v>6</v>
      </c>
      <c r="CS42" s="156">
        <f t="shared" si="25"/>
        <v>6</v>
      </c>
      <c r="CT42" s="156">
        <f t="shared" si="53"/>
        <v>6</v>
      </c>
      <c r="CU42" s="156">
        <f t="shared" si="54"/>
        <v>6</v>
      </c>
      <c r="CV42" s="156">
        <f t="shared" si="55"/>
        <v>6</v>
      </c>
      <c r="CW42" s="156">
        <f t="shared" si="29"/>
        <v>6</v>
      </c>
      <c r="CX42" s="156">
        <f t="shared" si="30"/>
        <v>4</v>
      </c>
      <c r="CY42" s="156">
        <f t="shared" si="31"/>
        <v>6</v>
      </c>
      <c r="CZ42" s="321">
        <f t="shared" si="35"/>
        <v>8</v>
      </c>
      <c r="DA42" s="321">
        <f t="shared" si="36"/>
        <v>1</v>
      </c>
      <c r="DB42" s="321">
        <f t="shared" si="37"/>
        <v>1</v>
      </c>
    </row>
    <row r="43" spans="1:106" s="321" customFormat="1" x14ac:dyDescent="0.25">
      <c r="A43" s="314">
        <v>181</v>
      </c>
      <c r="B43" s="315">
        <v>42030</v>
      </c>
      <c r="C43" s="316">
        <v>1082259</v>
      </c>
      <c r="D43" s="316" t="s">
        <v>182</v>
      </c>
      <c r="E43" s="316" t="str">
        <f t="shared" si="39"/>
        <v/>
      </c>
      <c r="F43" s="316" t="str">
        <f t="shared" si="40"/>
        <v xml:space="preserve">COE, </v>
      </c>
      <c r="G43" s="317" t="s">
        <v>472</v>
      </c>
      <c r="H43" s="317"/>
      <c r="I43" s="317"/>
      <c r="J43" s="317"/>
      <c r="K43" s="152" t="str">
        <f t="shared" ca="1" si="48"/>
        <v/>
      </c>
      <c r="L43" s="317"/>
      <c r="M43" s="334">
        <v>42038</v>
      </c>
      <c r="N43" s="156" t="str">
        <f t="shared" si="2"/>
        <v/>
      </c>
      <c r="O43" s="321" t="s">
        <v>302</v>
      </c>
      <c r="Q43" s="316" t="s">
        <v>183</v>
      </c>
      <c r="R43" s="319">
        <v>9064716835</v>
      </c>
      <c r="S43" s="156">
        <f t="shared" si="8"/>
        <v>9064716835</v>
      </c>
      <c r="T43" s="156" t="str">
        <f t="shared" si="3"/>
        <v/>
      </c>
      <c r="U43" s="321" t="s">
        <v>440</v>
      </c>
      <c r="V43" s="321" t="s">
        <v>275</v>
      </c>
      <c r="W43" s="321" t="s">
        <v>324</v>
      </c>
      <c r="X43" s="321" t="s">
        <v>325</v>
      </c>
      <c r="Y43" s="316" t="s">
        <v>142</v>
      </c>
      <c r="Z43" s="320" t="s">
        <v>74</v>
      </c>
      <c r="AA43" s="320" t="str">
        <f t="shared" si="46"/>
        <v>Php 17,000</v>
      </c>
      <c r="AB43" s="320"/>
      <c r="AC43" s="320" t="str">
        <f t="shared" si="47"/>
        <v>Php 1,000</v>
      </c>
      <c r="AD43" s="320" t="str">
        <f t="shared" si="42"/>
        <v>Php 4,000</v>
      </c>
      <c r="AE43" s="377" t="str">
        <f t="shared" si="43"/>
        <v/>
      </c>
      <c r="AF43" s="317" t="str">
        <f t="shared" si="44"/>
        <v/>
      </c>
      <c r="AG43" s="317"/>
      <c r="AH43" s="320" t="s">
        <v>52</v>
      </c>
      <c r="AI43" s="316" t="s">
        <v>253</v>
      </c>
      <c r="AJ43" s="527"/>
      <c r="AK43" s="316"/>
      <c r="AL43" s="316" t="s">
        <v>326</v>
      </c>
      <c r="AM43" s="316" t="s">
        <v>248</v>
      </c>
      <c r="AN43" s="315">
        <v>33281</v>
      </c>
      <c r="AO43" s="322" t="s">
        <v>993</v>
      </c>
      <c r="AP43" s="322" t="s">
        <v>994</v>
      </c>
      <c r="AQ43" s="316" t="s">
        <v>53</v>
      </c>
      <c r="AR43" s="316" t="s">
        <v>378</v>
      </c>
      <c r="AS43" s="323">
        <v>42031</v>
      </c>
      <c r="AT43" s="324">
        <v>42031</v>
      </c>
      <c r="AU43" s="324">
        <v>42031</v>
      </c>
      <c r="AV43" s="339">
        <v>42038</v>
      </c>
      <c r="AW43" s="328">
        <v>42046</v>
      </c>
      <c r="AX43" s="316" t="s">
        <v>152</v>
      </c>
      <c r="AY43" s="317"/>
      <c r="AZ43" s="317">
        <v>1</v>
      </c>
      <c r="BA43" s="318">
        <v>42038</v>
      </c>
      <c r="BB43" s="326"/>
      <c r="BC43" s="323">
        <v>42031</v>
      </c>
      <c r="BD43" s="327" t="s">
        <v>184</v>
      </c>
      <c r="BE43" s="328">
        <v>42059</v>
      </c>
      <c r="BF43" s="327" t="s">
        <v>1063</v>
      </c>
      <c r="BG43" s="328">
        <v>42059</v>
      </c>
      <c r="BH43" s="316" t="s">
        <v>1064</v>
      </c>
      <c r="BI43" s="329">
        <v>42059</v>
      </c>
      <c r="BJ43" s="328">
        <v>42059</v>
      </c>
      <c r="BK43" s="330"/>
      <c r="BL43" s="331"/>
      <c r="BM43" s="323">
        <v>42031</v>
      </c>
      <c r="BN43" s="330"/>
      <c r="BO43" s="331"/>
      <c r="BP43" s="332">
        <v>42031</v>
      </c>
      <c r="BQ43" s="324">
        <v>42031</v>
      </c>
      <c r="BR43" s="331"/>
      <c r="BS43" s="436">
        <v>42030</v>
      </c>
      <c r="BT43" s="315">
        <v>42030</v>
      </c>
      <c r="BU43" s="437">
        <v>42030</v>
      </c>
      <c r="BV43" s="333"/>
      <c r="BW43" s="499" t="str">
        <f t="shared" si="9"/>
        <v xml:space="preserve">2305 2/3/2015, MDR 2/24/2015, </v>
      </c>
      <c r="BX43" s="499">
        <f t="shared" si="45"/>
        <v>11</v>
      </c>
      <c r="BY43" s="499">
        <f t="shared" si="5"/>
        <v>11</v>
      </c>
      <c r="BZ43" s="500">
        <f t="shared" si="6"/>
        <v>1</v>
      </c>
      <c r="CA43" s="156" t="str">
        <f t="shared" si="41"/>
        <v/>
      </c>
      <c r="CB43" s="155" t="str">
        <f t="shared" si="38"/>
        <v/>
      </c>
      <c r="CC43" s="156" t="str">
        <f t="shared" ca="1" si="33"/>
        <v/>
      </c>
      <c r="CD43" s="156" t="str">
        <f t="shared" si="49"/>
        <v/>
      </c>
      <c r="CE43" s="156" t="str">
        <f t="shared" si="50"/>
        <v/>
      </c>
      <c r="CF43" s="495" t="str">
        <f t="shared" si="13"/>
        <v/>
      </c>
      <c r="CG43" s="496" t="str">
        <f t="shared" si="51"/>
        <v/>
      </c>
      <c r="CH43" s="156" t="str">
        <f t="shared" si="52"/>
        <v/>
      </c>
      <c r="CI43" s="155" t="str">
        <f t="shared" si="34"/>
        <v/>
      </c>
      <c r="CJ43" s="155" t="str">
        <f t="shared" si="16"/>
        <v/>
      </c>
      <c r="CK43" s="156">
        <f t="shared" si="17"/>
        <v>7</v>
      </c>
      <c r="CL43" s="156">
        <f t="shared" si="18"/>
        <v>7</v>
      </c>
      <c r="CM43" s="156">
        <f t="shared" si="19"/>
        <v>7</v>
      </c>
      <c r="CN43" s="156">
        <f t="shared" si="20"/>
        <v>7</v>
      </c>
      <c r="CO43" s="156">
        <f t="shared" si="21"/>
        <v>7</v>
      </c>
      <c r="CP43" s="156">
        <f t="shared" si="22"/>
        <v>7</v>
      </c>
      <c r="CQ43" s="156">
        <f t="shared" si="23"/>
        <v>7</v>
      </c>
      <c r="CR43" s="156">
        <f t="shared" si="24"/>
        <v>7</v>
      </c>
      <c r="CS43" s="156">
        <f t="shared" si="25"/>
        <v>7</v>
      </c>
      <c r="CT43" s="156">
        <f t="shared" si="53"/>
        <v>7</v>
      </c>
      <c r="CU43" s="156">
        <f t="shared" si="54"/>
        <v>7</v>
      </c>
      <c r="CV43" s="156">
        <f t="shared" si="55"/>
        <v>7</v>
      </c>
      <c r="CW43" s="156">
        <f t="shared" si="29"/>
        <v>7</v>
      </c>
      <c r="CX43" s="156">
        <f t="shared" si="30"/>
        <v>4</v>
      </c>
      <c r="CY43" s="156">
        <f t="shared" si="31"/>
        <v>7</v>
      </c>
      <c r="CZ43" s="321">
        <f t="shared" si="35"/>
        <v>8</v>
      </c>
      <c r="DA43" s="321">
        <f t="shared" si="36"/>
        <v>1</v>
      </c>
      <c r="DB43" s="321">
        <f t="shared" si="37"/>
        <v>1</v>
      </c>
    </row>
    <row r="44" spans="1:106" s="8" customFormat="1" x14ac:dyDescent="0.25">
      <c r="A44" s="130">
        <v>181</v>
      </c>
      <c r="B44" s="12">
        <v>42030</v>
      </c>
      <c r="C44" s="11">
        <v>1082260</v>
      </c>
      <c r="D44" s="11" t="s">
        <v>185</v>
      </c>
      <c r="E44" s="11" t="str">
        <f t="shared" si="39"/>
        <v/>
      </c>
      <c r="F44" s="11" t="str">
        <f t="shared" si="40"/>
        <v/>
      </c>
      <c r="G44" s="113" t="s">
        <v>472</v>
      </c>
      <c r="H44" s="113"/>
      <c r="I44" s="113"/>
      <c r="J44" s="113"/>
      <c r="K44" s="152" t="str">
        <f t="shared" ca="1" si="48"/>
        <v/>
      </c>
      <c r="L44" s="113"/>
      <c r="N44" s="156" t="str">
        <f t="shared" si="2"/>
        <v/>
      </c>
      <c r="O44" s="8" t="s">
        <v>298</v>
      </c>
      <c r="P44" s="113" t="s">
        <v>689</v>
      </c>
      <c r="Q44" s="11" t="s">
        <v>186</v>
      </c>
      <c r="R44" s="14">
        <v>9286876147</v>
      </c>
      <c r="S44" s="156">
        <f t="shared" si="8"/>
        <v>9286876147</v>
      </c>
      <c r="T44" s="156" t="str">
        <f t="shared" si="3"/>
        <v/>
      </c>
      <c r="U44" s="8" t="s">
        <v>441</v>
      </c>
      <c r="V44" s="8" t="s">
        <v>275</v>
      </c>
      <c r="W44" s="8" t="s">
        <v>327</v>
      </c>
      <c r="X44" s="8" t="s">
        <v>328</v>
      </c>
      <c r="Y44" s="11" t="s">
        <v>142</v>
      </c>
      <c r="Z44" s="157" t="s">
        <v>74</v>
      </c>
      <c r="AA44" s="157" t="str">
        <f t="shared" si="46"/>
        <v>Php 17,000</v>
      </c>
      <c r="AB44" s="157"/>
      <c r="AC44" s="157" t="str">
        <f t="shared" si="47"/>
        <v>Php 1,000</v>
      </c>
      <c r="AD44" s="157" t="str">
        <f t="shared" si="42"/>
        <v>Php 4,000</v>
      </c>
      <c r="AE44" s="121" t="str">
        <f t="shared" si="43"/>
        <v/>
      </c>
      <c r="AF44" s="113" t="str">
        <f t="shared" si="44"/>
        <v/>
      </c>
      <c r="AG44" s="113"/>
      <c r="AH44" s="157" t="s">
        <v>52</v>
      </c>
      <c r="AI44" s="11" t="s">
        <v>253</v>
      </c>
      <c r="AJ44" s="527"/>
      <c r="AK44" s="11"/>
      <c r="AL44" s="11" t="s">
        <v>259</v>
      </c>
      <c r="AM44" s="11" t="s">
        <v>248</v>
      </c>
      <c r="AN44" s="12">
        <v>33505</v>
      </c>
      <c r="AO44" s="18" t="s">
        <v>187</v>
      </c>
      <c r="AP44" s="18"/>
      <c r="AQ44" s="11" t="s">
        <v>50</v>
      </c>
      <c r="AR44" s="11"/>
      <c r="AS44" s="163">
        <v>42031</v>
      </c>
      <c r="AT44" s="19">
        <v>42031</v>
      </c>
      <c r="AU44" s="19">
        <v>42031</v>
      </c>
      <c r="AV44" s="192">
        <v>42038</v>
      </c>
      <c r="AW44" s="438">
        <v>42032</v>
      </c>
      <c r="AX44" s="11" t="s">
        <v>189</v>
      </c>
      <c r="AY44" s="113"/>
      <c r="AZ44" s="129">
        <v>42032</v>
      </c>
      <c r="BA44" s="113"/>
      <c r="BB44" s="182"/>
      <c r="BC44" s="163">
        <v>42031</v>
      </c>
      <c r="BD44" s="184" t="s">
        <v>188</v>
      </c>
      <c r="BE44" s="163">
        <v>42033</v>
      </c>
      <c r="BF44" s="184" t="s">
        <v>191</v>
      </c>
      <c r="BG44" s="163">
        <v>42033</v>
      </c>
      <c r="BH44" s="11" t="s">
        <v>190</v>
      </c>
      <c r="BI44" s="177">
        <v>42033</v>
      </c>
      <c r="BJ44" s="160"/>
      <c r="BK44" s="125"/>
      <c r="BL44" s="173"/>
      <c r="BM44" s="163">
        <v>42031</v>
      </c>
      <c r="BN44" s="125"/>
      <c r="BO44" s="173"/>
      <c r="BP44" s="165"/>
      <c r="BQ44" s="125"/>
      <c r="BR44" s="176">
        <v>42031</v>
      </c>
      <c r="BS44" s="438">
        <v>42030</v>
      </c>
      <c r="BT44" s="12">
        <v>42030</v>
      </c>
      <c r="BU44" s="439">
        <v>42030</v>
      </c>
      <c r="BV44" s="254"/>
      <c r="BW44" s="499" t="str">
        <f t="shared" si="9"/>
        <v xml:space="preserve">1905 (for processing) 1/28/2015, MDR 1/29/2015, </v>
      </c>
      <c r="BX44" s="499" t="str">
        <f t="shared" si="45"/>
        <v/>
      </c>
      <c r="BY44" s="499" t="str">
        <f t="shared" si="5"/>
        <v/>
      </c>
      <c r="BZ44" s="500" t="str">
        <f t="shared" si="6"/>
        <v/>
      </c>
      <c r="CA44" s="156" t="str">
        <f t="shared" si="41"/>
        <v/>
      </c>
      <c r="CB44" s="155" t="str">
        <f t="shared" si="38"/>
        <v/>
      </c>
      <c r="CC44" s="156" t="str">
        <f t="shared" ca="1" si="33"/>
        <v/>
      </c>
      <c r="CD44" s="156" t="str">
        <f t="shared" si="49"/>
        <v/>
      </c>
      <c r="CE44" s="156" t="str">
        <f t="shared" si="50"/>
        <v/>
      </c>
      <c r="CF44" s="495" t="str">
        <f t="shared" si="13"/>
        <v/>
      </c>
      <c r="CG44" s="496" t="str">
        <f t="shared" si="51"/>
        <v/>
      </c>
      <c r="CH44" s="156" t="str">
        <f t="shared" si="52"/>
        <v/>
      </c>
      <c r="CI44" s="155" t="str">
        <f t="shared" si="34"/>
        <v/>
      </c>
      <c r="CJ44" s="155" t="str">
        <f t="shared" si="16"/>
        <v/>
      </c>
      <c r="CK44" s="156">
        <f t="shared" si="17"/>
        <v>7</v>
      </c>
      <c r="CL44" s="156">
        <f t="shared" si="18"/>
        <v>7</v>
      </c>
      <c r="CM44" s="156">
        <f t="shared" si="19"/>
        <v>7</v>
      </c>
      <c r="CN44" s="156">
        <f t="shared" si="20"/>
        <v>7</v>
      </c>
      <c r="CO44" s="156">
        <f t="shared" si="21"/>
        <v>7</v>
      </c>
      <c r="CP44" s="156">
        <f t="shared" si="22"/>
        <v>7</v>
      </c>
      <c r="CQ44" s="156">
        <f t="shared" si="23"/>
        <v>7</v>
      </c>
      <c r="CR44" s="156">
        <f t="shared" si="24"/>
        <v>7</v>
      </c>
      <c r="CS44" s="156">
        <f t="shared" si="25"/>
        <v>7</v>
      </c>
      <c r="CT44" s="156">
        <f t="shared" si="53"/>
        <v>7</v>
      </c>
      <c r="CU44" s="156">
        <f t="shared" si="54"/>
        <v>7</v>
      </c>
      <c r="CV44" s="156">
        <f t="shared" si="55"/>
        <v>7</v>
      </c>
      <c r="CW44" s="156">
        <f t="shared" si="29"/>
        <v>7</v>
      </c>
      <c r="CX44" s="156">
        <f t="shared" si="30"/>
        <v>5</v>
      </c>
      <c r="CY44" s="156">
        <f t="shared" si="31"/>
        <v>7</v>
      </c>
      <c r="CZ44" s="8" t="str">
        <f t="shared" si="35"/>
        <v/>
      </c>
      <c r="DA44" s="8">
        <f t="shared" si="36"/>
        <v>0</v>
      </c>
      <c r="DB44" s="8">
        <f t="shared" si="37"/>
        <v>0</v>
      </c>
    </row>
    <row r="45" spans="1:106" s="8" customFormat="1" x14ac:dyDescent="0.25">
      <c r="A45" s="130">
        <v>181</v>
      </c>
      <c r="B45" s="12">
        <v>42030</v>
      </c>
      <c r="C45" s="11">
        <v>1082261</v>
      </c>
      <c r="D45" s="11" t="s">
        <v>192</v>
      </c>
      <c r="E45" s="11" t="str">
        <f t="shared" si="39"/>
        <v/>
      </c>
      <c r="F45" s="11" t="str">
        <f t="shared" si="40"/>
        <v/>
      </c>
      <c r="G45" s="113" t="s">
        <v>472</v>
      </c>
      <c r="H45" s="113"/>
      <c r="I45" s="113"/>
      <c r="J45" s="113"/>
      <c r="K45" s="152" t="str">
        <f t="shared" ca="1" si="48"/>
        <v/>
      </c>
      <c r="L45" s="113"/>
      <c r="M45" s="113"/>
      <c r="N45" s="156" t="str">
        <f t="shared" si="2"/>
        <v/>
      </c>
      <c r="O45" s="8" t="s">
        <v>298</v>
      </c>
      <c r="P45" s="113" t="s">
        <v>689</v>
      </c>
      <c r="Q45" s="11" t="s">
        <v>193</v>
      </c>
      <c r="R45" s="14">
        <v>9154173728</v>
      </c>
      <c r="S45" s="156">
        <f t="shared" si="8"/>
        <v>9154173728</v>
      </c>
      <c r="T45" s="156" t="str">
        <f t="shared" si="3"/>
        <v/>
      </c>
      <c r="U45" s="8" t="s">
        <v>442</v>
      </c>
      <c r="V45" s="8" t="s">
        <v>331</v>
      </c>
      <c r="W45" s="8" t="s">
        <v>329</v>
      </c>
      <c r="X45" s="8" t="s">
        <v>330</v>
      </c>
      <c r="Y45" s="11" t="s">
        <v>142</v>
      </c>
      <c r="Z45" s="157" t="s">
        <v>74</v>
      </c>
      <c r="AA45" s="157" t="str">
        <f t="shared" si="46"/>
        <v>Php 17,000</v>
      </c>
      <c r="AB45" s="157"/>
      <c r="AC45" s="157" t="str">
        <f t="shared" si="47"/>
        <v>Php 1,000</v>
      </c>
      <c r="AD45" s="157" t="str">
        <f t="shared" si="42"/>
        <v>Php 4,000</v>
      </c>
      <c r="AE45" s="121" t="str">
        <f t="shared" si="43"/>
        <v/>
      </c>
      <c r="AF45" s="113" t="str">
        <f t="shared" si="44"/>
        <v/>
      </c>
      <c r="AG45" s="113"/>
      <c r="AH45" s="157" t="s">
        <v>52</v>
      </c>
      <c r="AI45" s="11" t="s">
        <v>253</v>
      </c>
      <c r="AJ45" s="527"/>
      <c r="AK45" s="11"/>
      <c r="AL45" s="11" t="s">
        <v>259</v>
      </c>
      <c r="AM45" s="11" t="s">
        <v>248</v>
      </c>
      <c r="AN45" s="12">
        <v>30938</v>
      </c>
      <c r="AO45" s="18" t="s">
        <v>995</v>
      </c>
      <c r="AP45" s="18" t="s">
        <v>995</v>
      </c>
      <c r="AQ45" s="11" t="s">
        <v>53</v>
      </c>
      <c r="AR45" s="11"/>
      <c r="AS45" s="163">
        <v>42031</v>
      </c>
      <c r="AT45" s="19">
        <v>42031</v>
      </c>
      <c r="AU45" s="19">
        <v>42033</v>
      </c>
      <c r="AV45" s="176">
        <v>42031</v>
      </c>
      <c r="AW45" s="438">
        <v>42031</v>
      </c>
      <c r="AX45" s="11" t="s">
        <v>195</v>
      </c>
      <c r="AY45" s="113"/>
      <c r="AZ45" s="113"/>
      <c r="BA45" s="129">
        <v>42032</v>
      </c>
      <c r="BB45" s="182"/>
      <c r="BC45" s="163">
        <v>42031</v>
      </c>
      <c r="BD45" s="184" t="s">
        <v>194</v>
      </c>
      <c r="BE45" s="160"/>
      <c r="BF45" s="184" t="s">
        <v>49</v>
      </c>
      <c r="BG45" s="160"/>
      <c r="BH45" s="11" t="s">
        <v>49</v>
      </c>
      <c r="BI45" s="182"/>
      <c r="BJ45" s="160"/>
      <c r="BK45" s="125"/>
      <c r="BL45" s="173"/>
      <c r="BM45" s="163">
        <v>42032</v>
      </c>
      <c r="BN45" s="125"/>
      <c r="BO45" s="173"/>
      <c r="BP45" s="165"/>
      <c r="BQ45" s="125"/>
      <c r="BR45" s="176">
        <v>42032</v>
      </c>
      <c r="BS45" s="438">
        <v>42030</v>
      </c>
      <c r="BT45" s="12">
        <v>42030</v>
      </c>
      <c r="BU45" s="439">
        <v>42030</v>
      </c>
      <c r="BV45" s="254"/>
      <c r="BW45" s="499" t="str">
        <f t="shared" si="9"/>
        <v xml:space="preserve">2305 (for processing) 1/28/2015, </v>
      </c>
      <c r="BX45" s="499" t="str">
        <f t="shared" si="45"/>
        <v/>
      </c>
      <c r="BY45" s="499" t="str">
        <f t="shared" si="5"/>
        <v/>
      </c>
      <c r="BZ45" s="500" t="str">
        <f t="shared" si="6"/>
        <v/>
      </c>
      <c r="CA45" s="156" t="str">
        <f t="shared" si="41"/>
        <v/>
      </c>
      <c r="CB45" s="155" t="str">
        <f t="shared" si="38"/>
        <v/>
      </c>
      <c r="CC45" s="156" t="str">
        <f t="shared" ca="1" si="33"/>
        <v/>
      </c>
      <c r="CD45" s="156" t="str">
        <f t="shared" si="49"/>
        <v/>
      </c>
      <c r="CE45" s="156" t="str">
        <f t="shared" si="50"/>
        <v/>
      </c>
      <c r="CF45" s="495" t="str">
        <f t="shared" si="13"/>
        <v/>
      </c>
      <c r="CG45" s="496" t="str">
        <f t="shared" si="51"/>
        <v/>
      </c>
      <c r="CH45" s="156" t="str">
        <f t="shared" si="52"/>
        <v/>
      </c>
      <c r="CI45" s="155" t="str">
        <f t="shared" si="34"/>
        <v/>
      </c>
      <c r="CJ45" s="155" t="str">
        <f t="shared" si="16"/>
        <v/>
      </c>
      <c r="CK45" s="156">
        <f t="shared" si="17"/>
        <v>7</v>
      </c>
      <c r="CL45" s="156">
        <f t="shared" si="18"/>
        <v>7</v>
      </c>
      <c r="CM45" s="156">
        <f t="shared" si="19"/>
        <v>7</v>
      </c>
      <c r="CN45" s="156">
        <f t="shared" si="20"/>
        <v>7</v>
      </c>
      <c r="CO45" s="156">
        <f t="shared" si="21"/>
        <v>7</v>
      </c>
      <c r="CP45" s="156">
        <f t="shared" si="22"/>
        <v>7</v>
      </c>
      <c r="CQ45" s="156">
        <f t="shared" si="23"/>
        <v>7</v>
      </c>
      <c r="CR45" s="156">
        <f t="shared" si="24"/>
        <v>7</v>
      </c>
      <c r="CS45" s="156">
        <f t="shared" si="25"/>
        <v>7</v>
      </c>
      <c r="CT45" s="156">
        <f t="shared" si="53"/>
        <v>7</v>
      </c>
      <c r="CU45" s="156">
        <f t="shared" si="54"/>
        <v>7</v>
      </c>
      <c r="CV45" s="156">
        <f t="shared" si="55"/>
        <v>7</v>
      </c>
      <c r="CW45" s="156">
        <f t="shared" si="29"/>
        <v>7</v>
      </c>
      <c r="CX45" s="156">
        <f t="shared" si="30"/>
        <v>6</v>
      </c>
      <c r="CY45" s="156">
        <f t="shared" si="31"/>
        <v>7</v>
      </c>
      <c r="CZ45" s="8" t="str">
        <f t="shared" si="35"/>
        <v/>
      </c>
      <c r="DA45" s="8">
        <f t="shared" si="36"/>
        <v>0</v>
      </c>
      <c r="DB45" s="8">
        <f t="shared" si="37"/>
        <v>0</v>
      </c>
    </row>
    <row r="46" spans="1:106" s="213" customFormat="1" ht="15.75" thickBot="1" x14ac:dyDescent="0.3">
      <c r="A46" s="212">
        <v>181</v>
      </c>
      <c r="B46" s="211">
        <v>42030</v>
      </c>
      <c r="C46" s="210">
        <v>1082262</v>
      </c>
      <c r="D46" s="210" t="s">
        <v>196</v>
      </c>
      <c r="E46" s="210" t="str">
        <f t="shared" si="39"/>
        <v/>
      </c>
      <c r="F46" s="210" t="str">
        <f t="shared" si="40"/>
        <v/>
      </c>
      <c r="G46" s="213" t="s">
        <v>472</v>
      </c>
      <c r="K46" s="491" t="str">
        <f t="shared" ca="1" si="48"/>
        <v/>
      </c>
      <c r="M46" s="220">
        <v>42038</v>
      </c>
      <c r="N46" s="487" t="str">
        <f t="shared" si="2"/>
        <v/>
      </c>
      <c r="O46" s="213" t="s">
        <v>298</v>
      </c>
      <c r="P46" s="213" t="s">
        <v>689</v>
      </c>
      <c r="Q46" s="210" t="s">
        <v>197</v>
      </c>
      <c r="R46" s="215">
        <v>9054686537</v>
      </c>
      <c r="S46" s="487">
        <f t="shared" si="8"/>
        <v>9054686537</v>
      </c>
      <c r="T46" s="487" t="str">
        <f t="shared" si="3"/>
        <v/>
      </c>
      <c r="U46" s="213" t="s">
        <v>443</v>
      </c>
      <c r="V46" s="213" t="s">
        <v>334</v>
      </c>
      <c r="W46" s="213" t="s">
        <v>332</v>
      </c>
      <c r="X46" s="213" t="s">
        <v>333</v>
      </c>
      <c r="Y46" s="210" t="s">
        <v>142</v>
      </c>
      <c r="Z46" s="210" t="s">
        <v>74</v>
      </c>
      <c r="AA46" s="210" t="str">
        <f t="shared" si="46"/>
        <v>Php 17,000</v>
      </c>
      <c r="AB46" s="210"/>
      <c r="AC46" s="210" t="str">
        <f t="shared" si="47"/>
        <v>Php 1,000</v>
      </c>
      <c r="AD46" s="210" t="str">
        <f t="shared" si="42"/>
        <v>Php 4,000</v>
      </c>
      <c r="AE46" s="226" t="str">
        <f t="shared" si="43"/>
        <v/>
      </c>
      <c r="AF46" s="213" t="str">
        <f t="shared" si="44"/>
        <v/>
      </c>
      <c r="AH46" s="216" t="s">
        <v>52</v>
      </c>
      <c r="AI46" s="210" t="s">
        <v>253</v>
      </c>
      <c r="AJ46" s="528"/>
      <c r="AK46" s="210"/>
      <c r="AL46" s="210" t="s">
        <v>259</v>
      </c>
      <c r="AM46" s="210" t="s">
        <v>248</v>
      </c>
      <c r="AN46" s="211">
        <v>32588</v>
      </c>
      <c r="AO46" s="214" t="s">
        <v>198</v>
      </c>
      <c r="AP46" s="214" t="s">
        <v>198</v>
      </c>
      <c r="AQ46" s="210" t="s">
        <v>53</v>
      </c>
      <c r="AR46" s="210"/>
      <c r="AS46" s="217">
        <v>42031</v>
      </c>
      <c r="AT46" s="218">
        <v>42031</v>
      </c>
      <c r="AU46" s="218">
        <v>42031</v>
      </c>
      <c r="AV46" s="247">
        <v>42038</v>
      </c>
      <c r="AW46" s="440">
        <v>42031</v>
      </c>
      <c r="AX46" s="210" t="s">
        <v>200</v>
      </c>
      <c r="AZ46" s="220">
        <v>42032</v>
      </c>
      <c r="BA46" s="220">
        <v>42038</v>
      </c>
      <c r="BB46" s="221"/>
      <c r="BC46" s="217">
        <v>42031</v>
      </c>
      <c r="BD46" s="222" t="s">
        <v>199</v>
      </c>
      <c r="BE46" s="248">
        <v>42041</v>
      </c>
      <c r="BF46" s="222" t="s">
        <v>523</v>
      </c>
      <c r="BG46" s="217">
        <v>42031</v>
      </c>
      <c r="BH46" s="210" t="s">
        <v>201</v>
      </c>
      <c r="BI46" s="223">
        <v>42033</v>
      </c>
      <c r="BJ46" s="217">
        <v>42031</v>
      </c>
      <c r="BK46" s="218"/>
      <c r="BL46" s="219"/>
      <c r="BM46" s="217">
        <v>42031</v>
      </c>
      <c r="BN46" s="246"/>
      <c r="BO46" s="249"/>
      <c r="BP46" s="224">
        <v>42031</v>
      </c>
      <c r="BQ46" s="218">
        <v>42031</v>
      </c>
      <c r="BR46" s="249"/>
      <c r="BS46" s="440">
        <v>42030</v>
      </c>
      <c r="BT46" s="211">
        <v>42030</v>
      </c>
      <c r="BU46" s="441">
        <v>42030</v>
      </c>
      <c r="BV46" s="255"/>
      <c r="BW46" s="501" t="str">
        <f t="shared" si="9"/>
        <v xml:space="preserve">1905 1/28/2015, 2305 2/3/2015, MDR 1/29/2015, </v>
      </c>
      <c r="BX46" s="501" t="str">
        <f t="shared" si="45"/>
        <v/>
      </c>
      <c r="BY46" s="501" t="str">
        <f t="shared" si="5"/>
        <v/>
      </c>
      <c r="BZ46" s="502" t="str">
        <f t="shared" si="6"/>
        <v/>
      </c>
      <c r="CA46" s="487">
        <f t="shared" si="41"/>
        <v>181</v>
      </c>
      <c r="CB46" s="503">
        <f t="shared" si="38"/>
        <v>42030</v>
      </c>
      <c r="CC46" s="487">
        <f t="shared" ca="1" si="33"/>
        <v>17</v>
      </c>
      <c r="CD46" s="487">
        <f t="shared" si="49"/>
        <v>7</v>
      </c>
      <c r="CE46" s="487">
        <f t="shared" si="50"/>
        <v>7</v>
      </c>
      <c r="CF46" s="504">
        <f t="shared" si="13"/>
        <v>0</v>
      </c>
      <c r="CG46" s="505">
        <f t="shared" si="51"/>
        <v>1</v>
      </c>
      <c r="CH46" s="487" t="str">
        <f t="shared" si="52"/>
        <v/>
      </c>
      <c r="CI46" s="503" t="str">
        <f t="shared" si="34"/>
        <v/>
      </c>
      <c r="CJ46" s="503" t="str">
        <f t="shared" si="16"/>
        <v/>
      </c>
      <c r="CK46" s="487">
        <f t="shared" si="17"/>
        <v>7</v>
      </c>
      <c r="CL46" s="487">
        <f t="shared" si="18"/>
        <v>7</v>
      </c>
      <c r="CM46" s="487">
        <f t="shared" si="19"/>
        <v>7</v>
      </c>
      <c r="CN46" s="487">
        <f t="shared" si="20"/>
        <v>7</v>
      </c>
      <c r="CO46" s="487">
        <f t="shared" si="21"/>
        <v>7</v>
      </c>
      <c r="CP46" s="487">
        <f t="shared" si="22"/>
        <v>7</v>
      </c>
      <c r="CQ46" s="487">
        <f t="shared" si="23"/>
        <v>7</v>
      </c>
      <c r="CR46" s="487">
        <f t="shared" si="24"/>
        <v>7</v>
      </c>
      <c r="CS46" s="487">
        <f t="shared" si="25"/>
        <v>7</v>
      </c>
      <c r="CT46" s="487">
        <f t="shared" si="53"/>
        <v>7</v>
      </c>
      <c r="CU46" s="487">
        <f t="shared" si="54"/>
        <v>7</v>
      </c>
      <c r="CV46" s="487">
        <f t="shared" si="55"/>
        <v>7</v>
      </c>
      <c r="CW46" s="487">
        <f t="shared" si="29"/>
        <v>7</v>
      </c>
      <c r="CX46" s="487">
        <f t="shared" si="30"/>
        <v>7</v>
      </c>
      <c r="CY46" s="487">
        <f t="shared" si="31"/>
        <v>7</v>
      </c>
      <c r="CZ46" s="213">
        <f t="shared" si="35"/>
        <v>8</v>
      </c>
      <c r="DA46" s="213">
        <f t="shared" si="36"/>
        <v>0</v>
      </c>
      <c r="DB46" s="213">
        <f t="shared" si="37"/>
        <v>0</v>
      </c>
    </row>
    <row r="47" spans="1:106" s="113" customFormat="1" ht="15.75" thickTop="1" x14ac:dyDescent="0.25">
      <c r="A47" s="132">
        <v>182</v>
      </c>
      <c r="B47" s="129">
        <v>42037</v>
      </c>
      <c r="C47" s="113">
        <v>1082263</v>
      </c>
      <c r="D47" s="113" t="s">
        <v>287</v>
      </c>
      <c r="E47" s="113" t="str">
        <f t="shared" si="39"/>
        <v/>
      </c>
      <c r="F47" s="113" t="str">
        <f t="shared" si="40"/>
        <v/>
      </c>
      <c r="G47" s="113" t="s">
        <v>473</v>
      </c>
      <c r="K47" s="152" t="str">
        <f t="shared" ca="1" si="48"/>
        <v/>
      </c>
      <c r="N47" s="153" t="str">
        <f t="shared" si="2"/>
        <v/>
      </c>
      <c r="O47" s="113" t="s">
        <v>298</v>
      </c>
      <c r="P47" s="113" t="s">
        <v>689</v>
      </c>
      <c r="Q47" s="113" t="s">
        <v>246</v>
      </c>
      <c r="R47" s="113">
        <v>9273675931</v>
      </c>
      <c r="S47" s="153">
        <f t="shared" si="8"/>
        <v>9273675931</v>
      </c>
      <c r="T47" s="153" t="str">
        <f t="shared" si="3"/>
        <v/>
      </c>
      <c r="U47" s="113" t="s">
        <v>424</v>
      </c>
      <c r="V47" s="113" t="s">
        <v>245</v>
      </c>
      <c r="W47" s="113" t="s">
        <v>243</v>
      </c>
      <c r="X47" s="113" t="s">
        <v>244</v>
      </c>
      <c r="Y47" s="113" t="s">
        <v>73</v>
      </c>
      <c r="Z47" s="113" t="s">
        <v>74</v>
      </c>
      <c r="AA47" s="113" t="str">
        <f t="shared" si="46"/>
        <v>Php 17,000</v>
      </c>
      <c r="AC47" s="113" t="str">
        <f t="shared" si="47"/>
        <v>Php 1,000</v>
      </c>
      <c r="AD47" s="113" t="str">
        <f t="shared" si="42"/>
        <v>Php 4,000</v>
      </c>
      <c r="AE47" s="121" t="str">
        <f t="shared" si="43"/>
        <v/>
      </c>
      <c r="AF47" s="113" t="str">
        <f t="shared" si="44"/>
        <v/>
      </c>
      <c r="AH47" s="158" t="s">
        <v>52</v>
      </c>
      <c r="AI47" s="113" t="s">
        <v>338</v>
      </c>
      <c r="AJ47" s="153" t="s">
        <v>1130</v>
      </c>
      <c r="AL47" s="113" t="s">
        <v>247</v>
      </c>
      <c r="AM47" s="113" t="s">
        <v>248</v>
      </c>
      <c r="AN47" s="129">
        <v>31411</v>
      </c>
      <c r="AO47" s="113" t="s">
        <v>996</v>
      </c>
      <c r="AQ47" s="113" t="s">
        <v>53</v>
      </c>
      <c r="AS47" s="165"/>
      <c r="AV47" s="177">
        <v>42039</v>
      </c>
      <c r="AW47" s="187"/>
      <c r="AX47" s="123" t="s">
        <v>49</v>
      </c>
      <c r="BA47" s="129">
        <v>42038</v>
      </c>
      <c r="BB47" s="182"/>
      <c r="BC47" s="187">
        <v>42038</v>
      </c>
      <c r="BD47" s="186" t="s">
        <v>383</v>
      </c>
      <c r="BE47" s="165"/>
      <c r="BF47" s="182"/>
      <c r="BG47" s="165"/>
      <c r="BH47" s="123" t="s">
        <v>49</v>
      </c>
      <c r="BI47" s="182"/>
      <c r="BJ47" s="187">
        <v>42038</v>
      </c>
      <c r="BK47" s="129"/>
      <c r="BL47" s="177"/>
      <c r="BM47" s="187">
        <v>42038</v>
      </c>
      <c r="BO47" s="182"/>
      <c r="BP47" s="165"/>
      <c r="BR47" s="182"/>
      <c r="BS47" s="187">
        <v>42038</v>
      </c>
      <c r="BT47" s="129">
        <v>42038</v>
      </c>
      <c r="BU47" s="177">
        <v>42038</v>
      </c>
      <c r="BV47" s="177"/>
      <c r="BW47" s="275" t="str">
        <f t="shared" si="9"/>
        <v xml:space="preserve">2305 (for processing) 2/3/2015, </v>
      </c>
      <c r="BX47" s="275" t="str">
        <f t="shared" si="45"/>
        <v/>
      </c>
      <c r="BY47" s="275" t="str">
        <f t="shared" si="5"/>
        <v/>
      </c>
      <c r="BZ47" s="277" t="str">
        <f t="shared" si="6"/>
        <v/>
      </c>
      <c r="CA47" s="153" t="str">
        <f t="shared" si="41"/>
        <v/>
      </c>
      <c r="CB47" s="151" t="str">
        <f t="shared" si="38"/>
        <v/>
      </c>
      <c r="CC47" s="153" t="str">
        <f t="shared" ca="1" si="33"/>
        <v/>
      </c>
      <c r="CD47" s="153" t="str">
        <f t="shared" si="49"/>
        <v/>
      </c>
      <c r="CE47" s="153" t="str">
        <f t="shared" si="50"/>
        <v/>
      </c>
      <c r="CF47" s="396" t="str">
        <f t="shared" si="13"/>
        <v/>
      </c>
      <c r="CG47" s="397" t="str">
        <f t="shared" si="51"/>
        <v/>
      </c>
      <c r="CH47" s="153" t="str">
        <f t="shared" si="52"/>
        <v/>
      </c>
      <c r="CI47" s="151" t="str">
        <f t="shared" si="34"/>
        <v/>
      </c>
      <c r="CJ47" s="151" t="str">
        <f t="shared" si="16"/>
        <v/>
      </c>
      <c r="CK47" s="153">
        <f t="shared" si="17"/>
        <v>0</v>
      </c>
      <c r="CL47" s="153">
        <f t="shared" si="18"/>
        <v>0</v>
      </c>
      <c r="CM47" s="153">
        <f t="shared" si="19"/>
        <v>0</v>
      </c>
      <c r="CN47" s="153">
        <f t="shared" si="20"/>
        <v>0</v>
      </c>
      <c r="CO47" s="153">
        <f t="shared" si="21"/>
        <v>0</v>
      </c>
      <c r="CP47" s="153">
        <f t="shared" si="22"/>
        <v>0</v>
      </c>
      <c r="CQ47" s="153">
        <f t="shared" si="23"/>
        <v>0</v>
      </c>
      <c r="CR47" s="153">
        <f t="shared" si="24"/>
        <v>0</v>
      </c>
      <c r="CS47" s="153">
        <f t="shared" si="25"/>
        <v>0</v>
      </c>
      <c r="CT47" s="153">
        <f t="shared" si="53"/>
        <v>0</v>
      </c>
      <c r="CU47" s="153">
        <f t="shared" si="54"/>
        <v>0</v>
      </c>
      <c r="CV47" s="153">
        <f t="shared" si="55"/>
        <v>0</v>
      </c>
      <c r="CW47" s="153">
        <f t="shared" si="29"/>
        <v>0</v>
      </c>
      <c r="CX47" s="153">
        <f t="shared" si="30"/>
        <v>1</v>
      </c>
      <c r="CY47" s="153">
        <f t="shared" si="31"/>
        <v>0</v>
      </c>
      <c r="CZ47" s="113" t="str">
        <f t="shared" si="35"/>
        <v/>
      </c>
      <c r="DA47" s="113">
        <f t="shared" si="36"/>
        <v>0</v>
      </c>
      <c r="DB47" s="113">
        <f t="shared" si="37"/>
        <v>0</v>
      </c>
    </row>
    <row r="48" spans="1:106" s="321" customFormat="1" x14ac:dyDescent="0.25">
      <c r="A48" s="382">
        <v>182</v>
      </c>
      <c r="B48" s="334">
        <v>42037</v>
      </c>
      <c r="C48" s="321">
        <v>1082264</v>
      </c>
      <c r="D48" s="321" t="s">
        <v>288</v>
      </c>
      <c r="E48" s="321" t="str">
        <f t="shared" si="39"/>
        <v/>
      </c>
      <c r="F48" s="321" t="str">
        <f t="shared" si="40"/>
        <v xml:space="preserve">MDR, TOR, COE, </v>
      </c>
      <c r="G48" s="317" t="s">
        <v>473</v>
      </c>
      <c r="H48" s="317"/>
      <c r="I48" s="317"/>
      <c r="J48" s="317"/>
      <c r="K48" s="152" t="str">
        <f t="shared" ca="1" si="48"/>
        <v/>
      </c>
      <c r="L48" s="317"/>
      <c r="M48" s="334">
        <v>42046</v>
      </c>
      <c r="N48" s="153" t="str">
        <f t="shared" si="2"/>
        <v/>
      </c>
      <c r="O48" s="317" t="s">
        <v>302</v>
      </c>
      <c r="P48" s="317"/>
      <c r="Q48" s="321" t="s">
        <v>252</v>
      </c>
      <c r="R48" s="321">
        <v>9771975301</v>
      </c>
      <c r="S48" s="156">
        <f t="shared" si="8"/>
        <v>9771975301</v>
      </c>
      <c r="T48" s="156" t="str">
        <f t="shared" si="3"/>
        <v/>
      </c>
      <c r="U48" s="317" t="s">
        <v>425</v>
      </c>
      <c r="V48" s="321" t="s">
        <v>251</v>
      </c>
      <c r="W48" s="321" t="s">
        <v>249</v>
      </c>
      <c r="X48" s="321" t="s">
        <v>250</v>
      </c>
      <c r="Y48" s="321" t="s">
        <v>73</v>
      </c>
      <c r="Z48" s="321" t="s">
        <v>74</v>
      </c>
      <c r="AA48" s="321" t="str">
        <f t="shared" si="46"/>
        <v>Php 17,000</v>
      </c>
      <c r="AC48" s="321" t="str">
        <f t="shared" si="47"/>
        <v>Php 1,000</v>
      </c>
      <c r="AD48" s="321" t="str">
        <f t="shared" si="42"/>
        <v>Php 4,000</v>
      </c>
      <c r="AE48" s="377" t="str">
        <f t="shared" si="43"/>
        <v/>
      </c>
      <c r="AF48" s="317" t="str">
        <f t="shared" si="44"/>
        <v/>
      </c>
      <c r="AG48" s="317"/>
      <c r="AH48" s="320" t="s">
        <v>52</v>
      </c>
      <c r="AI48" s="321" t="s">
        <v>253</v>
      </c>
      <c r="AJ48" s="156"/>
      <c r="AL48" s="321" t="s">
        <v>254</v>
      </c>
      <c r="AM48" s="321" t="s">
        <v>248</v>
      </c>
      <c r="AN48" s="334">
        <v>33350</v>
      </c>
      <c r="AO48" s="321" t="s">
        <v>476</v>
      </c>
      <c r="AP48" s="321" t="s">
        <v>476</v>
      </c>
      <c r="AQ48" s="321" t="s">
        <v>50</v>
      </c>
      <c r="AR48" s="321" t="s">
        <v>378</v>
      </c>
      <c r="AS48" s="332">
        <v>42039</v>
      </c>
      <c r="AT48" s="318">
        <v>42039</v>
      </c>
      <c r="AU48" s="318">
        <v>42039</v>
      </c>
      <c r="AV48" s="329">
        <v>42039</v>
      </c>
      <c r="AW48" s="332">
        <v>42054</v>
      </c>
      <c r="AX48" s="316" t="s">
        <v>1002</v>
      </c>
      <c r="AY48" s="318">
        <v>42038</v>
      </c>
      <c r="AZ48" s="317">
        <v>2</v>
      </c>
      <c r="BA48" s="318">
        <v>42038</v>
      </c>
      <c r="BB48" s="326"/>
      <c r="BC48" s="332">
        <v>42039</v>
      </c>
      <c r="BD48" s="327" t="s">
        <v>470</v>
      </c>
      <c r="BE48" s="332">
        <v>42041</v>
      </c>
      <c r="BF48" s="326" t="s">
        <v>516</v>
      </c>
      <c r="BG48" s="332">
        <v>42039</v>
      </c>
      <c r="BH48" s="319" t="s">
        <v>2779</v>
      </c>
      <c r="BI48" s="326"/>
      <c r="BJ48" s="332">
        <v>42045</v>
      </c>
      <c r="BK48" s="318"/>
      <c r="BL48" s="329"/>
      <c r="BM48" s="332">
        <v>42039</v>
      </c>
      <c r="BN48" s="317"/>
      <c r="BO48" s="326"/>
      <c r="BP48" s="332">
        <v>42039</v>
      </c>
      <c r="BQ48" s="317"/>
      <c r="BR48" s="326"/>
      <c r="BS48" s="332">
        <v>42038</v>
      </c>
      <c r="BT48" s="318">
        <v>42038</v>
      </c>
      <c r="BU48" s="329">
        <v>42038</v>
      </c>
      <c r="BV48" s="329"/>
      <c r="BW48" s="275" t="str">
        <f t="shared" si="9"/>
        <v xml:space="preserve">2305 2/3/2015, </v>
      </c>
      <c r="BX48" s="275">
        <f t="shared" si="45"/>
        <v>11</v>
      </c>
      <c r="BY48" s="275">
        <f t="shared" si="5"/>
        <v>11</v>
      </c>
      <c r="BZ48" s="277">
        <f t="shared" si="6"/>
        <v>1</v>
      </c>
      <c r="CA48" s="156" t="str">
        <f t="shared" si="41"/>
        <v/>
      </c>
      <c r="CB48" s="155" t="str">
        <f t="shared" si="38"/>
        <v/>
      </c>
      <c r="CC48" s="156" t="str">
        <f t="shared" ca="1" si="33"/>
        <v/>
      </c>
      <c r="CD48" s="156" t="str">
        <f t="shared" si="49"/>
        <v/>
      </c>
      <c r="CE48" s="156" t="str">
        <f t="shared" si="50"/>
        <v/>
      </c>
      <c r="CF48" s="495" t="str">
        <f t="shared" si="13"/>
        <v/>
      </c>
      <c r="CG48" s="496" t="str">
        <f t="shared" si="51"/>
        <v/>
      </c>
      <c r="CH48" s="156" t="str">
        <f t="shared" si="52"/>
        <v/>
      </c>
      <c r="CI48" s="155" t="str">
        <f t="shared" si="34"/>
        <v/>
      </c>
      <c r="CJ48" s="155" t="str">
        <f t="shared" si="16"/>
        <v/>
      </c>
      <c r="CK48" s="156">
        <f t="shared" si="17"/>
        <v>1</v>
      </c>
      <c r="CL48" s="156">
        <f t="shared" si="18"/>
        <v>1</v>
      </c>
      <c r="CM48" s="156">
        <f t="shared" si="19"/>
        <v>1</v>
      </c>
      <c r="CN48" s="156">
        <f t="shared" si="20"/>
        <v>1</v>
      </c>
      <c r="CO48" s="156">
        <f t="shared" si="21"/>
        <v>1</v>
      </c>
      <c r="CP48" s="156">
        <f t="shared" si="22"/>
        <v>1</v>
      </c>
      <c r="CQ48" s="156">
        <f t="shared" si="23"/>
        <v>1</v>
      </c>
      <c r="CR48" s="156">
        <f t="shared" si="24"/>
        <v>1</v>
      </c>
      <c r="CS48" s="156">
        <f t="shared" si="25"/>
        <v>1</v>
      </c>
      <c r="CT48" s="156">
        <f t="shared" si="53"/>
        <v>1</v>
      </c>
      <c r="CU48" s="156">
        <f t="shared" si="54"/>
        <v>1</v>
      </c>
      <c r="CV48" s="156">
        <f t="shared" si="55"/>
        <v>1</v>
      </c>
      <c r="CW48" s="156">
        <f t="shared" si="29"/>
        <v>1</v>
      </c>
      <c r="CX48" s="156">
        <f t="shared" si="30"/>
        <v>1</v>
      </c>
      <c r="CY48" s="156">
        <f t="shared" si="31"/>
        <v>1</v>
      </c>
      <c r="CZ48" s="321">
        <f t="shared" si="35"/>
        <v>9</v>
      </c>
      <c r="DA48" s="321">
        <f t="shared" si="36"/>
        <v>1</v>
      </c>
      <c r="DB48" s="321">
        <f t="shared" si="37"/>
        <v>1</v>
      </c>
    </row>
    <row r="49" spans="1:106" s="321" customFormat="1" x14ac:dyDescent="0.25">
      <c r="A49" s="382">
        <v>182</v>
      </c>
      <c r="B49" s="334">
        <v>42037</v>
      </c>
      <c r="C49" s="321">
        <v>1082265</v>
      </c>
      <c r="D49" s="321" t="s">
        <v>289</v>
      </c>
      <c r="E49" s="321" t="str">
        <f t="shared" si="39"/>
        <v/>
      </c>
      <c r="F49" s="321" t="str">
        <f t="shared" si="40"/>
        <v/>
      </c>
      <c r="G49" s="317" t="s">
        <v>473</v>
      </c>
      <c r="H49" s="317"/>
      <c r="I49" s="317"/>
      <c r="J49" s="317"/>
      <c r="K49" s="152" t="str">
        <f t="shared" ca="1" si="48"/>
        <v/>
      </c>
      <c r="L49" s="317"/>
      <c r="M49" s="334">
        <v>42046</v>
      </c>
      <c r="N49" s="153" t="str">
        <f t="shared" si="2"/>
        <v/>
      </c>
      <c r="O49" s="317" t="s">
        <v>302</v>
      </c>
      <c r="P49" s="317"/>
      <c r="Q49" s="321" t="s">
        <v>258</v>
      </c>
      <c r="R49" s="321">
        <v>9159183033</v>
      </c>
      <c r="S49" s="156">
        <f t="shared" si="8"/>
        <v>9159183033</v>
      </c>
      <c r="T49" s="156" t="str">
        <f t="shared" si="3"/>
        <v/>
      </c>
      <c r="U49" s="317" t="s">
        <v>426</v>
      </c>
      <c r="V49" s="321" t="s">
        <v>257</v>
      </c>
      <c r="W49" s="321" t="s">
        <v>255</v>
      </c>
      <c r="X49" s="321" t="s">
        <v>256</v>
      </c>
      <c r="Y49" s="321" t="s">
        <v>73</v>
      </c>
      <c r="Z49" s="321" t="s">
        <v>74</v>
      </c>
      <c r="AA49" s="321" t="str">
        <f t="shared" si="46"/>
        <v>Php 17,000</v>
      </c>
      <c r="AC49" s="321" t="str">
        <f t="shared" si="47"/>
        <v>Php 1,000</v>
      </c>
      <c r="AD49" s="321" t="str">
        <f t="shared" si="42"/>
        <v>Php 4,000</v>
      </c>
      <c r="AE49" s="377" t="str">
        <f t="shared" si="43"/>
        <v/>
      </c>
      <c r="AF49" s="317" t="str">
        <f t="shared" si="44"/>
        <v/>
      </c>
      <c r="AG49" s="317"/>
      <c r="AH49" s="320" t="s">
        <v>52</v>
      </c>
      <c r="AI49" s="321" t="s">
        <v>253</v>
      </c>
      <c r="AJ49" s="156"/>
      <c r="AL49" s="321" t="s">
        <v>259</v>
      </c>
      <c r="AM49" s="321" t="s">
        <v>248</v>
      </c>
      <c r="AN49" s="334">
        <v>30034</v>
      </c>
      <c r="AO49" s="321" t="s">
        <v>419</v>
      </c>
      <c r="AP49" s="321" t="s">
        <v>419</v>
      </c>
      <c r="AQ49" s="321" t="s">
        <v>50</v>
      </c>
      <c r="AR49" s="321" t="s">
        <v>378</v>
      </c>
      <c r="AS49" s="332">
        <v>42038</v>
      </c>
      <c r="AT49" s="318">
        <v>42038</v>
      </c>
      <c r="AU49" s="318">
        <v>42038</v>
      </c>
      <c r="AV49" s="329">
        <v>42038</v>
      </c>
      <c r="AW49" s="332">
        <v>42038</v>
      </c>
      <c r="AX49" s="316" t="s">
        <v>417</v>
      </c>
      <c r="AY49" s="317"/>
      <c r="AZ49" s="318">
        <v>42040</v>
      </c>
      <c r="BA49" s="318">
        <v>42038</v>
      </c>
      <c r="BB49" s="326"/>
      <c r="BC49" s="332">
        <v>42038</v>
      </c>
      <c r="BD49" s="327" t="s">
        <v>416</v>
      </c>
      <c r="BE49" s="332">
        <v>42040</v>
      </c>
      <c r="BF49" s="383" t="s">
        <v>2786</v>
      </c>
      <c r="BG49" s="332">
        <v>42038</v>
      </c>
      <c r="BH49" s="316" t="s">
        <v>418</v>
      </c>
      <c r="BI49" s="329">
        <v>42040</v>
      </c>
      <c r="BJ49" s="332">
        <v>42042</v>
      </c>
      <c r="BK49" s="318"/>
      <c r="BL49" s="329"/>
      <c r="BM49" s="332">
        <v>42038</v>
      </c>
      <c r="BN49" s="317"/>
      <c r="BO49" s="326"/>
      <c r="BP49" s="332">
        <v>42039</v>
      </c>
      <c r="BQ49" s="318">
        <v>42038</v>
      </c>
      <c r="BR49" s="329">
        <v>42038</v>
      </c>
      <c r="BS49" s="332">
        <v>42038</v>
      </c>
      <c r="BT49" s="318">
        <v>42038</v>
      </c>
      <c r="BU49" s="329">
        <v>42038</v>
      </c>
      <c r="BV49" s="329"/>
      <c r="BW49" s="275" t="str">
        <f t="shared" si="9"/>
        <v xml:space="preserve">1905 2/5/2015, 2305 2/3/2015, MDR 2/5/2015, </v>
      </c>
      <c r="BX49" s="275">
        <f t="shared" si="45"/>
        <v>11</v>
      </c>
      <c r="BY49" s="275">
        <f t="shared" si="5"/>
        <v>11</v>
      </c>
      <c r="BZ49" s="277">
        <f t="shared" si="6"/>
        <v>1</v>
      </c>
      <c r="CA49" s="156" t="str">
        <f t="shared" si="41"/>
        <v/>
      </c>
      <c r="CB49" s="155" t="str">
        <f t="shared" si="38"/>
        <v/>
      </c>
      <c r="CC49" s="156" t="str">
        <f t="shared" ca="1" si="33"/>
        <v/>
      </c>
      <c r="CD49" s="156" t="str">
        <f t="shared" si="49"/>
        <v/>
      </c>
      <c r="CE49" s="156" t="str">
        <f t="shared" si="50"/>
        <v/>
      </c>
      <c r="CF49" s="495" t="str">
        <f t="shared" si="13"/>
        <v/>
      </c>
      <c r="CG49" s="496" t="str">
        <f t="shared" si="51"/>
        <v/>
      </c>
      <c r="CH49" s="156" t="str">
        <f t="shared" si="52"/>
        <v/>
      </c>
      <c r="CI49" s="155" t="str">
        <f t="shared" si="34"/>
        <v/>
      </c>
      <c r="CJ49" s="155" t="str">
        <f t="shared" si="16"/>
        <v/>
      </c>
      <c r="CK49" s="156">
        <f t="shared" si="17"/>
        <v>2</v>
      </c>
      <c r="CL49" s="156">
        <f t="shared" si="18"/>
        <v>2</v>
      </c>
      <c r="CM49" s="156">
        <f t="shared" si="19"/>
        <v>2</v>
      </c>
      <c r="CN49" s="156">
        <f t="shared" si="20"/>
        <v>2</v>
      </c>
      <c r="CO49" s="156">
        <f t="shared" si="21"/>
        <v>2</v>
      </c>
      <c r="CP49" s="156">
        <f t="shared" si="22"/>
        <v>2</v>
      </c>
      <c r="CQ49" s="156">
        <f t="shared" si="23"/>
        <v>2</v>
      </c>
      <c r="CR49" s="156">
        <f t="shared" si="24"/>
        <v>2</v>
      </c>
      <c r="CS49" s="156">
        <f t="shared" si="25"/>
        <v>2</v>
      </c>
      <c r="CT49" s="156">
        <f t="shared" si="53"/>
        <v>2</v>
      </c>
      <c r="CU49" s="156">
        <f t="shared" si="54"/>
        <v>2</v>
      </c>
      <c r="CV49" s="156">
        <f t="shared" si="55"/>
        <v>2</v>
      </c>
      <c r="CW49" s="156">
        <f t="shared" si="29"/>
        <v>2</v>
      </c>
      <c r="CX49" s="156">
        <f t="shared" si="30"/>
        <v>1</v>
      </c>
      <c r="CY49" s="156">
        <f t="shared" si="31"/>
        <v>2</v>
      </c>
      <c r="CZ49" s="321">
        <f t="shared" si="35"/>
        <v>9</v>
      </c>
      <c r="DA49" s="321">
        <f t="shared" si="36"/>
        <v>1</v>
      </c>
      <c r="DB49" s="321">
        <f t="shared" si="37"/>
        <v>1</v>
      </c>
    </row>
    <row r="50" spans="1:106" s="321" customFormat="1" x14ac:dyDescent="0.25">
      <c r="A50" s="382">
        <v>182</v>
      </c>
      <c r="B50" s="334">
        <v>42037</v>
      </c>
      <c r="C50" s="321">
        <v>1082266</v>
      </c>
      <c r="D50" s="321" t="s">
        <v>290</v>
      </c>
      <c r="E50" s="321" t="str">
        <f t="shared" si="39"/>
        <v/>
      </c>
      <c r="F50" s="321" t="str">
        <f t="shared" si="40"/>
        <v xml:space="preserve">COE, 2x2, </v>
      </c>
      <c r="G50" s="317" t="s">
        <v>473</v>
      </c>
      <c r="H50" s="317"/>
      <c r="I50" s="317"/>
      <c r="J50" s="317"/>
      <c r="K50" s="152" t="str">
        <f t="shared" ca="1" si="48"/>
        <v/>
      </c>
      <c r="L50" s="317"/>
      <c r="M50" s="334">
        <v>42062</v>
      </c>
      <c r="N50" s="153" t="str">
        <f t="shared" si="2"/>
        <v/>
      </c>
      <c r="O50" s="317" t="s">
        <v>302</v>
      </c>
      <c r="P50" s="317"/>
      <c r="Q50" s="321" t="s">
        <v>263</v>
      </c>
      <c r="R50" s="321">
        <v>9156147270</v>
      </c>
      <c r="S50" s="156">
        <f t="shared" si="8"/>
        <v>9156147270</v>
      </c>
      <c r="T50" s="156" t="str">
        <f t="shared" si="3"/>
        <v/>
      </c>
      <c r="U50" s="317" t="s">
        <v>427</v>
      </c>
      <c r="V50" s="321" t="s">
        <v>262</v>
      </c>
      <c r="W50" s="321" t="s">
        <v>260</v>
      </c>
      <c r="X50" s="321" t="s">
        <v>261</v>
      </c>
      <c r="Y50" s="321" t="s">
        <v>73</v>
      </c>
      <c r="Z50" s="321" t="s">
        <v>74</v>
      </c>
      <c r="AA50" s="321" t="str">
        <f t="shared" si="46"/>
        <v>Php 17,000</v>
      </c>
      <c r="AC50" s="321" t="str">
        <f t="shared" si="47"/>
        <v>Php 1,000</v>
      </c>
      <c r="AD50" s="321" t="str">
        <f t="shared" si="42"/>
        <v>Php 4,000</v>
      </c>
      <c r="AE50" s="377" t="str">
        <f t="shared" si="43"/>
        <v/>
      </c>
      <c r="AF50" s="317" t="str">
        <f t="shared" si="44"/>
        <v/>
      </c>
      <c r="AG50" s="317"/>
      <c r="AH50" s="320" t="s">
        <v>52</v>
      </c>
      <c r="AI50" s="321" t="s">
        <v>264</v>
      </c>
      <c r="AJ50" s="156"/>
      <c r="AL50" s="321" t="s">
        <v>265</v>
      </c>
      <c r="AM50" s="321" t="s">
        <v>248</v>
      </c>
      <c r="AN50" s="334">
        <v>31114</v>
      </c>
      <c r="AO50" s="321" t="s">
        <v>972</v>
      </c>
      <c r="AP50" s="321" t="s">
        <v>972</v>
      </c>
      <c r="AQ50" s="321" t="s">
        <v>50</v>
      </c>
      <c r="AR50" s="321" t="s">
        <v>973</v>
      </c>
      <c r="AS50" s="332">
        <v>42053</v>
      </c>
      <c r="AT50" s="318">
        <v>42045</v>
      </c>
      <c r="AU50" s="318">
        <v>42045</v>
      </c>
      <c r="AV50" s="329">
        <v>42039</v>
      </c>
      <c r="AW50" s="332">
        <v>42053</v>
      </c>
      <c r="AX50" s="316" t="s">
        <v>971</v>
      </c>
      <c r="AY50" s="317"/>
      <c r="AZ50" s="318">
        <v>42053</v>
      </c>
      <c r="BA50" s="318">
        <v>42038</v>
      </c>
      <c r="BB50" s="326"/>
      <c r="BC50" s="332">
        <v>42045</v>
      </c>
      <c r="BD50" s="327" t="s">
        <v>694</v>
      </c>
      <c r="BE50" s="332">
        <v>42045</v>
      </c>
      <c r="BF50" s="326" t="s">
        <v>695</v>
      </c>
      <c r="BG50" s="332">
        <v>42053</v>
      </c>
      <c r="BH50" s="316" t="s">
        <v>2780</v>
      </c>
      <c r="BI50" s="329">
        <v>42053</v>
      </c>
      <c r="BJ50" s="332">
        <v>42053</v>
      </c>
      <c r="BK50" s="317"/>
      <c r="BL50" s="326"/>
      <c r="BM50" s="332">
        <v>42045</v>
      </c>
      <c r="BN50" s="317"/>
      <c r="BO50" s="326"/>
      <c r="BP50" s="337"/>
      <c r="BQ50" s="318">
        <v>42045</v>
      </c>
      <c r="BR50" s="326"/>
      <c r="BS50" s="332">
        <v>42038</v>
      </c>
      <c r="BT50" s="318">
        <v>42038</v>
      </c>
      <c r="BU50" s="329">
        <v>42038</v>
      </c>
      <c r="BV50" s="329"/>
      <c r="BW50" s="275" t="str">
        <f t="shared" si="9"/>
        <v xml:space="preserve">1905 2/18/2015, 2305 2/3/2015, MDR 2/18/2015, </v>
      </c>
      <c r="BX50" s="275">
        <f t="shared" si="45"/>
        <v>11</v>
      </c>
      <c r="BY50" s="275">
        <f t="shared" si="5"/>
        <v>11</v>
      </c>
      <c r="BZ50" s="277">
        <f t="shared" si="6"/>
        <v>1</v>
      </c>
      <c r="CA50" s="156" t="str">
        <f t="shared" si="41"/>
        <v/>
      </c>
      <c r="CB50" s="155" t="str">
        <f t="shared" si="38"/>
        <v/>
      </c>
      <c r="CC50" s="156" t="str">
        <f t="shared" ca="1" si="33"/>
        <v/>
      </c>
      <c r="CD50" s="156" t="str">
        <f t="shared" si="49"/>
        <v/>
      </c>
      <c r="CE50" s="156" t="str">
        <f t="shared" si="50"/>
        <v/>
      </c>
      <c r="CF50" s="495" t="str">
        <f t="shared" si="13"/>
        <v/>
      </c>
      <c r="CG50" s="496" t="str">
        <f t="shared" si="51"/>
        <v/>
      </c>
      <c r="CH50" s="156" t="str">
        <f t="shared" si="52"/>
        <v/>
      </c>
      <c r="CI50" s="155" t="str">
        <f t="shared" si="34"/>
        <v/>
      </c>
      <c r="CJ50" s="155" t="str">
        <f t="shared" si="16"/>
        <v/>
      </c>
      <c r="CK50" s="156">
        <f t="shared" si="17"/>
        <v>3</v>
      </c>
      <c r="CL50" s="156">
        <f t="shared" si="18"/>
        <v>3</v>
      </c>
      <c r="CM50" s="156">
        <f t="shared" si="19"/>
        <v>3</v>
      </c>
      <c r="CN50" s="156">
        <f t="shared" si="20"/>
        <v>3</v>
      </c>
      <c r="CO50" s="156">
        <f t="shared" si="21"/>
        <v>3</v>
      </c>
      <c r="CP50" s="156">
        <f t="shared" si="22"/>
        <v>3</v>
      </c>
      <c r="CQ50" s="156">
        <f t="shared" si="23"/>
        <v>3</v>
      </c>
      <c r="CR50" s="156">
        <f t="shared" si="24"/>
        <v>3</v>
      </c>
      <c r="CS50" s="156">
        <f t="shared" si="25"/>
        <v>3</v>
      </c>
      <c r="CT50" s="156">
        <f t="shared" si="53"/>
        <v>3</v>
      </c>
      <c r="CU50" s="156">
        <f t="shared" si="54"/>
        <v>3</v>
      </c>
      <c r="CV50" s="156">
        <f t="shared" si="55"/>
        <v>3</v>
      </c>
      <c r="CW50" s="156">
        <f t="shared" si="29"/>
        <v>3</v>
      </c>
      <c r="CX50" s="156">
        <f t="shared" si="30"/>
        <v>1</v>
      </c>
      <c r="CY50" s="156">
        <f t="shared" si="31"/>
        <v>3</v>
      </c>
      <c r="CZ50" s="321">
        <f t="shared" si="35"/>
        <v>25</v>
      </c>
      <c r="DA50" s="321">
        <f t="shared" si="36"/>
        <v>1</v>
      </c>
      <c r="DB50" s="321">
        <f t="shared" si="37"/>
        <v>1</v>
      </c>
    </row>
    <row r="51" spans="1:106" s="8" customFormat="1" x14ac:dyDescent="0.25">
      <c r="A51" s="133">
        <v>182</v>
      </c>
      <c r="B51" s="20">
        <v>42037</v>
      </c>
      <c r="C51" s="8">
        <v>1082267</v>
      </c>
      <c r="D51" s="8" t="s">
        <v>464</v>
      </c>
      <c r="E51" s="8" t="str">
        <f t="shared" si="39"/>
        <v/>
      </c>
      <c r="F51" s="8" t="str">
        <f t="shared" si="40"/>
        <v/>
      </c>
      <c r="G51" s="113" t="s">
        <v>473</v>
      </c>
      <c r="H51" s="113"/>
      <c r="I51" s="113"/>
      <c r="J51" s="113"/>
      <c r="K51" s="152" t="str">
        <f t="shared" ca="1" si="48"/>
        <v/>
      </c>
      <c r="L51" s="113"/>
      <c r="N51" s="153" t="str">
        <f t="shared" si="2"/>
        <v/>
      </c>
      <c r="O51" s="113" t="s">
        <v>298</v>
      </c>
      <c r="P51" s="113" t="s">
        <v>689</v>
      </c>
      <c r="Q51" s="8" t="s">
        <v>268</v>
      </c>
      <c r="R51" s="8">
        <v>9179479553</v>
      </c>
      <c r="S51" s="156">
        <f t="shared" si="8"/>
        <v>9179479553</v>
      </c>
      <c r="T51" s="156" t="str">
        <f t="shared" si="3"/>
        <v/>
      </c>
      <c r="U51" s="113" t="s">
        <v>428</v>
      </c>
      <c r="V51" s="8" t="s">
        <v>267</v>
      </c>
      <c r="W51" s="8" t="s">
        <v>482</v>
      </c>
      <c r="X51" s="8" t="s">
        <v>266</v>
      </c>
      <c r="Y51" s="8" t="s">
        <v>73</v>
      </c>
      <c r="Z51" s="8" t="s">
        <v>74</v>
      </c>
      <c r="AA51" s="8" t="str">
        <f t="shared" si="46"/>
        <v>Php 17,000</v>
      </c>
      <c r="AC51" s="8" t="str">
        <f t="shared" si="47"/>
        <v>Php 1,000</v>
      </c>
      <c r="AD51" s="8" t="str">
        <f t="shared" si="42"/>
        <v>Php 4,000</v>
      </c>
      <c r="AE51" s="121" t="str">
        <f t="shared" si="43"/>
        <v/>
      </c>
      <c r="AF51" s="113" t="str">
        <f t="shared" si="44"/>
        <v/>
      </c>
      <c r="AG51" s="113"/>
      <c r="AH51" s="157" t="s">
        <v>52</v>
      </c>
      <c r="AI51" s="8" t="s">
        <v>338</v>
      </c>
      <c r="AJ51" s="156" t="s">
        <v>1131</v>
      </c>
      <c r="AL51" s="8" t="s">
        <v>265</v>
      </c>
      <c r="AM51" s="8" t="s">
        <v>248</v>
      </c>
      <c r="AN51" s="20">
        <v>32543</v>
      </c>
      <c r="AO51" s="8" t="s">
        <v>477</v>
      </c>
      <c r="AP51" s="8" t="s">
        <v>477</v>
      </c>
      <c r="AQ51" s="8" t="s">
        <v>53</v>
      </c>
      <c r="AR51" s="8" t="s">
        <v>378</v>
      </c>
      <c r="AS51" s="187">
        <v>42039</v>
      </c>
      <c r="AT51" s="129">
        <v>42039</v>
      </c>
      <c r="AU51" s="129">
        <v>42039</v>
      </c>
      <c r="AV51" s="177">
        <v>42039</v>
      </c>
      <c r="AW51" s="187">
        <v>42038</v>
      </c>
      <c r="AX51" s="11" t="s">
        <v>382</v>
      </c>
      <c r="AY51" s="113"/>
      <c r="AZ51" s="129"/>
      <c r="BA51" s="129">
        <v>42038</v>
      </c>
      <c r="BB51" s="182"/>
      <c r="BC51" s="187">
        <v>42038</v>
      </c>
      <c r="BD51" s="184" t="s">
        <v>461</v>
      </c>
      <c r="BE51" s="187">
        <v>42040</v>
      </c>
      <c r="BF51" s="182" t="s">
        <v>492</v>
      </c>
      <c r="BG51" s="187">
        <v>42039</v>
      </c>
      <c r="BH51" s="251" t="s">
        <v>1119</v>
      </c>
      <c r="BI51" s="177">
        <v>42039</v>
      </c>
      <c r="BJ51" s="165"/>
      <c r="BK51" s="113"/>
      <c r="BL51" s="182"/>
      <c r="BM51" s="187">
        <v>42038</v>
      </c>
      <c r="BN51" s="129"/>
      <c r="BO51" s="177">
        <v>42038</v>
      </c>
      <c r="BP51" s="187">
        <v>42039</v>
      </c>
      <c r="BQ51" s="129">
        <v>42038</v>
      </c>
      <c r="BR51" s="182"/>
      <c r="BS51" s="187">
        <v>42038</v>
      </c>
      <c r="BT51" s="129">
        <v>42038</v>
      </c>
      <c r="BU51" s="177">
        <v>42038</v>
      </c>
      <c r="BV51" s="177"/>
      <c r="BW51" s="275" t="str">
        <f t="shared" si="9"/>
        <v xml:space="preserve">2305 (for processing) 2/3/2015, MDR 2/4/2015, </v>
      </c>
      <c r="BX51" s="275" t="str">
        <f t="shared" si="45"/>
        <v/>
      </c>
      <c r="BY51" s="275" t="str">
        <f t="shared" si="5"/>
        <v/>
      </c>
      <c r="BZ51" s="277" t="str">
        <f t="shared" si="6"/>
        <v/>
      </c>
      <c r="CA51" s="156" t="str">
        <f t="shared" si="41"/>
        <v/>
      </c>
      <c r="CB51" s="155" t="str">
        <f t="shared" si="38"/>
        <v/>
      </c>
      <c r="CC51" s="156" t="str">
        <f t="shared" ca="1" si="33"/>
        <v/>
      </c>
      <c r="CD51" s="156" t="str">
        <f t="shared" si="49"/>
        <v/>
      </c>
      <c r="CE51" s="156" t="str">
        <f t="shared" si="50"/>
        <v/>
      </c>
      <c r="CF51" s="495" t="str">
        <f t="shared" si="13"/>
        <v/>
      </c>
      <c r="CG51" s="496" t="str">
        <f t="shared" si="51"/>
        <v/>
      </c>
      <c r="CH51" s="156" t="str">
        <f t="shared" si="52"/>
        <v/>
      </c>
      <c r="CI51" s="155" t="str">
        <f t="shared" si="34"/>
        <v/>
      </c>
      <c r="CJ51" s="155" t="str">
        <f t="shared" si="16"/>
        <v/>
      </c>
      <c r="CK51" s="156">
        <f t="shared" si="17"/>
        <v>3</v>
      </c>
      <c r="CL51" s="156">
        <f t="shared" si="18"/>
        <v>3</v>
      </c>
      <c r="CM51" s="156">
        <f t="shared" si="19"/>
        <v>3</v>
      </c>
      <c r="CN51" s="156">
        <f t="shared" si="20"/>
        <v>3</v>
      </c>
      <c r="CO51" s="156">
        <f t="shared" si="21"/>
        <v>3</v>
      </c>
      <c r="CP51" s="156">
        <f t="shared" si="22"/>
        <v>3</v>
      </c>
      <c r="CQ51" s="156">
        <f t="shared" si="23"/>
        <v>3</v>
      </c>
      <c r="CR51" s="156">
        <f t="shared" si="24"/>
        <v>3</v>
      </c>
      <c r="CS51" s="156">
        <f t="shared" si="25"/>
        <v>3</v>
      </c>
      <c r="CT51" s="156">
        <f t="shared" si="53"/>
        <v>3</v>
      </c>
      <c r="CU51" s="156">
        <f t="shared" si="54"/>
        <v>3</v>
      </c>
      <c r="CV51" s="156">
        <f t="shared" si="55"/>
        <v>3</v>
      </c>
      <c r="CW51" s="156">
        <f t="shared" si="29"/>
        <v>3</v>
      </c>
      <c r="CX51" s="156">
        <f t="shared" si="30"/>
        <v>2</v>
      </c>
      <c r="CY51" s="156">
        <f t="shared" si="31"/>
        <v>3</v>
      </c>
      <c r="CZ51" s="8" t="str">
        <f t="shared" si="35"/>
        <v/>
      </c>
      <c r="DA51" s="8">
        <f t="shared" si="36"/>
        <v>0</v>
      </c>
      <c r="DB51" s="8">
        <f t="shared" si="37"/>
        <v>0</v>
      </c>
    </row>
    <row r="52" spans="1:106" s="8" customFormat="1" x14ac:dyDescent="0.25">
      <c r="A52" s="133">
        <v>182</v>
      </c>
      <c r="B52" s="20">
        <v>42037</v>
      </c>
      <c r="C52" s="8">
        <v>1082268</v>
      </c>
      <c r="D52" s="8" t="s">
        <v>291</v>
      </c>
      <c r="E52" s="8" t="str">
        <f t="shared" si="39"/>
        <v/>
      </c>
      <c r="F52" s="8" t="str">
        <f t="shared" si="40"/>
        <v/>
      </c>
      <c r="G52" s="113" t="s">
        <v>473</v>
      </c>
      <c r="H52" s="113"/>
      <c r="I52" s="113"/>
      <c r="J52" s="113"/>
      <c r="K52" s="152" t="str">
        <f t="shared" ca="1" si="48"/>
        <v/>
      </c>
      <c r="L52" s="113"/>
      <c r="N52" s="153" t="str">
        <f t="shared" si="2"/>
        <v/>
      </c>
      <c r="O52" s="113" t="s">
        <v>298</v>
      </c>
      <c r="P52" s="113" t="s">
        <v>689</v>
      </c>
      <c r="Q52" s="8" t="s">
        <v>272</v>
      </c>
      <c r="R52" s="8">
        <v>9081302710</v>
      </c>
      <c r="S52" s="156">
        <f t="shared" si="8"/>
        <v>9081302710</v>
      </c>
      <c r="T52" s="156" t="str">
        <f t="shared" si="3"/>
        <v/>
      </c>
      <c r="U52" s="113" t="s">
        <v>429</v>
      </c>
      <c r="V52" s="8" t="s">
        <v>271</v>
      </c>
      <c r="W52" s="8" t="s">
        <v>269</v>
      </c>
      <c r="X52" s="8" t="s">
        <v>270</v>
      </c>
      <c r="Y52" s="8" t="s">
        <v>73</v>
      </c>
      <c r="Z52" s="8" t="s">
        <v>74</v>
      </c>
      <c r="AA52" s="8" t="str">
        <f t="shared" si="46"/>
        <v>Php 17,000</v>
      </c>
      <c r="AC52" s="8" t="str">
        <f t="shared" si="47"/>
        <v>Php 1,000</v>
      </c>
      <c r="AD52" s="8" t="str">
        <f t="shared" si="42"/>
        <v>Php 4,000</v>
      </c>
      <c r="AE52" s="121" t="str">
        <f t="shared" si="43"/>
        <v/>
      </c>
      <c r="AF52" s="113" t="str">
        <f t="shared" si="44"/>
        <v/>
      </c>
      <c r="AG52" s="113"/>
      <c r="AH52" s="157" t="s">
        <v>52</v>
      </c>
      <c r="AI52" s="8" t="s">
        <v>338</v>
      </c>
      <c r="AJ52" s="156" t="s">
        <v>1132</v>
      </c>
      <c r="AL52" s="8" t="s">
        <v>265</v>
      </c>
      <c r="AM52" s="8" t="s">
        <v>248</v>
      </c>
      <c r="AN52" s="20">
        <v>32452</v>
      </c>
      <c r="AO52" s="8" t="s">
        <v>997</v>
      </c>
      <c r="AQ52" s="8" t="s">
        <v>53</v>
      </c>
      <c r="AS52" s="165"/>
      <c r="AT52" s="113"/>
      <c r="AU52" s="113"/>
      <c r="AV52" s="177">
        <v>42039</v>
      </c>
      <c r="AW52" s="187"/>
      <c r="AX52" s="11" t="s">
        <v>49</v>
      </c>
      <c r="AY52" s="113"/>
      <c r="AZ52" s="113" t="s">
        <v>485</v>
      </c>
      <c r="BA52" s="129">
        <v>42038</v>
      </c>
      <c r="BB52" s="182"/>
      <c r="BC52" s="165"/>
      <c r="BD52" s="184" t="s">
        <v>49</v>
      </c>
      <c r="BE52" s="165"/>
      <c r="BF52" s="182"/>
      <c r="BG52" s="165"/>
      <c r="BH52" s="11" t="s">
        <v>49</v>
      </c>
      <c r="BI52" s="182"/>
      <c r="BJ52" s="165"/>
      <c r="BK52" s="113"/>
      <c r="BL52" s="182"/>
      <c r="BM52" s="165"/>
      <c r="BN52" s="113"/>
      <c r="BO52" s="182"/>
      <c r="BP52" s="165"/>
      <c r="BQ52" s="113"/>
      <c r="BR52" s="182"/>
      <c r="BS52" s="187">
        <v>42038</v>
      </c>
      <c r="BT52" s="129">
        <v>42038</v>
      </c>
      <c r="BU52" s="177">
        <v>42038</v>
      </c>
      <c r="BV52" s="177"/>
      <c r="BW52" s="275" t="s">
        <v>494</v>
      </c>
      <c r="BX52" s="275" t="str">
        <f t="shared" si="45"/>
        <v/>
      </c>
      <c r="BY52" s="275" t="str">
        <f t="shared" si="5"/>
        <v/>
      </c>
      <c r="BZ52" s="277" t="str">
        <f t="shared" si="6"/>
        <v/>
      </c>
      <c r="CA52" s="156" t="str">
        <f t="shared" si="41"/>
        <v/>
      </c>
      <c r="CB52" s="155" t="str">
        <f t="shared" si="38"/>
        <v/>
      </c>
      <c r="CC52" s="156" t="str">
        <f t="shared" ca="1" si="33"/>
        <v/>
      </c>
      <c r="CD52" s="156" t="str">
        <f t="shared" si="49"/>
        <v/>
      </c>
      <c r="CE52" s="156" t="str">
        <f t="shared" si="50"/>
        <v/>
      </c>
      <c r="CF52" s="495" t="str">
        <f t="shared" si="13"/>
        <v/>
      </c>
      <c r="CG52" s="496" t="str">
        <f t="shared" si="51"/>
        <v/>
      </c>
      <c r="CH52" s="156" t="str">
        <f t="shared" si="52"/>
        <v/>
      </c>
      <c r="CI52" s="155" t="str">
        <f t="shared" si="34"/>
        <v/>
      </c>
      <c r="CJ52" s="155" t="str">
        <f t="shared" si="16"/>
        <v/>
      </c>
      <c r="CK52" s="156">
        <f t="shared" si="17"/>
        <v>3</v>
      </c>
      <c r="CL52" s="156">
        <f t="shared" si="18"/>
        <v>3</v>
      </c>
      <c r="CM52" s="156">
        <f t="shared" si="19"/>
        <v>3</v>
      </c>
      <c r="CN52" s="156">
        <f t="shared" si="20"/>
        <v>3</v>
      </c>
      <c r="CO52" s="156">
        <f t="shared" si="21"/>
        <v>3</v>
      </c>
      <c r="CP52" s="156">
        <f t="shared" si="22"/>
        <v>3</v>
      </c>
      <c r="CQ52" s="156">
        <f t="shared" si="23"/>
        <v>3</v>
      </c>
      <c r="CR52" s="156">
        <f t="shared" si="24"/>
        <v>3</v>
      </c>
      <c r="CS52" s="156">
        <f t="shared" si="25"/>
        <v>3</v>
      </c>
      <c r="CT52" s="156">
        <f t="shared" si="53"/>
        <v>3</v>
      </c>
      <c r="CU52" s="156">
        <f t="shared" si="54"/>
        <v>3</v>
      </c>
      <c r="CV52" s="156">
        <f t="shared" si="55"/>
        <v>3</v>
      </c>
      <c r="CW52" s="156">
        <f t="shared" si="29"/>
        <v>3</v>
      </c>
      <c r="CX52" s="156">
        <f t="shared" si="30"/>
        <v>3</v>
      </c>
      <c r="CY52" s="156">
        <f t="shared" si="31"/>
        <v>3</v>
      </c>
      <c r="CZ52" s="8" t="str">
        <f t="shared" si="35"/>
        <v/>
      </c>
      <c r="DA52" s="8">
        <f t="shared" si="36"/>
        <v>0</v>
      </c>
      <c r="DB52" s="8">
        <f t="shared" si="37"/>
        <v>0</v>
      </c>
    </row>
    <row r="53" spans="1:106" s="321" customFormat="1" x14ac:dyDescent="0.25">
      <c r="A53" s="382">
        <v>182</v>
      </c>
      <c r="B53" s="334">
        <v>42037</v>
      </c>
      <c r="C53" s="321">
        <v>1082269</v>
      </c>
      <c r="D53" s="321" t="s">
        <v>292</v>
      </c>
      <c r="E53" s="321" t="str">
        <f t="shared" si="39"/>
        <v/>
      </c>
      <c r="F53" s="321" t="str">
        <f t="shared" si="40"/>
        <v xml:space="preserve">MDR, TOR, 2x2, </v>
      </c>
      <c r="G53" s="317" t="s">
        <v>473</v>
      </c>
      <c r="H53" s="317"/>
      <c r="I53" s="317"/>
      <c r="J53" s="317"/>
      <c r="K53" s="152" t="str">
        <f t="shared" ca="1" si="48"/>
        <v/>
      </c>
      <c r="L53" s="317"/>
      <c r="M53" s="334">
        <v>42046</v>
      </c>
      <c r="N53" s="153" t="str">
        <f t="shared" si="2"/>
        <v/>
      </c>
      <c r="O53" s="317" t="s">
        <v>302</v>
      </c>
      <c r="P53" s="317"/>
      <c r="Q53" s="321" t="s">
        <v>276</v>
      </c>
      <c r="R53" s="321">
        <v>9278149348</v>
      </c>
      <c r="S53" s="156">
        <f t="shared" si="8"/>
        <v>9278149348</v>
      </c>
      <c r="T53" s="156" t="str">
        <f t="shared" si="3"/>
        <v/>
      </c>
      <c r="U53" s="317" t="s">
        <v>430</v>
      </c>
      <c r="V53" s="321" t="s">
        <v>275</v>
      </c>
      <c r="W53" s="321" t="s">
        <v>273</v>
      </c>
      <c r="X53" s="321" t="s">
        <v>274</v>
      </c>
      <c r="Y53" s="321" t="s">
        <v>73</v>
      </c>
      <c r="Z53" s="321" t="s">
        <v>74</v>
      </c>
      <c r="AA53" s="321" t="str">
        <f t="shared" si="46"/>
        <v>Php 17,000</v>
      </c>
      <c r="AC53" s="321" t="str">
        <f t="shared" si="47"/>
        <v>Php 1,000</v>
      </c>
      <c r="AD53" s="321" t="str">
        <f t="shared" si="42"/>
        <v>Php 4,000</v>
      </c>
      <c r="AE53" s="377" t="str">
        <f t="shared" si="43"/>
        <v/>
      </c>
      <c r="AF53" s="317" t="str">
        <f t="shared" si="44"/>
        <v/>
      </c>
      <c r="AG53" s="317"/>
      <c r="AH53" s="320" t="s">
        <v>52</v>
      </c>
      <c r="AI53" s="321" t="s">
        <v>253</v>
      </c>
      <c r="AJ53" s="156"/>
      <c r="AL53" s="321" t="s">
        <v>247</v>
      </c>
      <c r="AM53" s="321" t="s">
        <v>248</v>
      </c>
      <c r="AN53" s="334">
        <v>32569</v>
      </c>
      <c r="AO53" s="321" t="s">
        <v>493</v>
      </c>
      <c r="AP53" s="321" t="s">
        <v>493</v>
      </c>
      <c r="AQ53" s="321" t="s">
        <v>50</v>
      </c>
      <c r="AR53" s="321" t="s">
        <v>495</v>
      </c>
      <c r="AS53" s="332">
        <v>42040</v>
      </c>
      <c r="AT53" s="318">
        <v>42038</v>
      </c>
      <c r="AU53" s="318">
        <v>42038</v>
      </c>
      <c r="AV53" s="329">
        <v>42039</v>
      </c>
      <c r="AW53" s="332">
        <v>42045</v>
      </c>
      <c r="AX53" s="316" t="s">
        <v>693</v>
      </c>
      <c r="AY53" s="317"/>
      <c r="AZ53" s="318">
        <v>42045</v>
      </c>
      <c r="BA53" s="318">
        <v>42038</v>
      </c>
      <c r="BB53" s="329">
        <v>42109</v>
      </c>
      <c r="BC53" s="332">
        <v>42038</v>
      </c>
      <c r="BD53" s="327" t="s">
        <v>462</v>
      </c>
      <c r="BE53" s="332">
        <v>42052</v>
      </c>
      <c r="BF53" s="326" t="s">
        <v>925</v>
      </c>
      <c r="BG53" s="332">
        <v>42038</v>
      </c>
      <c r="BH53" s="316" t="s">
        <v>381</v>
      </c>
      <c r="BI53" s="326"/>
      <c r="BJ53" s="332">
        <v>42052</v>
      </c>
      <c r="BK53" s="317"/>
      <c r="BL53" s="326"/>
      <c r="BM53" s="332">
        <v>42040</v>
      </c>
      <c r="BN53" s="318">
        <v>42040</v>
      </c>
      <c r="BO53" s="329">
        <v>42040</v>
      </c>
      <c r="BP53" s="337"/>
      <c r="BQ53" s="317"/>
      <c r="BR53" s="329">
        <v>42109</v>
      </c>
      <c r="BS53" s="332">
        <v>42038</v>
      </c>
      <c r="BT53" s="318">
        <v>42038</v>
      </c>
      <c r="BU53" s="329">
        <v>42038</v>
      </c>
      <c r="BV53" s="329"/>
      <c r="BW53" s="275" t="str">
        <f>IF(AZ53&gt;3,"1905 ","")&amp;IF(AND(M53="",AZ53&gt;3)=TRUE,"(for processing) ","")&amp;IF(AZ53&lt;4,"",MONTH(AZ53)&amp;"/"&amp;DAY(AZ53)&amp;"/"&amp;YEAR(AZ53)&amp;", ")&amp;IF(BA53&gt;3,"2305 ","")&amp;IF(AND(M53="",BA53&gt;3)=TRUE,"(for processing) ","")&amp;IF(BA53&lt;4,"",MONTH(BA53)&amp;"/"&amp;DAY(BA53)&amp;"/"&amp;YEAR(BA53)&amp;", ")&amp;IF(BI53&gt;0,"MDR ","")&amp;IF(BI53=0,"",MONTH(BI53)&amp;"/"&amp;DAY(BI53)&amp;"/"&amp;YEAR(BI53)&amp;", ")&amp;IF(BK53&gt;0,"NBI receipt "&amp;MONTH(BK53)&amp;"/"&amp;DAY(BK53)&amp;"/"&amp;YEAR(BK53)&amp;", ","") &amp;BV53&amp;IF(BB53&gt;0,"2316 ","")&amp;IF(BB53=0,"",MONTH(BB53)&amp;"/"&amp;DAY(BB53)&amp;"/"&amp;YEAR(BB53)&amp;", ")</f>
        <v xml:space="preserve">1905 2/10/2015, 2305 2/3/2015, 2316 4/15/2015, </v>
      </c>
      <c r="BX53" s="275">
        <f t="shared" si="45"/>
        <v>11</v>
      </c>
      <c r="BY53" s="275">
        <f t="shared" si="5"/>
        <v>11</v>
      </c>
      <c r="BZ53" s="277">
        <f t="shared" si="6"/>
        <v>1</v>
      </c>
      <c r="CA53" s="156" t="str">
        <f t="shared" si="41"/>
        <v/>
      </c>
      <c r="CB53" s="155" t="str">
        <f t="shared" si="38"/>
        <v/>
      </c>
      <c r="CC53" s="156" t="str">
        <f t="shared" ca="1" si="33"/>
        <v/>
      </c>
      <c r="CD53" s="156" t="str">
        <f t="shared" si="49"/>
        <v/>
      </c>
      <c r="CE53" s="156" t="str">
        <f t="shared" si="50"/>
        <v/>
      </c>
      <c r="CF53" s="495" t="str">
        <f t="shared" si="13"/>
        <v/>
      </c>
      <c r="CG53" s="496" t="str">
        <f t="shared" si="51"/>
        <v/>
      </c>
      <c r="CH53" s="156" t="str">
        <f t="shared" si="52"/>
        <v/>
      </c>
      <c r="CI53" s="155" t="str">
        <f t="shared" si="34"/>
        <v/>
      </c>
      <c r="CJ53" s="155" t="str">
        <f t="shared" si="16"/>
        <v/>
      </c>
      <c r="CK53" s="156">
        <f t="shared" si="17"/>
        <v>4</v>
      </c>
      <c r="CL53" s="156">
        <f t="shared" si="18"/>
        <v>4</v>
      </c>
      <c r="CM53" s="156">
        <f t="shared" si="19"/>
        <v>4</v>
      </c>
      <c r="CN53" s="156">
        <f t="shared" si="20"/>
        <v>4</v>
      </c>
      <c r="CO53" s="156">
        <f t="shared" si="21"/>
        <v>4</v>
      </c>
      <c r="CP53" s="156">
        <f t="shared" si="22"/>
        <v>4</v>
      </c>
      <c r="CQ53" s="156">
        <f t="shared" si="23"/>
        <v>4</v>
      </c>
      <c r="CR53" s="156">
        <f t="shared" si="24"/>
        <v>4</v>
      </c>
      <c r="CS53" s="156">
        <f t="shared" si="25"/>
        <v>4</v>
      </c>
      <c r="CT53" s="156">
        <f t="shared" si="53"/>
        <v>4</v>
      </c>
      <c r="CU53" s="156">
        <f t="shared" si="54"/>
        <v>4</v>
      </c>
      <c r="CV53" s="156">
        <f t="shared" si="55"/>
        <v>4</v>
      </c>
      <c r="CW53" s="156">
        <f t="shared" si="29"/>
        <v>4</v>
      </c>
      <c r="CX53" s="156">
        <f t="shared" si="30"/>
        <v>3</v>
      </c>
      <c r="CY53" s="156">
        <f t="shared" si="31"/>
        <v>4</v>
      </c>
      <c r="CZ53" s="321">
        <f t="shared" si="35"/>
        <v>9</v>
      </c>
      <c r="DA53" s="321">
        <f t="shared" si="36"/>
        <v>1</v>
      </c>
      <c r="DB53" s="321">
        <f t="shared" si="37"/>
        <v>1</v>
      </c>
    </row>
    <row r="54" spans="1:106" s="8" customFormat="1" x14ac:dyDescent="0.25">
      <c r="A54" s="133">
        <v>182</v>
      </c>
      <c r="B54" s="20">
        <v>42037</v>
      </c>
      <c r="C54" s="8">
        <v>1082270</v>
      </c>
      <c r="D54" s="8" t="s">
        <v>293</v>
      </c>
      <c r="E54" s="8" t="str">
        <f t="shared" si="39"/>
        <v/>
      </c>
      <c r="F54" s="8" t="str">
        <f t="shared" si="40"/>
        <v/>
      </c>
      <c r="G54" s="113" t="s">
        <v>473</v>
      </c>
      <c r="H54" s="113"/>
      <c r="I54" s="113"/>
      <c r="J54" s="113"/>
      <c r="K54" s="152" t="str">
        <f t="shared" ca="1" si="48"/>
        <v/>
      </c>
      <c r="L54" s="113"/>
      <c r="N54" s="153" t="str">
        <f t="shared" si="2"/>
        <v/>
      </c>
      <c r="O54" s="113" t="s">
        <v>298</v>
      </c>
      <c r="P54" s="113" t="s">
        <v>689</v>
      </c>
      <c r="Q54" s="8" t="s">
        <v>280</v>
      </c>
      <c r="R54" s="8">
        <v>9339335589</v>
      </c>
      <c r="S54" s="156">
        <f t="shared" si="8"/>
        <v>9339335589</v>
      </c>
      <c r="T54" s="156" t="str">
        <f t="shared" si="3"/>
        <v/>
      </c>
      <c r="U54" s="113" t="s">
        <v>431</v>
      </c>
      <c r="V54" s="8" t="s">
        <v>279</v>
      </c>
      <c r="W54" s="8" t="s">
        <v>277</v>
      </c>
      <c r="X54" s="8" t="s">
        <v>278</v>
      </c>
      <c r="Y54" s="8" t="s">
        <v>73</v>
      </c>
      <c r="Z54" s="8" t="s">
        <v>70</v>
      </c>
      <c r="AA54" s="8" t="str">
        <f t="shared" si="46"/>
        <v>Php 16,000</v>
      </c>
      <c r="AC54" s="8" t="str">
        <f t="shared" si="47"/>
        <v>Php 1,000</v>
      </c>
      <c r="AD54" s="8" t="str">
        <f t="shared" si="42"/>
        <v>Php 3,000</v>
      </c>
      <c r="AE54" s="121" t="str">
        <f t="shared" si="43"/>
        <v/>
      </c>
      <c r="AF54" s="113" t="str">
        <f t="shared" si="44"/>
        <v/>
      </c>
      <c r="AG54" s="113"/>
      <c r="AH54" s="157" t="s">
        <v>52</v>
      </c>
      <c r="AI54" s="8" t="s">
        <v>281</v>
      </c>
      <c r="AJ54" s="156"/>
      <c r="AL54" s="8" t="s">
        <v>282</v>
      </c>
      <c r="AM54" s="8" t="s">
        <v>248</v>
      </c>
      <c r="AN54" s="20">
        <v>33261</v>
      </c>
      <c r="AO54" s="8" t="s">
        <v>998</v>
      </c>
      <c r="AQ54" s="8" t="s">
        <v>50</v>
      </c>
      <c r="AS54" s="165"/>
      <c r="AT54" s="129">
        <v>42039</v>
      </c>
      <c r="AU54" s="129">
        <v>42039</v>
      </c>
      <c r="AV54" s="177">
        <v>42039</v>
      </c>
      <c r="AW54" s="187">
        <v>42039</v>
      </c>
      <c r="AX54" s="11" t="s">
        <v>467</v>
      </c>
      <c r="AY54" s="113"/>
      <c r="AZ54" s="113"/>
      <c r="BA54" s="129">
        <v>42038</v>
      </c>
      <c r="BB54" s="182"/>
      <c r="BC54" s="187">
        <v>42039</v>
      </c>
      <c r="BD54" s="184" t="s">
        <v>469</v>
      </c>
      <c r="BE54" s="165"/>
      <c r="BF54" s="182"/>
      <c r="BG54" s="187">
        <v>42039</v>
      </c>
      <c r="BH54" s="11" t="s">
        <v>468</v>
      </c>
      <c r="BI54" s="182"/>
      <c r="BJ54" s="165"/>
      <c r="BK54" s="113"/>
      <c r="BL54" s="182"/>
      <c r="BM54" s="187">
        <v>42039</v>
      </c>
      <c r="BN54" s="113"/>
      <c r="BO54" s="182"/>
      <c r="BP54" s="165"/>
      <c r="BQ54" s="113"/>
      <c r="BR54" s="182"/>
      <c r="BS54" s="187">
        <v>42038</v>
      </c>
      <c r="BT54" s="129">
        <v>42038</v>
      </c>
      <c r="BU54" s="177">
        <v>42038</v>
      </c>
      <c r="BV54" s="177"/>
      <c r="BW54" s="275" t="str">
        <f>IF(AZ54&gt;3,"1905 ","")&amp;IF(AND(M54="",AZ54&gt;3)=TRUE,"(for processing) ","")&amp;IF(AZ54&lt;4,"",MONTH(AZ54)&amp;"/"&amp;DAY(AZ54)&amp;"/"&amp;YEAR(AZ54)&amp;", ")&amp;IF(BA54&gt;3,"2305 ","")&amp;IF(AND(M54="",BA54&gt;3)=TRUE,"(for processing) ","")&amp;IF(BA54&lt;4,"",MONTH(BA54)&amp;"/"&amp;DAY(BA54)&amp;"/"&amp;YEAR(BA54)&amp;", ")&amp;IF(BI54&gt;0,"MDR ","")&amp;IF(BI54=0,"",MONTH(BI54)&amp;"/"&amp;DAY(BI54)&amp;"/"&amp;YEAR(BI54)&amp;", ")&amp;IF(BK54&gt;0,"NBI receipt "&amp;MONTH(BK54)&amp;"/"&amp;DAY(BK54)&amp;"/"&amp;YEAR(BK54)&amp;", ","") &amp;BV54&amp;IF(BB54&gt;0,"2316 ","")&amp;IF(BB54=0,"",MONTH(BB54)&amp;"/"&amp;DAY(BB54)&amp;"/"&amp;YEAR(BB54)&amp;", ")</f>
        <v xml:space="preserve">2305 (for processing) 2/3/2015, </v>
      </c>
      <c r="BX54" s="275" t="str">
        <f t="shared" si="45"/>
        <v/>
      </c>
      <c r="BY54" s="275" t="str">
        <f t="shared" si="5"/>
        <v/>
      </c>
      <c r="BZ54" s="277" t="str">
        <f t="shared" si="6"/>
        <v/>
      </c>
      <c r="CA54" s="156" t="str">
        <f t="shared" si="41"/>
        <v/>
      </c>
      <c r="CB54" s="155" t="str">
        <f t="shared" si="38"/>
        <v/>
      </c>
      <c r="CC54" s="156" t="str">
        <f t="shared" ca="1" si="33"/>
        <v/>
      </c>
      <c r="CD54" s="156" t="str">
        <f t="shared" si="49"/>
        <v/>
      </c>
      <c r="CE54" s="156" t="str">
        <f t="shared" si="50"/>
        <v/>
      </c>
      <c r="CF54" s="495" t="str">
        <f t="shared" si="13"/>
        <v/>
      </c>
      <c r="CG54" s="496" t="str">
        <f t="shared" si="51"/>
        <v/>
      </c>
      <c r="CH54" s="156" t="str">
        <f t="shared" si="52"/>
        <v/>
      </c>
      <c r="CI54" s="155" t="str">
        <f t="shared" si="34"/>
        <v/>
      </c>
      <c r="CJ54" s="155" t="str">
        <f t="shared" si="16"/>
        <v/>
      </c>
      <c r="CK54" s="156">
        <f t="shared" si="17"/>
        <v>4</v>
      </c>
      <c r="CL54" s="156">
        <f t="shared" si="18"/>
        <v>4</v>
      </c>
      <c r="CM54" s="156">
        <f t="shared" si="19"/>
        <v>4</v>
      </c>
      <c r="CN54" s="156">
        <f t="shared" si="20"/>
        <v>4</v>
      </c>
      <c r="CO54" s="156">
        <f t="shared" si="21"/>
        <v>4</v>
      </c>
      <c r="CP54" s="156">
        <f t="shared" si="22"/>
        <v>4</v>
      </c>
      <c r="CQ54" s="156">
        <f t="shared" si="23"/>
        <v>4</v>
      </c>
      <c r="CR54" s="156">
        <f t="shared" si="24"/>
        <v>4</v>
      </c>
      <c r="CS54" s="156">
        <f t="shared" si="25"/>
        <v>4</v>
      </c>
      <c r="CT54" s="156">
        <f t="shared" si="53"/>
        <v>4</v>
      </c>
      <c r="CU54" s="156">
        <f t="shared" si="54"/>
        <v>4</v>
      </c>
      <c r="CV54" s="156">
        <f t="shared" si="55"/>
        <v>4</v>
      </c>
      <c r="CW54" s="156">
        <f t="shared" si="29"/>
        <v>4</v>
      </c>
      <c r="CX54" s="156">
        <f t="shared" si="30"/>
        <v>4</v>
      </c>
      <c r="CY54" s="156">
        <f t="shared" si="31"/>
        <v>4</v>
      </c>
      <c r="CZ54" s="8" t="str">
        <f t="shared" si="35"/>
        <v/>
      </c>
      <c r="DA54" s="8">
        <f t="shared" si="36"/>
        <v>0</v>
      </c>
      <c r="DB54" s="8">
        <f t="shared" si="37"/>
        <v>0</v>
      </c>
    </row>
    <row r="55" spans="1:106" s="213" customFormat="1" ht="15.75" thickBot="1" x14ac:dyDescent="0.3">
      <c r="A55" s="225">
        <v>182</v>
      </c>
      <c r="B55" s="220">
        <v>42037</v>
      </c>
      <c r="C55" s="213">
        <v>1082271</v>
      </c>
      <c r="D55" s="213" t="s">
        <v>294</v>
      </c>
      <c r="E55" s="213" t="str">
        <f t="shared" si="39"/>
        <v/>
      </c>
      <c r="F55" s="213" t="str">
        <f t="shared" si="40"/>
        <v/>
      </c>
      <c r="G55" s="213" t="s">
        <v>473</v>
      </c>
      <c r="K55" s="491" t="str">
        <f t="shared" ca="1" si="48"/>
        <v/>
      </c>
      <c r="N55" s="487" t="str">
        <f t="shared" si="2"/>
        <v/>
      </c>
      <c r="O55" s="213" t="s">
        <v>298</v>
      </c>
      <c r="P55" s="213" t="s">
        <v>689</v>
      </c>
      <c r="Q55" s="213" t="s">
        <v>286</v>
      </c>
      <c r="R55" s="213">
        <v>9178746540</v>
      </c>
      <c r="S55" s="487">
        <f t="shared" si="8"/>
        <v>9178746540</v>
      </c>
      <c r="T55" s="487" t="str">
        <f t="shared" si="3"/>
        <v/>
      </c>
      <c r="U55" s="213" t="s">
        <v>432</v>
      </c>
      <c r="V55" s="213" t="s">
        <v>285</v>
      </c>
      <c r="W55" s="213" t="s">
        <v>283</v>
      </c>
      <c r="X55" s="213" t="s">
        <v>284</v>
      </c>
      <c r="Y55" s="213" t="s">
        <v>73</v>
      </c>
      <c r="Z55" s="213" t="s">
        <v>70</v>
      </c>
      <c r="AA55" s="213" t="str">
        <f t="shared" si="46"/>
        <v>Php 16,000</v>
      </c>
      <c r="AC55" s="213" t="str">
        <f t="shared" si="47"/>
        <v>Php 1,000</v>
      </c>
      <c r="AD55" s="213" t="str">
        <f t="shared" si="42"/>
        <v>Php 3,000</v>
      </c>
      <c r="AE55" s="226" t="str">
        <f t="shared" si="43"/>
        <v/>
      </c>
      <c r="AF55" s="213" t="str">
        <f t="shared" si="44"/>
        <v/>
      </c>
      <c r="AH55" s="216" t="s">
        <v>52</v>
      </c>
      <c r="AI55" s="213" t="s">
        <v>253</v>
      </c>
      <c r="AJ55" s="487"/>
      <c r="AL55" s="213" t="s">
        <v>265</v>
      </c>
      <c r="AM55" s="213" t="s">
        <v>248</v>
      </c>
      <c r="AN55" s="220">
        <v>29307</v>
      </c>
      <c r="AO55" s="213" t="s">
        <v>528</v>
      </c>
      <c r="AP55" s="213" t="s">
        <v>528</v>
      </c>
      <c r="AQ55" s="213" t="s">
        <v>50</v>
      </c>
      <c r="AR55" s="213" t="s">
        <v>378</v>
      </c>
      <c r="AS55" s="224">
        <v>42041</v>
      </c>
      <c r="AT55" s="220">
        <v>42041</v>
      </c>
      <c r="AU55" s="220">
        <v>42041</v>
      </c>
      <c r="AV55" s="223">
        <v>42039</v>
      </c>
      <c r="AW55" s="224"/>
      <c r="AX55" s="210" t="s">
        <v>49</v>
      </c>
      <c r="BA55" s="220">
        <v>42039</v>
      </c>
      <c r="BB55" s="221"/>
      <c r="BC55" s="224">
        <v>42041</v>
      </c>
      <c r="BD55" s="222" t="s">
        <v>526</v>
      </c>
      <c r="BE55" s="224">
        <v>42041</v>
      </c>
      <c r="BF55" s="221" t="s">
        <v>527</v>
      </c>
      <c r="BG55" s="224">
        <v>42041</v>
      </c>
      <c r="BH55" s="210" t="s">
        <v>525</v>
      </c>
      <c r="BI55" s="221"/>
      <c r="BJ55" s="227"/>
      <c r="BL55" s="221"/>
      <c r="BM55" s="224">
        <v>42041</v>
      </c>
      <c r="BO55" s="221"/>
      <c r="BP55" s="224">
        <v>42041</v>
      </c>
      <c r="BQ55" s="220">
        <v>42041</v>
      </c>
      <c r="BR55" s="223">
        <v>42041</v>
      </c>
      <c r="BS55" s="224">
        <v>42039</v>
      </c>
      <c r="BT55" s="220">
        <v>42039</v>
      </c>
      <c r="BU55" s="223">
        <v>42039</v>
      </c>
      <c r="BV55" s="223"/>
      <c r="BW55" s="518" t="str">
        <f>IF(AZ55&gt;3,"1905 ","")&amp;IF(AND(M55="",AZ55&gt;3)=TRUE,"(for processing) ","")&amp;IF(AZ55&lt;4,"",MONTH(AZ55)&amp;"/"&amp;DAY(AZ55)&amp;"/"&amp;YEAR(AZ55)&amp;", ")&amp;IF(BA55&gt;3,"2305 ","")&amp;IF(AND(M55="",BA55&gt;3)=TRUE,"(for processing) ","")&amp;IF(BA55&lt;4,"",MONTH(BA55)&amp;"/"&amp;DAY(BA55)&amp;"/"&amp;YEAR(BA55)&amp;", ")&amp;IF(BI55&gt;0,"MDR ","")&amp;IF(BI55=0,"",MONTH(BI55)&amp;"/"&amp;DAY(BI55)&amp;"/"&amp;YEAR(BI55)&amp;", ")&amp;IF(BK55&gt;0,"NBI receipt "&amp;MONTH(BK55)&amp;"/"&amp;DAY(BK55)&amp;"/"&amp;YEAR(BK55)&amp;", ","") &amp;BV55&amp;IF(BB55&gt;0,"2316 ","")&amp;IF(BB55=0,"",MONTH(BB55)&amp;"/"&amp;DAY(BB55)&amp;"/"&amp;YEAR(BB55)&amp;", ")</f>
        <v xml:space="preserve">2305 (for processing) 2/4/2015, </v>
      </c>
      <c r="BX55" s="518" t="str">
        <f t="shared" si="45"/>
        <v/>
      </c>
      <c r="BY55" s="518" t="str">
        <f t="shared" si="5"/>
        <v/>
      </c>
      <c r="BZ55" s="519" t="str">
        <f t="shared" si="6"/>
        <v/>
      </c>
      <c r="CA55" s="487">
        <f t="shared" si="41"/>
        <v>182</v>
      </c>
      <c r="CB55" s="503">
        <f t="shared" si="38"/>
        <v>42037</v>
      </c>
      <c r="CC55" s="487">
        <f t="shared" ca="1" si="33"/>
        <v>16</v>
      </c>
      <c r="CD55" s="487">
        <f t="shared" si="49"/>
        <v>4</v>
      </c>
      <c r="CE55" s="487">
        <f t="shared" si="50"/>
        <v>4</v>
      </c>
      <c r="CF55" s="504">
        <f t="shared" si="13"/>
        <v>0</v>
      </c>
      <c r="CG55" s="505">
        <f t="shared" si="51"/>
        <v>1</v>
      </c>
      <c r="CH55" s="487" t="str">
        <f t="shared" si="52"/>
        <v/>
      </c>
      <c r="CI55" s="503" t="str">
        <f t="shared" si="34"/>
        <v/>
      </c>
      <c r="CJ55" s="503" t="str">
        <f t="shared" si="16"/>
        <v/>
      </c>
      <c r="CK55" s="487">
        <f t="shared" si="17"/>
        <v>4</v>
      </c>
      <c r="CL55" s="487">
        <f t="shared" si="18"/>
        <v>4</v>
      </c>
      <c r="CM55" s="487">
        <f t="shared" si="19"/>
        <v>4</v>
      </c>
      <c r="CN55" s="487">
        <f t="shared" si="20"/>
        <v>4</v>
      </c>
      <c r="CO55" s="487">
        <f t="shared" si="21"/>
        <v>4</v>
      </c>
      <c r="CP55" s="487">
        <f t="shared" si="22"/>
        <v>4</v>
      </c>
      <c r="CQ55" s="487">
        <f t="shared" si="23"/>
        <v>4</v>
      </c>
      <c r="CR55" s="487">
        <f t="shared" si="24"/>
        <v>4</v>
      </c>
      <c r="CS55" s="487">
        <f t="shared" si="25"/>
        <v>4</v>
      </c>
      <c r="CT55" s="487">
        <f t="shared" si="53"/>
        <v>4</v>
      </c>
      <c r="CU55" s="487">
        <f t="shared" si="54"/>
        <v>4</v>
      </c>
      <c r="CV55" s="487">
        <f t="shared" si="55"/>
        <v>4</v>
      </c>
      <c r="CW55" s="487">
        <f t="shared" si="29"/>
        <v>4</v>
      </c>
      <c r="CX55" s="487">
        <f t="shared" si="30"/>
        <v>5</v>
      </c>
      <c r="CY55" s="487">
        <f t="shared" si="31"/>
        <v>4</v>
      </c>
      <c r="CZ55" s="213" t="str">
        <f t="shared" si="35"/>
        <v/>
      </c>
      <c r="DA55" s="213">
        <f t="shared" si="36"/>
        <v>0</v>
      </c>
      <c r="DB55" s="213">
        <f t="shared" si="37"/>
        <v>0</v>
      </c>
    </row>
    <row r="56" spans="1:106" s="317" customFormat="1" ht="15.75" thickTop="1" x14ac:dyDescent="0.25">
      <c r="A56" s="384">
        <v>183</v>
      </c>
      <c r="B56" s="318">
        <v>42044</v>
      </c>
      <c r="C56" s="317">
        <v>1082272</v>
      </c>
      <c r="D56" s="317" t="s">
        <v>658</v>
      </c>
      <c r="E56" s="317" t="str">
        <f t="shared" si="39"/>
        <v/>
      </c>
      <c r="F56" s="317" t="str">
        <f t="shared" si="40"/>
        <v/>
      </c>
      <c r="G56" s="317" t="s">
        <v>475</v>
      </c>
      <c r="K56" s="152" t="str">
        <f t="shared" ca="1" si="48"/>
        <v/>
      </c>
      <c r="M56" s="318">
        <v>42062</v>
      </c>
      <c r="N56" s="153" t="str">
        <f t="shared" si="2"/>
        <v/>
      </c>
      <c r="O56" s="317" t="s">
        <v>302</v>
      </c>
      <c r="Q56" s="317" t="s">
        <v>548</v>
      </c>
      <c r="R56" s="317">
        <v>9237402087</v>
      </c>
      <c r="S56" s="153">
        <f t="shared" si="8"/>
        <v>9237402087</v>
      </c>
      <c r="T56" s="153" t="str">
        <f t="shared" si="3"/>
        <v/>
      </c>
      <c r="U56" s="317" t="s">
        <v>745</v>
      </c>
      <c r="V56" s="317" t="s">
        <v>547</v>
      </c>
      <c r="W56" s="317" t="s">
        <v>545</v>
      </c>
      <c r="X56" s="317" t="s">
        <v>546</v>
      </c>
      <c r="Y56" s="317" t="s">
        <v>549</v>
      </c>
      <c r="Z56" s="317" t="s">
        <v>74</v>
      </c>
      <c r="AA56" s="317" t="s">
        <v>1037</v>
      </c>
      <c r="AC56" s="317" t="str">
        <f t="shared" si="47"/>
        <v>Php 1,000</v>
      </c>
      <c r="AD56" s="317" t="str">
        <f t="shared" si="42"/>
        <v>Php 4,000</v>
      </c>
      <c r="AE56" s="377" t="str">
        <f t="shared" si="43"/>
        <v/>
      </c>
      <c r="AF56" s="317" t="str">
        <f t="shared" si="44"/>
        <v/>
      </c>
      <c r="AH56" s="317" t="s">
        <v>52</v>
      </c>
      <c r="AI56" s="317" t="s">
        <v>253</v>
      </c>
      <c r="AJ56" s="153"/>
      <c r="AL56" s="317" t="s">
        <v>265</v>
      </c>
      <c r="AM56" s="317" t="s">
        <v>248</v>
      </c>
      <c r="AN56" s="318">
        <v>30476</v>
      </c>
      <c r="AO56" s="317" t="s">
        <v>832</v>
      </c>
      <c r="AP56" s="317" t="s">
        <v>832</v>
      </c>
      <c r="AQ56" s="317" t="s">
        <v>53</v>
      </c>
      <c r="AR56" s="317" t="s">
        <v>378</v>
      </c>
      <c r="AS56" s="332">
        <v>42048</v>
      </c>
      <c r="AT56" s="318">
        <v>42048</v>
      </c>
      <c r="AU56" s="318">
        <v>42048</v>
      </c>
      <c r="AV56" s="329">
        <v>42046</v>
      </c>
      <c r="AW56" s="332">
        <v>42059</v>
      </c>
      <c r="AX56" s="317" t="s">
        <v>1061</v>
      </c>
      <c r="AZ56" s="318">
        <v>42059</v>
      </c>
      <c r="BA56" s="318">
        <v>42044</v>
      </c>
      <c r="BB56" s="326"/>
      <c r="BC56" s="332">
        <v>42059</v>
      </c>
      <c r="BD56" s="326" t="s">
        <v>1062</v>
      </c>
      <c r="BE56" s="332">
        <v>42060</v>
      </c>
      <c r="BF56" s="326" t="s">
        <v>1085</v>
      </c>
      <c r="BG56" s="332">
        <v>42060</v>
      </c>
      <c r="BH56" s="385" t="s">
        <v>1086</v>
      </c>
      <c r="BI56" s="329">
        <v>42060</v>
      </c>
      <c r="BJ56" s="332">
        <v>42048</v>
      </c>
      <c r="BL56" s="326"/>
      <c r="BM56" s="332">
        <v>42059</v>
      </c>
      <c r="BO56" s="326"/>
      <c r="BP56" s="332">
        <v>42048</v>
      </c>
      <c r="BQ56" s="318">
        <v>42059</v>
      </c>
      <c r="BR56" s="329">
        <v>42059</v>
      </c>
      <c r="BS56" s="332">
        <v>42045</v>
      </c>
      <c r="BT56" s="318">
        <v>42045</v>
      </c>
      <c r="BU56" s="329">
        <v>42045</v>
      </c>
      <c r="BV56" s="329"/>
      <c r="BW56" s="275" t="str">
        <f>IF(AZ56&gt;3,"1905 ","")&amp;IF(AND(M56="",AZ56&gt;3)=TRUE,"(for processing) ","")&amp;IF(AZ56&lt;4,"",MONTH(AZ56)&amp;"/"&amp;DAY(AZ56)&amp;"/"&amp;YEAR(AZ56)&amp;", ")&amp;IF(BA56&gt;3,"2305 ","")&amp;IF(AND(M56="",BA56&gt;3)=TRUE,"(for processing) ","")&amp;IF(BA56&lt;4,"",MONTH(BA56)&amp;"/"&amp;DAY(BA56)&amp;"/"&amp;YEAR(BA56)&amp;", ")&amp;IF(BI56&gt;0,"MDR ","")&amp;IF(BI56=0,"",MONTH(BI56)&amp;"/"&amp;DAY(BI56)&amp;"/"&amp;YEAR(BI56)&amp;", ")&amp;IF(BK56&gt;0,"NBI receipt "&amp;MONTH(BK56)&amp;"/"&amp;DAY(BK56)&amp;"/"&amp;YEAR(BK56)&amp;", ","") &amp;BV56&amp;IF(BB56&gt;0,"2316 ","")&amp;IF(BB56=0,"",MONTH(BB56)&amp;"/"&amp;DAY(BB56)&amp;"/"&amp;YEAR(BB56)&amp;", ")</f>
        <v xml:space="preserve">1905 2/24/2015, 2305 2/9/2015, MDR 2/25/2015, </v>
      </c>
      <c r="BX56" s="275">
        <f t="shared" si="45"/>
        <v>11</v>
      </c>
      <c r="BY56" s="275">
        <f t="shared" si="5"/>
        <v>11</v>
      </c>
      <c r="BZ56" s="277">
        <f t="shared" si="6"/>
        <v>1</v>
      </c>
      <c r="CA56" s="153" t="str">
        <f t="shared" si="41"/>
        <v/>
      </c>
      <c r="CB56" s="151" t="str">
        <f t="shared" si="38"/>
        <v/>
      </c>
      <c r="CC56" s="153" t="str">
        <f t="shared" ca="1" si="33"/>
        <v/>
      </c>
      <c r="CD56" s="153" t="str">
        <f t="shared" si="49"/>
        <v/>
      </c>
      <c r="CE56" s="153" t="str">
        <f t="shared" si="50"/>
        <v/>
      </c>
      <c r="CF56" s="396" t="str">
        <f t="shared" si="13"/>
        <v/>
      </c>
      <c r="CG56" s="397" t="str">
        <f t="shared" si="51"/>
        <v/>
      </c>
      <c r="CH56" s="153" t="str">
        <f t="shared" si="52"/>
        <v/>
      </c>
      <c r="CI56" s="151" t="str">
        <f t="shared" si="34"/>
        <v/>
      </c>
      <c r="CJ56" s="151" t="str">
        <f t="shared" si="16"/>
        <v/>
      </c>
      <c r="CK56" s="153">
        <f t="shared" si="17"/>
        <v>1</v>
      </c>
      <c r="CL56" s="153">
        <f t="shared" si="18"/>
        <v>1</v>
      </c>
      <c r="CM56" s="153">
        <f t="shared" si="19"/>
        <v>1</v>
      </c>
      <c r="CN56" s="153">
        <f t="shared" si="20"/>
        <v>1</v>
      </c>
      <c r="CO56" s="153">
        <f t="shared" si="21"/>
        <v>1</v>
      </c>
      <c r="CP56" s="153">
        <f t="shared" si="22"/>
        <v>1</v>
      </c>
      <c r="CQ56" s="153">
        <f t="shared" si="23"/>
        <v>1</v>
      </c>
      <c r="CR56" s="153">
        <f t="shared" si="24"/>
        <v>1</v>
      </c>
      <c r="CS56" s="153">
        <f t="shared" si="25"/>
        <v>1</v>
      </c>
      <c r="CT56" s="153">
        <f t="shared" si="53"/>
        <v>1</v>
      </c>
      <c r="CU56" s="153">
        <f t="shared" si="54"/>
        <v>1</v>
      </c>
      <c r="CV56" s="153">
        <f t="shared" si="55"/>
        <v>1</v>
      </c>
      <c r="CW56" s="153">
        <f t="shared" si="29"/>
        <v>1</v>
      </c>
      <c r="CX56" s="153">
        <f t="shared" si="30"/>
        <v>0</v>
      </c>
      <c r="CY56" s="153">
        <f t="shared" si="31"/>
        <v>1</v>
      </c>
      <c r="CZ56" s="317">
        <f t="shared" si="35"/>
        <v>18</v>
      </c>
      <c r="DA56" s="317">
        <f t="shared" si="36"/>
        <v>1</v>
      </c>
      <c r="DB56" s="317">
        <f t="shared" si="37"/>
        <v>1</v>
      </c>
    </row>
    <row r="57" spans="1:106" s="321" customFormat="1" x14ac:dyDescent="0.25">
      <c r="A57" s="384">
        <v>183</v>
      </c>
      <c r="B57" s="318">
        <v>42044</v>
      </c>
      <c r="C57" s="317">
        <v>1082273</v>
      </c>
      <c r="D57" s="321" t="s">
        <v>659</v>
      </c>
      <c r="E57" s="321" t="str">
        <f t="shared" si="39"/>
        <v/>
      </c>
      <c r="F57" s="321" t="str">
        <f t="shared" si="40"/>
        <v xml:space="preserve">COE, </v>
      </c>
      <c r="G57" s="317" t="s">
        <v>475</v>
      </c>
      <c r="H57" s="317"/>
      <c r="I57" s="317"/>
      <c r="J57" s="317"/>
      <c r="K57" s="152" t="str">
        <f t="shared" ca="1" si="48"/>
        <v/>
      </c>
      <c r="L57" s="317"/>
      <c r="M57" s="334">
        <v>42062</v>
      </c>
      <c r="N57" s="156" t="str">
        <f t="shared" si="2"/>
        <v/>
      </c>
      <c r="O57" s="321" t="s">
        <v>302</v>
      </c>
      <c r="Q57" s="321" t="s">
        <v>553</v>
      </c>
      <c r="R57" s="321">
        <v>9985347344</v>
      </c>
      <c r="S57" s="156">
        <f t="shared" si="8"/>
        <v>9985347344</v>
      </c>
      <c r="T57" s="156" t="str">
        <f t="shared" si="3"/>
        <v/>
      </c>
      <c r="U57" s="321" t="s">
        <v>746</v>
      </c>
      <c r="V57" s="321" t="s">
        <v>552</v>
      </c>
      <c r="W57" s="321" t="s">
        <v>550</v>
      </c>
      <c r="X57" s="321" t="s">
        <v>551</v>
      </c>
      <c r="Y57" s="321" t="s">
        <v>73</v>
      </c>
      <c r="Z57" s="321" t="s">
        <v>74</v>
      </c>
      <c r="AA57" s="321" t="str">
        <f t="shared" ref="AA57:AA63" si="56">IF(Z57="N/A","",IF(OR(Z57="Level 1",Z57="Level 0"),"Php 16,000","Php 17,000"))</f>
        <v>Php 17,000</v>
      </c>
      <c r="AC57" s="321" t="str">
        <f t="shared" si="47"/>
        <v>Php 1,000</v>
      </c>
      <c r="AD57" s="321" t="str">
        <f t="shared" si="42"/>
        <v>Php 4,000</v>
      </c>
      <c r="AE57" s="377" t="str">
        <f t="shared" si="43"/>
        <v/>
      </c>
      <c r="AF57" s="317" t="str">
        <f t="shared" si="44"/>
        <v/>
      </c>
      <c r="AG57" s="317"/>
      <c r="AH57" s="317" t="s">
        <v>52</v>
      </c>
      <c r="AI57" s="321" t="s">
        <v>253</v>
      </c>
      <c r="AJ57" s="156"/>
      <c r="AL57" s="321" t="s">
        <v>265</v>
      </c>
      <c r="AM57" s="321" t="s">
        <v>248</v>
      </c>
      <c r="AN57" s="334">
        <v>31859</v>
      </c>
      <c r="AO57" s="321" t="s">
        <v>999</v>
      </c>
      <c r="AQ57" s="321" t="s">
        <v>53</v>
      </c>
      <c r="AR57" s="321" t="s">
        <v>378</v>
      </c>
      <c r="AS57" s="332">
        <v>42054</v>
      </c>
      <c r="AT57" s="318">
        <v>42047</v>
      </c>
      <c r="AU57" s="318">
        <v>42047</v>
      </c>
      <c r="AV57" s="329">
        <v>42046</v>
      </c>
      <c r="AW57" s="332">
        <v>42062</v>
      </c>
      <c r="AX57" s="317" t="s">
        <v>974</v>
      </c>
      <c r="AY57" s="317"/>
      <c r="AZ57" s="317">
        <v>1</v>
      </c>
      <c r="BA57" s="318">
        <v>42044</v>
      </c>
      <c r="BB57" s="326"/>
      <c r="BC57" s="332">
        <v>42061</v>
      </c>
      <c r="BD57" s="326" t="s">
        <v>1111</v>
      </c>
      <c r="BE57" s="332">
        <v>42062</v>
      </c>
      <c r="BF57" s="326" t="s">
        <v>1121</v>
      </c>
      <c r="BG57" s="332">
        <v>42061</v>
      </c>
      <c r="BH57" s="385" t="s">
        <v>1112</v>
      </c>
      <c r="BI57" s="329">
        <v>42061</v>
      </c>
      <c r="BJ57" s="332">
        <v>42048</v>
      </c>
      <c r="BK57" s="317"/>
      <c r="BL57" s="326"/>
      <c r="BM57" s="332">
        <v>42054</v>
      </c>
      <c r="BN57" s="317"/>
      <c r="BO57" s="326"/>
      <c r="BP57" s="332">
        <v>42054</v>
      </c>
      <c r="BQ57" s="318">
        <v>42047</v>
      </c>
      <c r="BR57" s="326"/>
      <c r="BS57" s="332">
        <v>42045</v>
      </c>
      <c r="BT57" s="318">
        <v>42045</v>
      </c>
      <c r="BU57" s="329">
        <v>42045</v>
      </c>
      <c r="BV57" s="329"/>
      <c r="BW57" s="275" t="str">
        <f t="shared" ref="BW57:BW88" si="57">IF(AZ57&gt;3,"1905 ","")&amp;IF(AND(M57="",AZ57&gt;3)=TRUE,"(for processing) ","")&amp;IF(AZ57&lt;4,"",MONTH(AZ57)&amp;"/"&amp;DAY(AZ57)&amp;"/"&amp;YEAR(AZ57)&amp;", ")&amp;IF(BA57&gt;3,"2305 ","")&amp;IF(AND(M57="",BA57&gt;3)=TRUE,"(for processing) ","")&amp;IF(BA57&lt;4,"",MONTH(BA57)&amp;"/"&amp;DAY(BA57)&amp;"/"&amp;YEAR(BA57)&amp;", ")&amp;IF(BI57&gt;0,"MDR ","")&amp;IF(BI57=0,"",MONTH(BI57)&amp;"/"&amp;DAY(BI57)&amp;"/"&amp;YEAR(BI57)&amp;", ")&amp;IF(BK57&gt;0,"NBI receipt "&amp;MONTH(BK57)&amp;"/"&amp;DAY(BK57)&amp;"/"&amp;YEAR(BK57)&amp;", ","") &amp;BV57</f>
        <v xml:space="preserve">2305 2/9/2015, MDR 2/26/2015, </v>
      </c>
      <c r="BX57" s="275">
        <f t="shared" si="45"/>
        <v>11</v>
      </c>
      <c r="BY57" s="275">
        <f t="shared" si="5"/>
        <v>11</v>
      </c>
      <c r="BZ57" s="277">
        <f t="shared" si="6"/>
        <v>1</v>
      </c>
      <c r="CA57" s="156" t="str">
        <f t="shared" si="41"/>
        <v/>
      </c>
      <c r="CB57" s="155" t="str">
        <f t="shared" si="38"/>
        <v/>
      </c>
      <c r="CC57" s="156" t="str">
        <f t="shared" ca="1" si="33"/>
        <v/>
      </c>
      <c r="CD57" s="156" t="str">
        <f t="shared" si="49"/>
        <v/>
      </c>
      <c r="CE57" s="156" t="str">
        <f t="shared" si="50"/>
        <v/>
      </c>
      <c r="CF57" s="495" t="str">
        <f t="shared" si="13"/>
        <v/>
      </c>
      <c r="CG57" s="496" t="str">
        <f t="shared" si="51"/>
        <v/>
      </c>
      <c r="CH57" s="156" t="str">
        <f t="shared" si="52"/>
        <v/>
      </c>
      <c r="CI57" s="155" t="str">
        <f t="shared" si="34"/>
        <v/>
      </c>
      <c r="CJ57" s="155" t="str">
        <f t="shared" si="16"/>
        <v/>
      </c>
      <c r="CK57" s="156">
        <f t="shared" si="17"/>
        <v>2</v>
      </c>
      <c r="CL57" s="156">
        <f t="shared" si="18"/>
        <v>2</v>
      </c>
      <c r="CM57" s="156">
        <f t="shared" si="19"/>
        <v>2</v>
      </c>
      <c r="CN57" s="156">
        <f t="shared" si="20"/>
        <v>2</v>
      </c>
      <c r="CO57" s="156">
        <f t="shared" si="21"/>
        <v>2</v>
      </c>
      <c r="CP57" s="156">
        <f t="shared" si="22"/>
        <v>2</v>
      </c>
      <c r="CQ57" s="156">
        <f t="shared" si="23"/>
        <v>2</v>
      </c>
      <c r="CR57" s="156">
        <f t="shared" si="24"/>
        <v>2</v>
      </c>
      <c r="CS57" s="156">
        <f t="shared" si="25"/>
        <v>2</v>
      </c>
      <c r="CT57" s="156">
        <f t="shared" si="53"/>
        <v>2</v>
      </c>
      <c r="CU57" s="156">
        <f t="shared" si="54"/>
        <v>2</v>
      </c>
      <c r="CV57" s="156">
        <f t="shared" si="55"/>
        <v>2</v>
      </c>
      <c r="CW57" s="156">
        <f t="shared" si="29"/>
        <v>2</v>
      </c>
      <c r="CX57" s="156">
        <f t="shared" si="30"/>
        <v>0</v>
      </c>
      <c r="CY57" s="156">
        <f t="shared" si="31"/>
        <v>2</v>
      </c>
      <c r="CZ57" s="321">
        <f t="shared" si="35"/>
        <v>18</v>
      </c>
      <c r="DA57" s="321">
        <f t="shared" si="36"/>
        <v>1</v>
      </c>
      <c r="DB57" s="321">
        <f t="shared" si="37"/>
        <v>1</v>
      </c>
    </row>
    <row r="58" spans="1:106" s="8" customFormat="1" x14ac:dyDescent="0.25">
      <c r="A58" s="132">
        <v>183</v>
      </c>
      <c r="B58" s="129">
        <v>42044</v>
      </c>
      <c r="C58" s="113">
        <v>1082274</v>
      </c>
      <c r="D58" s="8" t="s">
        <v>660</v>
      </c>
      <c r="E58" s="8" t="str">
        <f t="shared" si="39"/>
        <v/>
      </c>
      <c r="F58" s="8" t="str">
        <f t="shared" si="40"/>
        <v/>
      </c>
      <c r="G58" s="113" t="s">
        <v>475</v>
      </c>
      <c r="H58" s="113"/>
      <c r="I58" s="113"/>
      <c r="J58" s="113"/>
      <c r="K58" s="152" t="str">
        <f t="shared" ca="1" si="48"/>
        <v/>
      </c>
      <c r="L58" s="113"/>
      <c r="N58" s="156" t="str">
        <f t="shared" si="2"/>
        <v/>
      </c>
      <c r="O58" s="8" t="s">
        <v>298</v>
      </c>
      <c r="P58" s="113" t="s">
        <v>689</v>
      </c>
      <c r="Q58" s="8" t="s">
        <v>557</v>
      </c>
      <c r="R58" s="8">
        <v>9428011625</v>
      </c>
      <c r="S58" s="156">
        <f t="shared" si="8"/>
        <v>9428011625</v>
      </c>
      <c r="T58" s="156" t="str">
        <f t="shared" si="3"/>
        <v/>
      </c>
      <c r="U58" s="8" t="s">
        <v>747</v>
      </c>
      <c r="V58" s="8" t="s">
        <v>556</v>
      </c>
      <c r="W58" s="8" t="s">
        <v>554</v>
      </c>
      <c r="X58" s="8" t="s">
        <v>555</v>
      </c>
      <c r="Y58" s="8" t="s">
        <v>73</v>
      </c>
      <c r="Z58" s="8" t="s">
        <v>74</v>
      </c>
      <c r="AA58" s="8" t="str">
        <f t="shared" si="56"/>
        <v>Php 17,000</v>
      </c>
      <c r="AC58" s="8" t="str">
        <f t="shared" si="47"/>
        <v>Php 1,000</v>
      </c>
      <c r="AD58" s="8" t="str">
        <f t="shared" si="42"/>
        <v>Php 4,000</v>
      </c>
      <c r="AE58" s="121" t="str">
        <f t="shared" si="43"/>
        <v/>
      </c>
      <c r="AF58" s="113" t="str">
        <f t="shared" si="44"/>
        <v/>
      </c>
      <c r="AG58" s="113"/>
      <c r="AH58" s="113" t="s">
        <v>52</v>
      </c>
      <c r="AI58" s="8" t="s">
        <v>253</v>
      </c>
      <c r="AJ58" s="156"/>
      <c r="AL58" s="8" t="s">
        <v>259</v>
      </c>
      <c r="AM58" s="8" t="s">
        <v>248</v>
      </c>
      <c r="AN58" s="20">
        <v>30452</v>
      </c>
      <c r="AO58" s="8" t="s">
        <v>798</v>
      </c>
      <c r="AP58" s="8" t="s">
        <v>798</v>
      </c>
      <c r="AQ58" s="8" t="s">
        <v>53</v>
      </c>
      <c r="AR58" s="8" t="s">
        <v>378</v>
      </c>
      <c r="AS58" s="165"/>
      <c r="AT58" s="129">
        <v>42047</v>
      </c>
      <c r="AU58" s="129">
        <v>42047</v>
      </c>
      <c r="AV58" s="177"/>
      <c r="AW58" s="187">
        <v>42047</v>
      </c>
      <c r="AX58" s="113" t="s">
        <v>800</v>
      </c>
      <c r="AY58" s="113"/>
      <c r="AZ58" s="113"/>
      <c r="BA58" s="129">
        <v>42044</v>
      </c>
      <c r="BB58" s="182"/>
      <c r="BC58" s="187">
        <v>42047</v>
      </c>
      <c r="BD58" s="182" t="s">
        <v>799</v>
      </c>
      <c r="BE58" s="165"/>
      <c r="BF58" s="182"/>
      <c r="BG58" s="165"/>
      <c r="BH58" s="274"/>
      <c r="BI58" s="182"/>
      <c r="BJ58" s="165"/>
      <c r="BK58" s="113"/>
      <c r="BL58" s="182"/>
      <c r="BM58" s="187">
        <v>42047</v>
      </c>
      <c r="BN58" s="113"/>
      <c r="BO58" s="177">
        <v>42047</v>
      </c>
      <c r="BP58" s="187">
        <v>42047</v>
      </c>
      <c r="BQ58" s="129">
        <v>42047</v>
      </c>
      <c r="BR58" s="182"/>
      <c r="BS58" s="187">
        <v>42045</v>
      </c>
      <c r="BT58" s="129">
        <v>42045</v>
      </c>
      <c r="BU58" s="177">
        <v>42045</v>
      </c>
      <c r="BV58" s="177"/>
      <c r="BW58" s="275" t="str">
        <f t="shared" si="57"/>
        <v xml:space="preserve">2305 (for processing) 2/9/2015, </v>
      </c>
      <c r="BX58" s="275" t="str">
        <f t="shared" si="45"/>
        <v/>
      </c>
      <c r="BY58" s="275" t="str">
        <f t="shared" si="5"/>
        <v/>
      </c>
      <c r="BZ58" s="277" t="str">
        <f t="shared" si="6"/>
        <v/>
      </c>
      <c r="CA58" s="156" t="str">
        <f t="shared" si="41"/>
        <v/>
      </c>
      <c r="CB58" s="155" t="str">
        <f t="shared" si="38"/>
        <v/>
      </c>
      <c r="CC58" s="156" t="str">
        <f t="shared" ca="1" si="33"/>
        <v/>
      </c>
      <c r="CD58" s="156" t="str">
        <f t="shared" si="49"/>
        <v/>
      </c>
      <c r="CE58" s="156" t="str">
        <f t="shared" si="50"/>
        <v/>
      </c>
      <c r="CF58" s="495" t="str">
        <f t="shared" si="13"/>
        <v/>
      </c>
      <c r="CG58" s="496" t="str">
        <f t="shared" si="51"/>
        <v/>
      </c>
      <c r="CH58" s="156" t="str">
        <f t="shared" si="52"/>
        <v/>
      </c>
      <c r="CI58" s="155" t="str">
        <f t="shared" si="34"/>
        <v/>
      </c>
      <c r="CJ58" s="155" t="str">
        <f t="shared" si="16"/>
        <v/>
      </c>
      <c r="CK58" s="156">
        <f t="shared" si="17"/>
        <v>2</v>
      </c>
      <c r="CL58" s="156">
        <f t="shared" si="18"/>
        <v>2</v>
      </c>
      <c r="CM58" s="156">
        <f t="shared" si="19"/>
        <v>2</v>
      </c>
      <c r="CN58" s="156">
        <f t="shared" si="20"/>
        <v>2</v>
      </c>
      <c r="CO58" s="156">
        <f t="shared" si="21"/>
        <v>2</v>
      </c>
      <c r="CP58" s="156">
        <f t="shared" si="22"/>
        <v>2</v>
      </c>
      <c r="CQ58" s="156">
        <f t="shared" si="23"/>
        <v>2</v>
      </c>
      <c r="CR58" s="156">
        <f t="shared" si="24"/>
        <v>2</v>
      </c>
      <c r="CS58" s="156">
        <f t="shared" si="25"/>
        <v>2</v>
      </c>
      <c r="CT58" s="156">
        <f t="shared" si="53"/>
        <v>2</v>
      </c>
      <c r="CU58" s="156">
        <f t="shared" si="54"/>
        <v>2</v>
      </c>
      <c r="CV58" s="156">
        <f t="shared" si="55"/>
        <v>2</v>
      </c>
      <c r="CW58" s="156">
        <f t="shared" si="29"/>
        <v>2</v>
      </c>
      <c r="CX58" s="156">
        <f t="shared" si="30"/>
        <v>1</v>
      </c>
      <c r="CY58" s="156">
        <f t="shared" si="31"/>
        <v>2</v>
      </c>
      <c r="CZ58" s="8" t="str">
        <f t="shared" si="35"/>
        <v/>
      </c>
      <c r="DA58" s="8">
        <f t="shared" si="36"/>
        <v>0</v>
      </c>
      <c r="DB58" s="8">
        <f t="shared" si="37"/>
        <v>0</v>
      </c>
    </row>
    <row r="59" spans="1:106" s="321" customFormat="1" x14ac:dyDescent="0.25">
      <c r="A59" s="384">
        <v>183</v>
      </c>
      <c r="B59" s="318">
        <v>42044</v>
      </c>
      <c r="C59" s="317">
        <v>1082275</v>
      </c>
      <c r="D59" s="321" t="s">
        <v>661</v>
      </c>
      <c r="E59" s="321" t="str">
        <f t="shared" si="39"/>
        <v/>
      </c>
      <c r="F59" s="321" t="str">
        <f t="shared" si="40"/>
        <v xml:space="preserve">TOR, COE, 2x2, </v>
      </c>
      <c r="G59" s="317" t="s">
        <v>475</v>
      </c>
      <c r="H59" s="317"/>
      <c r="I59" s="317"/>
      <c r="J59" s="317"/>
      <c r="K59" s="152" t="str">
        <f t="shared" ca="1" si="48"/>
        <v/>
      </c>
      <c r="L59" s="318">
        <v>42103</v>
      </c>
      <c r="M59" s="334">
        <v>42117</v>
      </c>
      <c r="N59" s="156" t="str">
        <f t="shared" si="2"/>
        <v/>
      </c>
      <c r="O59" s="321" t="s">
        <v>302</v>
      </c>
      <c r="Q59" s="321" t="s">
        <v>561</v>
      </c>
      <c r="R59" s="321">
        <v>9166096703</v>
      </c>
      <c r="S59" s="156">
        <f t="shared" si="8"/>
        <v>9166096703</v>
      </c>
      <c r="T59" s="156" t="str">
        <f t="shared" si="3"/>
        <v/>
      </c>
      <c r="U59" s="321" t="s">
        <v>748</v>
      </c>
      <c r="V59" s="321" t="s">
        <v>560</v>
      </c>
      <c r="W59" s="321" t="s">
        <v>558</v>
      </c>
      <c r="X59" s="321" t="s">
        <v>559</v>
      </c>
      <c r="Y59" s="321" t="s">
        <v>73</v>
      </c>
      <c r="Z59" s="321" t="s">
        <v>74</v>
      </c>
      <c r="AA59" s="321" t="str">
        <f t="shared" si="56"/>
        <v>Php 17,000</v>
      </c>
      <c r="AC59" s="321" t="str">
        <f t="shared" si="47"/>
        <v>Php 1,000</v>
      </c>
      <c r="AD59" s="321" t="str">
        <f t="shared" si="42"/>
        <v>Php 4,000</v>
      </c>
      <c r="AE59" s="377" t="str">
        <f t="shared" si="43"/>
        <v/>
      </c>
      <c r="AF59" s="317" t="str">
        <f t="shared" si="44"/>
        <v/>
      </c>
      <c r="AG59" s="317"/>
      <c r="AH59" s="317" t="s">
        <v>52</v>
      </c>
      <c r="AI59" s="321" t="s">
        <v>338</v>
      </c>
      <c r="AJ59" s="156" t="s">
        <v>1133</v>
      </c>
      <c r="AL59" s="321" t="s">
        <v>265</v>
      </c>
      <c r="AM59" s="321" t="s">
        <v>248</v>
      </c>
      <c r="AN59" s="334">
        <v>34440</v>
      </c>
      <c r="AO59" s="321" t="s">
        <v>790</v>
      </c>
      <c r="AP59" s="321" t="s">
        <v>790</v>
      </c>
      <c r="AQ59" s="321" t="s">
        <v>53</v>
      </c>
      <c r="AR59" s="321" t="s">
        <v>378</v>
      </c>
      <c r="AS59" s="332">
        <v>42046</v>
      </c>
      <c r="AT59" s="318">
        <v>42046</v>
      </c>
      <c r="AU59" s="318">
        <v>42046</v>
      </c>
      <c r="AV59" s="329">
        <v>42053</v>
      </c>
      <c r="AW59" s="332">
        <v>42061</v>
      </c>
      <c r="AX59" s="317" t="s">
        <v>1107</v>
      </c>
      <c r="AY59" s="317"/>
      <c r="AZ59" s="318">
        <v>42061</v>
      </c>
      <c r="BA59" s="318">
        <v>42061</v>
      </c>
      <c r="BB59" s="326"/>
      <c r="BC59" s="332">
        <v>42061</v>
      </c>
      <c r="BD59" s="326" t="s">
        <v>1109</v>
      </c>
      <c r="BE59" s="332">
        <v>42067</v>
      </c>
      <c r="BF59" s="326" t="s">
        <v>1203</v>
      </c>
      <c r="BG59" s="332">
        <v>42061</v>
      </c>
      <c r="BH59" s="385" t="s">
        <v>1108</v>
      </c>
      <c r="BI59" s="329">
        <v>42061</v>
      </c>
      <c r="BJ59" s="332">
        <v>42061</v>
      </c>
      <c r="BK59" s="317"/>
      <c r="BL59" s="326"/>
      <c r="BM59" s="332">
        <v>42104</v>
      </c>
      <c r="BN59" s="317"/>
      <c r="BO59" s="326"/>
      <c r="BP59" s="337"/>
      <c r="BQ59" s="317"/>
      <c r="BR59" s="326"/>
      <c r="BS59" s="332">
        <v>42046</v>
      </c>
      <c r="BT59" s="318">
        <v>42046</v>
      </c>
      <c r="BU59" s="329">
        <v>42046</v>
      </c>
      <c r="BV59" s="329"/>
      <c r="BW59" s="275" t="str">
        <f t="shared" si="57"/>
        <v xml:space="preserve">1905 2/26/2015, 2305 2/26/2015, MDR 2/26/2015, </v>
      </c>
      <c r="BX59" s="275">
        <f t="shared" si="45"/>
        <v>11</v>
      </c>
      <c r="BY59" s="275">
        <f t="shared" si="5"/>
        <v>11</v>
      </c>
      <c r="BZ59" s="277">
        <f t="shared" si="6"/>
        <v>1</v>
      </c>
      <c r="CA59" s="156" t="str">
        <f t="shared" si="41"/>
        <v/>
      </c>
      <c r="CB59" s="155" t="str">
        <f t="shared" si="38"/>
        <v/>
      </c>
      <c r="CC59" s="156" t="str">
        <f t="shared" ca="1" si="33"/>
        <v/>
      </c>
      <c r="CD59" s="156" t="str">
        <f t="shared" si="49"/>
        <v/>
      </c>
      <c r="CE59" s="156" t="str">
        <f t="shared" si="50"/>
        <v/>
      </c>
      <c r="CF59" s="495" t="str">
        <f t="shared" si="13"/>
        <v/>
      </c>
      <c r="CG59" s="496" t="str">
        <f t="shared" si="51"/>
        <v/>
      </c>
      <c r="CH59" s="156" t="str">
        <f t="shared" si="52"/>
        <v/>
      </c>
      <c r="CI59" s="155" t="str">
        <f t="shared" si="34"/>
        <v/>
      </c>
      <c r="CJ59" s="155">
        <f t="shared" si="16"/>
        <v>42103</v>
      </c>
      <c r="CK59" s="156">
        <f t="shared" si="17"/>
        <v>3</v>
      </c>
      <c r="CL59" s="156">
        <f t="shared" si="18"/>
        <v>3</v>
      </c>
      <c r="CM59" s="156">
        <f t="shared" si="19"/>
        <v>3</v>
      </c>
      <c r="CN59" s="156">
        <f t="shared" si="20"/>
        <v>3</v>
      </c>
      <c r="CO59" s="156">
        <f t="shared" si="21"/>
        <v>3</v>
      </c>
      <c r="CP59" s="156">
        <f t="shared" si="22"/>
        <v>3</v>
      </c>
      <c r="CQ59" s="156">
        <f t="shared" si="23"/>
        <v>3</v>
      </c>
      <c r="CR59" s="156">
        <f t="shared" si="24"/>
        <v>3</v>
      </c>
      <c r="CS59" s="156">
        <f t="shared" si="25"/>
        <v>3</v>
      </c>
      <c r="CT59" s="156">
        <f t="shared" si="53"/>
        <v>3</v>
      </c>
      <c r="CU59" s="156">
        <f t="shared" si="54"/>
        <v>3</v>
      </c>
      <c r="CV59" s="156">
        <f t="shared" si="55"/>
        <v>3</v>
      </c>
      <c r="CW59" s="156">
        <f t="shared" si="29"/>
        <v>3</v>
      </c>
      <c r="CX59" s="156">
        <f t="shared" si="30"/>
        <v>1</v>
      </c>
      <c r="CY59" s="156">
        <f t="shared" si="31"/>
        <v>3</v>
      </c>
      <c r="CZ59" s="321">
        <f t="shared" si="35"/>
        <v>73</v>
      </c>
      <c r="DA59" s="321">
        <f t="shared" si="36"/>
        <v>0</v>
      </c>
      <c r="DB59" s="321">
        <f t="shared" si="37"/>
        <v>1</v>
      </c>
    </row>
    <row r="60" spans="1:106" s="8" customFormat="1" x14ac:dyDescent="0.25">
      <c r="A60" s="132">
        <v>183</v>
      </c>
      <c r="B60" s="129">
        <v>42044</v>
      </c>
      <c r="C60" s="113">
        <v>1082276</v>
      </c>
      <c r="D60" s="8" t="s">
        <v>662</v>
      </c>
      <c r="E60" s="8" t="str">
        <f t="shared" si="39"/>
        <v/>
      </c>
      <c r="F60" s="8" t="str">
        <f t="shared" si="40"/>
        <v/>
      </c>
      <c r="G60" s="113" t="s">
        <v>475</v>
      </c>
      <c r="H60" s="113"/>
      <c r="I60" s="113"/>
      <c r="J60" s="113"/>
      <c r="K60" s="152" t="str">
        <f t="shared" ca="1" si="48"/>
        <v/>
      </c>
      <c r="L60" s="129">
        <v>42069</v>
      </c>
      <c r="N60" s="156" t="str">
        <f t="shared" si="2"/>
        <v/>
      </c>
      <c r="O60" s="8" t="s">
        <v>298</v>
      </c>
      <c r="P60" s="113" t="s">
        <v>689</v>
      </c>
      <c r="Q60" s="8" t="s">
        <v>565</v>
      </c>
      <c r="R60" s="8">
        <v>9162977172</v>
      </c>
      <c r="S60" s="156">
        <f t="shared" si="8"/>
        <v>9162977172</v>
      </c>
      <c r="T60" s="156" t="str">
        <f t="shared" si="3"/>
        <v/>
      </c>
      <c r="U60" s="8" t="s">
        <v>749</v>
      </c>
      <c r="V60" s="8" t="s">
        <v>564</v>
      </c>
      <c r="W60" s="8" t="s">
        <v>562</v>
      </c>
      <c r="X60" s="8" t="s">
        <v>563</v>
      </c>
      <c r="Y60" s="8" t="s">
        <v>73</v>
      </c>
      <c r="Z60" s="8" t="s">
        <v>74</v>
      </c>
      <c r="AA60" s="8" t="str">
        <f t="shared" si="56"/>
        <v>Php 17,000</v>
      </c>
      <c r="AC60" s="8" t="str">
        <f t="shared" si="47"/>
        <v>Php 1,000</v>
      </c>
      <c r="AD60" s="8" t="str">
        <f t="shared" si="42"/>
        <v>Php 4,000</v>
      </c>
      <c r="AE60" s="121" t="str">
        <f t="shared" si="43"/>
        <v/>
      </c>
      <c r="AF60" s="113" t="str">
        <f t="shared" si="44"/>
        <v/>
      </c>
      <c r="AG60" s="113"/>
      <c r="AH60" s="113" t="s">
        <v>52</v>
      </c>
      <c r="AI60" s="8" t="s">
        <v>264</v>
      </c>
      <c r="AJ60" s="156"/>
      <c r="AL60" s="8" t="s">
        <v>247</v>
      </c>
      <c r="AM60" s="8" t="s">
        <v>248</v>
      </c>
      <c r="AN60" s="20">
        <v>32580</v>
      </c>
      <c r="AO60" s="8" t="s">
        <v>1000</v>
      </c>
      <c r="AS60" s="165"/>
      <c r="AT60" s="129">
        <v>42046</v>
      </c>
      <c r="AU60" s="129">
        <v>42046</v>
      </c>
      <c r="AV60" s="177">
        <v>42053</v>
      </c>
      <c r="AW60" s="187">
        <v>42046</v>
      </c>
      <c r="AX60" s="113" t="s">
        <v>792</v>
      </c>
      <c r="AY60" s="113"/>
      <c r="AZ60" s="113"/>
      <c r="BA60" s="129">
        <v>42044</v>
      </c>
      <c r="BB60" s="182"/>
      <c r="BC60" s="187">
        <v>42046</v>
      </c>
      <c r="BD60" s="182" t="s">
        <v>791</v>
      </c>
      <c r="BE60" s="187">
        <v>42046</v>
      </c>
      <c r="BF60" s="182" t="s">
        <v>794</v>
      </c>
      <c r="BG60" s="187">
        <v>42046</v>
      </c>
      <c r="BH60" s="274" t="s">
        <v>793</v>
      </c>
      <c r="BI60" s="182"/>
      <c r="BJ60" s="165"/>
      <c r="BK60" s="113"/>
      <c r="BL60" s="182"/>
      <c r="BM60" s="187">
        <v>42046</v>
      </c>
      <c r="BN60" s="113"/>
      <c r="BO60" s="182"/>
      <c r="BP60" s="165"/>
      <c r="BQ60" s="129">
        <v>42046</v>
      </c>
      <c r="BR60" s="177">
        <v>42046</v>
      </c>
      <c r="BS60" s="187">
        <v>42045</v>
      </c>
      <c r="BT60" s="129">
        <v>42045</v>
      </c>
      <c r="BU60" s="177">
        <v>42045</v>
      </c>
      <c r="BV60" s="177"/>
      <c r="BW60" s="275" t="str">
        <f t="shared" si="57"/>
        <v xml:space="preserve">2305 (for processing) 2/9/2015, </v>
      </c>
      <c r="BX60" s="275" t="str">
        <f t="shared" si="45"/>
        <v/>
      </c>
      <c r="BY60" s="275" t="str">
        <f t="shared" si="5"/>
        <v/>
      </c>
      <c r="BZ60" s="277" t="str">
        <f t="shared" si="6"/>
        <v/>
      </c>
      <c r="CA60" s="156" t="str">
        <f t="shared" si="41"/>
        <v/>
      </c>
      <c r="CB60" s="155" t="str">
        <f t="shared" si="38"/>
        <v/>
      </c>
      <c r="CC60" s="156" t="str">
        <f t="shared" ca="1" si="33"/>
        <v/>
      </c>
      <c r="CD60" s="156" t="str">
        <f t="shared" si="49"/>
        <v/>
      </c>
      <c r="CE60" s="156" t="str">
        <f t="shared" si="50"/>
        <v/>
      </c>
      <c r="CF60" s="495" t="str">
        <f t="shared" si="13"/>
        <v/>
      </c>
      <c r="CG60" s="496" t="str">
        <f t="shared" si="51"/>
        <v/>
      </c>
      <c r="CH60" s="156" t="str">
        <f t="shared" si="52"/>
        <v/>
      </c>
      <c r="CI60" s="155" t="str">
        <f t="shared" si="34"/>
        <v/>
      </c>
      <c r="CJ60" s="155">
        <f t="shared" si="16"/>
        <v>42103</v>
      </c>
      <c r="CK60" s="156">
        <f t="shared" si="17"/>
        <v>3</v>
      </c>
      <c r="CL60" s="156">
        <f t="shared" si="18"/>
        <v>3</v>
      </c>
      <c r="CM60" s="156">
        <f t="shared" si="19"/>
        <v>3</v>
      </c>
      <c r="CN60" s="156">
        <f t="shared" si="20"/>
        <v>3</v>
      </c>
      <c r="CO60" s="156">
        <f t="shared" si="21"/>
        <v>3</v>
      </c>
      <c r="CP60" s="156">
        <f t="shared" si="22"/>
        <v>3</v>
      </c>
      <c r="CQ60" s="156">
        <f t="shared" si="23"/>
        <v>3</v>
      </c>
      <c r="CR60" s="156">
        <f t="shared" si="24"/>
        <v>3</v>
      </c>
      <c r="CS60" s="156">
        <f t="shared" si="25"/>
        <v>3</v>
      </c>
      <c r="CT60" s="156">
        <f t="shared" si="53"/>
        <v>3</v>
      </c>
      <c r="CU60" s="156">
        <f t="shared" si="54"/>
        <v>3</v>
      </c>
      <c r="CV60" s="156">
        <f t="shared" si="55"/>
        <v>3</v>
      </c>
      <c r="CW60" s="156">
        <f t="shared" si="29"/>
        <v>3</v>
      </c>
      <c r="CX60" s="156">
        <f t="shared" si="30"/>
        <v>2</v>
      </c>
      <c r="CY60" s="156">
        <f t="shared" si="31"/>
        <v>3</v>
      </c>
      <c r="CZ60" s="8" t="str">
        <f t="shared" si="35"/>
        <v/>
      </c>
      <c r="DA60" s="8">
        <f t="shared" si="36"/>
        <v>0</v>
      </c>
      <c r="DB60" s="8">
        <f t="shared" si="37"/>
        <v>0</v>
      </c>
    </row>
    <row r="61" spans="1:106" s="8" customFormat="1" x14ac:dyDescent="0.25">
      <c r="A61" s="132">
        <v>183</v>
      </c>
      <c r="B61" s="129">
        <v>42044</v>
      </c>
      <c r="C61" s="113">
        <v>1082277</v>
      </c>
      <c r="D61" s="8" t="s">
        <v>663</v>
      </c>
      <c r="E61" s="8" t="str">
        <f t="shared" si="39"/>
        <v/>
      </c>
      <c r="F61" s="8" t="str">
        <f t="shared" si="40"/>
        <v/>
      </c>
      <c r="G61" s="113" t="s">
        <v>475</v>
      </c>
      <c r="H61" s="113"/>
      <c r="I61" s="113"/>
      <c r="J61" s="113"/>
      <c r="K61" s="152" t="str">
        <f t="shared" ca="1" si="48"/>
        <v/>
      </c>
      <c r="L61" s="113"/>
      <c r="N61" s="156" t="str">
        <f t="shared" si="2"/>
        <v/>
      </c>
      <c r="O61" s="8" t="s">
        <v>298</v>
      </c>
      <c r="P61" s="113" t="s">
        <v>689</v>
      </c>
      <c r="Q61" s="8" t="s">
        <v>569</v>
      </c>
      <c r="R61" s="8">
        <v>9178923285</v>
      </c>
      <c r="S61" s="156">
        <f t="shared" si="8"/>
        <v>9178923285</v>
      </c>
      <c r="T61" s="156" t="str">
        <f t="shared" si="3"/>
        <v/>
      </c>
      <c r="U61" s="8" t="s">
        <v>750</v>
      </c>
      <c r="V61" s="8" t="s">
        <v>568</v>
      </c>
      <c r="W61" s="8" t="s">
        <v>566</v>
      </c>
      <c r="X61" s="8" t="s">
        <v>567</v>
      </c>
      <c r="Y61" s="8" t="s">
        <v>73</v>
      </c>
      <c r="Z61" s="8" t="s">
        <v>74</v>
      </c>
      <c r="AA61" s="8" t="str">
        <f t="shared" si="56"/>
        <v>Php 17,000</v>
      </c>
      <c r="AC61" s="8" t="str">
        <f t="shared" si="47"/>
        <v>Php 1,000</v>
      </c>
      <c r="AD61" s="8" t="str">
        <f t="shared" si="42"/>
        <v>Php 4,000</v>
      </c>
      <c r="AE61" s="121" t="str">
        <f t="shared" si="43"/>
        <v/>
      </c>
      <c r="AF61" s="113" t="str">
        <f t="shared" si="44"/>
        <v/>
      </c>
      <c r="AG61" s="113"/>
      <c r="AH61" s="113" t="s">
        <v>52</v>
      </c>
      <c r="AI61" s="8" t="s">
        <v>570</v>
      </c>
      <c r="AJ61" s="156"/>
      <c r="AL61" s="8" t="s">
        <v>571</v>
      </c>
      <c r="AM61" s="8" t="s">
        <v>248</v>
      </c>
      <c r="AN61" s="20">
        <v>29978</v>
      </c>
      <c r="AO61" s="8" t="s">
        <v>1009</v>
      </c>
      <c r="AP61" s="8" t="s">
        <v>1009</v>
      </c>
      <c r="AQ61" s="8" t="s">
        <v>53</v>
      </c>
      <c r="AS61" s="187">
        <v>42054</v>
      </c>
      <c r="AT61" s="129">
        <v>42054</v>
      </c>
      <c r="AU61" s="129">
        <v>42054</v>
      </c>
      <c r="AV61" s="177">
        <v>42053</v>
      </c>
      <c r="AW61" s="187"/>
      <c r="AX61" s="113"/>
      <c r="AY61" s="113"/>
      <c r="AZ61" s="113"/>
      <c r="BA61" s="129">
        <v>42044</v>
      </c>
      <c r="BB61" s="182"/>
      <c r="BC61" s="187">
        <v>42054</v>
      </c>
      <c r="BD61" s="182" t="s">
        <v>1010</v>
      </c>
      <c r="BE61" s="165"/>
      <c r="BF61" s="182"/>
      <c r="BG61" s="165"/>
      <c r="BH61" s="274"/>
      <c r="BI61" s="182"/>
      <c r="BJ61" s="165"/>
      <c r="BK61" s="129"/>
      <c r="BL61" s="177"/>
      <c r="BM61" s="165"/>
      <c r="BN61" s="113"/>
      <c r="BO61" s="182"/>
      <c r="BP61" s="165"/>
      <c r="BQ61" s="129">
        <v>42054</v>
      </c>
      <c r="BR61" s="182"/>
      <c r="BS61" s="187">
        <v>42045</v>
      </c>
      <c r="BT61" s="129">
        <v>42045</v>
      </c>
      <c r="BU61" s="177">
        <v>42045</v>
      </c>
      <c r="BV61" s="177"/>
      <c r="BW61" s="275" t="str">
        <f t="shared" si="57"/>
        <v xml:space="preserve">2305 (for processing) 2/9/2015, </v>
      </c>
      <c r="BX61" s="275" t="str">
        <f t="shared" si="45"/>
        <v/>
      </c>
      <c r="BY61" s="275" t="str">
        <f t="shared" si="5"/>
        <v/>
      </c>
      <c r="BZ61" s="277" t="str">
        <f t="shared" si="6"/>
        <v/>
      </c>
      <c r="CA61" s="156" t="str">
        <f t="shared" si="41"/>
        <v/>
      </c>
      <c r="CB61" s="155" t="str">
        <f t="shared" si="38"/>
        <v/>
      </c>
      <c r="CC61" s="156" t="str">
        <f t="shared" ca="1" si="33"/>
        <v/>
      </c>
      <c r="CD61" s="156" t="str">
        <f t="shared" si="49"/>
        <v/>
      </c>
      <c r="CE61" s="156" t="str">
        <f t="shared" si="50"/>
        <v/>
      </c>
      <c r="CF61" s="495" t="str">
        <f t="shared" si="13"/>
        <v/>
      </c>
      <c r="CG61" s="496" t="str">
        <f t="shared" si="51"/>
        <v/>
      </c>
      <c r="CH61" s="156" t="str">
        <f t="shared" si="52"/>
        <v/>
      </c>
      <c r="CI61" s="155" t="str">
        <f t="shared" si="34"/>
        <v/>
      </c>
      <c r="CJ61" s="155">
        <f t="shared" si="16"/>
        <v>42103</v>
      </c>
      <c r="CK61" s="156">
        <f t="shared" si="17"/>
        <v>3</v>
      </c>
      <c r="CL61" s="156">
        <f t="shared" si="18"/>
        <v>3</v>
      </c>
      <c r="CM61" s="156">
        <f t="shared" si="19"/>
        <v>3</v>
      </c>
      <c r="CN61" s="156">
        <f t="shared" si="20"/>
        <v>3</v>
      </c>
      <c r="CO61" s="156">
        <f t="shared" si="21"/>
        <v>3</v>
      </c>
      <c r="CP61" s="156">
        <f t="shared" si="22"/>
        <v>3</v>
      </c>
      <c r="CQ61" s="156">
        <f t="shared" si="23"/>
        <v>3</v>
      </c>
      <c r="CR61" s="156">
        <f t="shared" si="24"/>
        <v>3</v>
      </c>
      <c r="CS61" s="156">
        <f t="shared" si="25"/>
        <v>3</v>
      </c>
      <c r="CT61" s="156">
        <f t="shared" si="53"/>
        <v>3</v>
      </c>
      <c r="CU61" s="156">
        <f t="shared" si="54"/>
        <v>3</v>
      </c>
      <c r="CV61" s="156">
        <f t="shared" si="55"/>
        <v>3</v>
      </c>
      <c r="CW61" s="156">
        <f t="shared" si="29"/>
        <v>3</v>
      </c>
      <c r="CX61" s="156">
        <f t="shared" si="30"/>
        <v>3</v>
      </c>
      <c r="CY61" s="156">
        <f t="shared" si="31"/>
        <v>3</v>
      </c>
      <c r="CZ61" s="8" t="str">
        <f t="shared" si="35"/>
        <v/>
      </c>
      <c r="DA61" s="8">
        <f t="shared" si="36"/>
        <v>0</v>
      </c>
      <c r="DB61" s="8">
        <f t="shared" si="37"/>
        <v>0</v>
      </c>
    </row>
    <row r="62" spans="1:106" s="8" customFormat="1" x14ac:dyDescent="0.25">
      <c r="A62" s="132">
        <v>183</v>
      </c>
      <c r="B62" s="129">
        <v>42044</v>
      </c>
      <c r="C62" s="113">
        <v>1082278</v>
      </c>
      <c r="D62" s="8" t="s">
        <v>664</v>
      </c>
      <c r="E62" s="8" t="str">
        <f t="shared" si="39"/>
        <v/>
      </c>
      <c r="F62" s="8" t="str">
        <f t="shared" si="40"/>
        <v/>
      </c>
      <c r="G62" s="113" t="s">
        <v>475</v>
      </c>
      <c r="H62" s="113"/>
      <c r="I62" s="113"/>
      <c r="J62" s="113"/>
      <c r="K62" s="152" t="str">
        <f t="shared" ca="1" si="48"/>
        <v/>
      </c>
      <c r="L62" s="113"/>
      <c r="N62" s="156" t="str">
        <f t="shared" si="2"/>
        <v/>
      </c>
      <c r="O62" s="8" t="s">
        <v>298</v>
      </c>
      <c r="P62" s="113" t="s">
        <v>689</v>
      </c>
      <c r="Q62" s="8" t="s">
        <v>575</v>
      </c>
      <c r="R62" s="8">
        <v>9159795779</v>
      </c>
      <c r="S62" s="156">
        <f t="shared" si="8"/>
        <v>9159795779</v>
      </c>
      <c r="T62" s="156" t="str">
        <f t="shared" si="3"/>
        <v/>
      </c>
      <c r="U62" s="8" t="s">
        <v>751</v>
      </c>
      <c r="V62" s="8" t="s">
        <v>574</v>
      </c>
      <c r="W62" s="8" t="s">
        <v>572</v>
      </c>
      <c r="X62" s="8" t="s">
        <v>573</v>
      </c>
      <c r="Y62" s="8" t="s">
        <v>73</v>
      </c>
      <c r="Z62" s="8" t="s">
        <v>74</v>
      </c>
      <c r="AA62" s="8" t="str">
        <f t="shared" si="56"/>
        <v>Php 17,000</v>
      </c>
      <c r="AC62" s="8" t="str">
        <f t="shared" si="47"/>
        <v>Php 1,000</v>
      </c>
      <c r="AD62" s="8" t="str">
        <f t="shared" si="42"/>
        <v>Php 4,000</v>
      </c>
      <c r="AE62" s="121" t="str">
        <f t="shared" si="43"/>
        <v/>
      </c>
      <c r="AF62" s="113" t="str">
        <f t="shared" si="44"/>
        <v/>
      </c>
      <c r="AG62" s="113"/>
      <c r="AH62" s="113" t="s">
        <v>52</v>
      </c>
      <c r="AI62" s="8" t="s">
        <v>253</v>
      </c>
      <c r="AJ62" s="156"/>
      <c r="AL62" s="8" t="s">
        <v>259</v>
      </c>
      <c r="AM62" s="8" t="s">
        <v>248</v>
      </c>
      <c r="AN62" s="20">
        <v>34658</v>
      </c>
      <c r="AO62" s="8" t="s">
        <v>845</v>
      </c>
      <c r="AP62" s="8" t="s">
        <v>845</v>
      </c>
      <c r="AQ62" s="8" t="s">
        <v>53</v>
      </c>
      <c r="AR62" s="8" t="s">
        <v>378</v>
      </c>
      <c r="AS62" s="187">
        <v>42048</v>
      </c>
      <c r="AT62" s="129">
        <v>42048</v>
      </c>
      <c r="AU62" s="129">
        <v>42048</v>
      </c>
      <c r="AV62" s="177">
        <v>42053</v>
      </c>
      <c r="AW62" s="187"/>
      <c r="AX62" s="113"/>
      <c r="AY62" s="113"/>
      <c r="AZ62" s="113">
        <v>1</v>
      </c>
      <c r="BA62" s="129">
        <v>42044</v>
      </c>
      <c r="BB62" s="182"/>
      <c r="BC62" s="165"/>
      <c r="BD62" s="182"/>
      <c r="BE62" s="165"/>
      <c r="BF62" s="182"/>
      <c r="BG62" s="165"/>
      <c r="BH62" s="274"/>
      <c r="BI62" s="182"/>
      <c r="BJ62" s="187">
        <v>42048</v>
      </c>
      <c r="BK62" s="113"/>
      <c r="BL62" s="182"/>
      <c r="BM62" s="165"/>
      <c r="BN62" s="113"/>
      <c r="BO62" s="182"/>
      <c r="BP62" s="165"/>
      <c r="BQ62" s="113"/>
      <c r="BR62" s="182"/>
      <c r="BS62" s="187">
        <v>42045</v>
      </c>
      <c r="BT62" s="129">
        <v>42045</v>
      </c>
      <c r="BU62" s="177">
        <v>42045</v>
      </c>
      <c r="BV62" s="177"/>
      <c r="BW62" s="275" t="str">
        <f t="shared" si="57"/>
        <v xml:space="preserve">2305 (for processing) 2/9/2015, </v>
      </c>
      <c r="BX62" s="275" t="str">
        <f t="shared" si="45"/>
        <v/>
      </c>
      <c r="BY62" s="275" t="str">
        <f t="shared" si="5"/>
        <v/>
      </c>
      <c r="BZ62" s="277" t="str">
        <f t="shared" si="6"/>
        <v/>
      </c>
      <c r="CA62" s="156" t="str">
        <f t="shared" si="41"/>
        <v/>
      </c>
      <c r="CB62" s="155" t="str">
        <f t="shared" si="38"/>
        <v/>
      </c>
      <c r="CC62" s="156" t="str">
        <f t="shared" ca="1" si="33"/>
        <v/>
      </c>
      <c r="CD62" s="156" t="str">
        <f t="shared" si="49"/>
        <v/>
      </c>
      <c r="CE62" s="156" t="str">
        <f t="shared" si="50"/>
        <v/>
      </c>
      <c r="CF62" s="495" t="str">
        <f t="shared" si="13"/>
        <v/>
      </c>
      <c r="CG62" s="496" t="str">
        <f t="shared" si="51"/>
        <v/>
      </c>
      <c r="CH62" s="156" t="str">
        <f t="shared" si="52"/>
        <v/>
      </c>
      <c r="CI62" s="155" t="str">
        <f t="shared" si="34"/>
        <v/>
      </c>
      <c r="CJ62" s="155">
        <f t="shared" si="16"/>
        <v>42103</v>
      </c>
      <c r="CK62" s="156">
        <f t="shared" si="17"/>
        <v>3</v>
      </c>
      <c r="CL62" s="156">
        <f t="shared" si="18"/>
        <v>3</v>
      </c>
      <c r="CM62" s="156">
        <f t="shared" si="19"/>
        <v>3</v>
      </c>
      <c r="CN62" s="156">
        <f t="shared" si="20"/>
        <v>3</v>
      </c>
      <c r="CO62" s="156">
        <f t="shared" si="21"/>
        <v>3</v>
      </c>
      <c r="CP62" s="156">
        <f t="shared" si="22"/>
        <v>3</v>
      </c>
      <c r="CQ62" s="156">
        <f t="shared" si="23"/>
        <v>3</v>
      </c>
      <c r="CR62" s="156">
        <f t="shared" si="24"/>
        <v>3</v>
      </c>
      <c r="CS62" s="156">
        <f t="shared" si="25"/>
        <v>3</v>
      </c>
      <c r="CT62" s="156">
        <f t="shared" si="53"/>
        <v>3</v>
      </c>
      <c r="CU62" s="156">
        <f t="shared" si="54"/>
        <v>3</v>
      </c>
      <c r="CV62" s="156">
        <f t="shared" si="55"/>
        <v>3</v>
      </c>
      <c r="CW62" s="156">
        <f t="shared" si="29"/>
        <v>3</v>
      </c>
      <c r="CX62" s="156">
        <f t="shared" si="30"/>
        <v>4</v>
      </c>
      <c r="CY62" s="156">
        <f t="shared" si="31"/>
        <v>3</v>
      </c>
      <c r="CZ62" s="8" t="str">
        <f t="shared" si="35"/>
        <v/>
      </c>
      <c r="DA62" s="8">
        <f t="shared" si="36"/>
        <v>0</v>
      </c>
      <c r="DB62" s="8">
        <f t="shared" si="37"/>
        <v>0</v>
      </c>
    </row>
    <row r="63" spans="1:106" s="321" customFormat="1" x14ac:dyDescent="0.25">
      <c r="A63" s="384">
        <v>183</v>
      </c>
      <c r="B63" s="318">
        <v>42044</v>
      </c>
      <c r="C63" s="317">
        <v>1082279</v>
      </c>
      <c r="D63" s="321" t="s">
        <v>665</v>
      </c>
      <c r="E63" s="321" t="str">
        <f t="shared" si="39"/>
        <v/>
      </c>
      <c r="F63" s="321" t="str">
        <f t="shared" si="40"/>
        <v xml:space="preserve">TOR, </v>
      </c>
      <c r="G63" s="317" t="s">
        <v>475</v>
      </c>
      <c r="H63" s="317"/>
      <c r="I63" s="317"/>
      <c r="J63" s="317"/>
      <c r="K63" s="152" t="str">
        <f t="shared" ca="1" si="48"/>
        <v/>
      </c>
      <c r="L63" s="318">
        <v>42069</v>
      </c>
      <c r="M63" s="334">
        <v>42068</v>
      </c>
      <c r="N63" s="156" t="str">
        <f t="shared" si="2"/>
        <v/>
      </c>
      <c r="O63" s="321" t="s">
        <v>302</v>
      </c>
      <c r="Q63" s="321" t="s">
        <v>579</v>
      </c>
      <c r="R63" s="321">
        <v>9159986496</v>
      </c>
      <c r="S63" s="156">
        <f t="shared" si="8"/>
        <v>9159986496</v>
      </c>
      <c r="T63" s="156" t="str">
        <f t="shared" si="3"/>
        <v/>
      </c>
      <c r="U63" s="321" t="s">
        <v>752</v>
      </c>
      <c r="V63" s="321" t="s">
        <v>578</v>
      </c>
      <c r="W63" s="321" t="s">
        <v>576</v>
      </c>
      <c r="X63" s="321" t="s">
        <v>577</v>
      </c>
      <c r="Y63" s="321" t="s">
        <v>73</v>
      </c>
      <c r="Z63" s="321" t="s">
        <v>74</v>
      </c>
      <c r="AA63" s="321" t="str">
        <f t="shared" si="56"/>
        <v>Php 17,000</v>
      </c>
      <c r="AC63" s="321" t="str">
        <f t="shared" si="47"/>
        <v>Php 1,000</v>
      </c>
      <c r="AD63" s="321" t="str">
        <f t="shared" si="42"/>
        <v>Php 4,000</v>
      </c>
      <c r="AE63" s="377" t="str">
        <f t="shared" si="43"/>
        <v/>
      </c>
      <c r="AF63" s="317" t="str">
        <f t="shared" si="44"/>
        <v/>
      </c>
      <c r="AG63" s="317"/>
      <c r="AH63" s="317" t="s">
        <v>52</v>
      </c>
      <c r="AI63" s="321" t="s">
        <v>253</v>
      </c>
      <c r="AJ63" s="156"/>
      <c r="AL63" s="321" t="s">
        <v>259</v>
      </c>
      <c r="AM63" s="321" t="s">
        <v>248</v>
      </c>
      <c r="AN63" s="334">
        <v>32443</v>
      </c>
      <c r="AO63" s="321" t="s">
        <v>795</v>
      </c>
      <c r="AP63" s="321" t="s">
        <v>795</v>
      </c>
      <c r="AQ63" s="321" t="s">
        <v>53</v>
      </c>
      <c r="AR63" s="321" t="s">
        <v>378</v>
      </c>
      <c r="AS63" s="332">
        <v>42046</v>
      </c>
      <c r="AT63" s="318">
        <v>42046</v>
      </c>
      <c r="AU63" s="318">
        <v>42046</v>
      </c>
      <c r="AV63" s="329">
        <v>42053</v>
      </c>
      <c r="AW63" s="332">
        <v>42046</v>
      </c>
      <c r="AX63" s="317" t="s">
        <v>796</v>
      </c>
      <c r="AY63" s="317"/>
      <c r="AZ63" s="318">
        <v>42067</v>
      </c>
      <c r="BA63" s="318">
        <v>42044</v>
      </c>
      <c r="BB63" s="326"/>
      <c r="BC63" s="332">
        <v>42068</v>
      </c>
      <c r="BD63" s="326" t="s">
        <v>1214</v>
      </c>
      <c r="BE63" s="332">
        <v>42066</v>
      </c>
      <c r="BF63" s="326" t="s">
        <v>1188</v>
      </c>
      <c r="BG63" s="332">
        <v>42066</v>
      </c>
      <c r="BH63" s="385" t="s">
        <v>1189</v>
      </c>
      <c r="BI63" s="329">
        <v>42066</v>
      </c>
      <c r="BJ63" s="332">
        <v>42062</v>
      </c>
      <c r="BK63" s="318"/>
      <c r="BL63" s="329"/>
      <c r="BM63" s="332">
        <v>42046</v>
      </c>
      <c r="BN63" s="317"/>
      <c r="BO63" s="326"/>
      <c r="BP63" s="332">
        <v>42062</v>
      </c>
      <c r="BQ63" s="317"/>
      <c r="BR63" s="329">
        <v>42062</v>
      </c>
      <c r="BS63" s="332">
        <v>42045</v>
      </c>
      <c r="BT63" s="318">
        <v>42045</v>
      </c>
      <c r="BU63" s="329">
        <v>42045</v>
      </c>
      <c r="BV63" s="329"/>
      <c r="BW63" s="275" t="str">
        <f t="shared" si="57"/>
        <v xml:space="preserve">1905 3/4/2015, 2305 2/9/2015, MDR 3/3/2015, </v>
      </c>
      <c r="BX63" s="275">
        <f t="shared" si="45"/>
        <v>11</v>
      </c>
      <c r="BY63" s="275">
        <f t="shared" si="5"/>
        <v>11</v>
      </c>
      <c r="BZ63" s="277">
        <f t="shared" si="6"/>
        <v>1</v>
      </c>
      <c r="CA63" s="156" t="str">
        <f t="shared" si="41"/>
        <v/>
      </c>
      <c r="CB63" s="155" t="str">
        <f t="shared" si="38"/>
        <v/>
      </c>
      <c r="CC63" s="156" t="str">
        <f t="shared" ca="1" si="33"/>
        <v/>
      </c>
      <c r="CD63" s="156" t="str">
        <f t="shared" si="49"/>
        <v/>
      </c>
      <c r="CE63" s="156" t="str">
        <f t="shared" si="50"/>
        <v/>
      </c>
      <c r="CF63" s="495" t="str">
        <f t="shared" si="13"/>
        <v/>
      </c>
      <c r="CG63" s="496" t="str">
        <f t="shared" si="51"/>
        <v/>
      </c>
      <c r="CH63" s="156" t="str">
        <f t="shared" si="52"/>
        <v/>
      </c>
      <c r="CI63" s="155" t="str">
        <f t="shared" si="34"/>
        <v/>
      </c>
      <c r="CJ63" s="155">
        <f t="shared" si="16"/>
        <v>42103</v>
      </c>
      <c r="CK63" s="156">
        <f t="shared" si="17"/>
        <v>4</v>
      </c>
      <c r="CL63" s="156">
        <f t="shared" si="18"/>
        <v>4</v>
      </c>
      <c r="CM63" s="156">
        <f t="shared" si="19"/>
        <v>4</v>
      </c>
      <c r="CN63" s="156">
        <f t="shared" si="20"/>
        <v>4</v>
      </c>
      <c r="CO63" s="156">
        <f t="shared" si="21"/>
        <v>4</v>
      </c>
      <c r="CP63" s="156">
        <f t="shared" si="22"/>
        <v>4</v>
      </c>
      <c r="CQ63" s="156">
        <f t="shared" si="23"/>
        <v>4</v>
      </c>
      <c r="CR63" s="156">
        <f t="shared" si="24"/>
        <v>4</v>
      </c>
      <c r="CS63" s="156">
        <f t="shared" si="25"/>
        <v>4</v>
      </c>
      <c r="CT63" s="156">
        <f t="shared" si="53"/>
        <v>4</v>
      </c>
      <c r="CU63" s="156">
        <f t="shared" si="54"/>
        <v>4</v>
      </c>
      <c r="CV63" s="156">
        <f t="shared" si="55"/>
        <v>4</v>
      </c>
      <c r="CW63" s="156">
        <f t="shared" si="29"/>
        <v>4</v>
      </c>
      <c r="CX63" s="156">
        <f t="shared" si="30"/>
        <v>4</v>
      </c>
      <c r="CY63" s="156">
        <f t="shared" si="31"/>
        <v>4</v>
      </c>
      <c r="CZ63" s="321">
        <f t="shared" si="35"/>
        <v>24</v>
      </c>
      <c r="DA63" s="321">
        <f t="shared" si="36"/>
        <v>1</v>
      </c>
      <c r="DB63" s="321">
        <f t="shared" si="37"/>
        <v>1</v>
      </c>
    </row>
    <row r="64" spans="1:106" s="8" customFormat="1" x14ac:dyDescent="0.25">
      <c r="A64" s="132">
        <v>183</v>
      </c>
      <c r="B64" s="129">
        <v>42044</v>
      </c>
      <c r="C64" s="113">
        <v>1082280</v>
      </c>
      <c r="D64" s="8" t="s">
        <v>666</v>
      </c>
      <c r="E64" s="8" t="str">
        <f t="shared" si="39"/>
        <v/>
      </c>
      <c r="F64" s="8" t="str">
        <f t="shared" si="40"/>
        <v/>
      </c>
      <c r="G64" s="113" t="s">
        <v>744</v>
      </c>
      <c r="H64" s="113"/>
      <c r="I64" s="113"/>
      <c r="J64" s="113"/>
      <c r="K64" s="152" t="str">
        <f t="shared" ca="1" si="48"/>
        <v/>
      </c>
      <c r="L64" s="113"/>
      <c r="M64" s="20">
        <v>42044</v>
      </c>
      <c r="N64" s="156" t="str">
        <f t="shared" si="2"/>
        <v/>
      </c>
      <c r="O64" s="8" t="s">
        <v>298</v>
      </c>
      <c r="P64" s="113" t="s">
        <v>689</v>
      </c>
      <c r="Q64" s="8" t="s">
        <v>583</v>
      </c>
      <c r="R64" s="8">
        <v>9356033761</v>
      </c>
      <c r="S64" s="156">
        <f t="shared" si="8"/>
        <v>9356033761</v>
      </c>
      <c r="T64" s="156" t="str">
        <f t="shared" si="3"/>
        <v/>
      </c>
      <c r="U64" s="8" t="s">
        <v>753</v>
      </c>
      <c r="V64" s="8" t="s">
        <v>582</v>
      </c>
      <c r="W64" s="8" t="s">
        <v>580</v>
      </c>
      <c r="X64" s="8" t="s">
        <v>581</v>
      </c>
      <c r="Y64" s="8" t="s">
        <v>584</v>
      </c>
      <c r="Z64" s="8" t="s">
        <v>773</v>
      </c>
      <c r="AA64" s="8" t="str">
        <f>IF(Z64="N/A","",IF(OR(Z64="Level 1",Z64="Level 0"),"Php 16,000","Php 17,000"))</f>
        <v>Php 16,000</v>
      </c>
      <c r="AC64" s="8" t="str">
        <f t="shared" si="47"/>
        <v>Php 1,000</v>
      </c>
      <c r="AD64" s="8" t="s">
        <v>1038</v>
      </c>
      <c r="AE64" s="121" t="str">
        <f t="shared" si="43"/>
        <v/>
      </c>
      <c r="AF64" s="113" t="str">
        <f t="shared" si="44"/>
        <v/>
      </c>
      <c r="AG64" s="113"/>
      <c r="AH64" s="113" t="s">
        <v>52</v>
      </c>
      <c r="AI64" s="8" t="s">
        <v>253</v>
      </c>
      <c r="AJ64" s="156"/>
      <c r="AL64" s="8" t="s">
        <v>585</v>
      </c>
      <c r="AM64" s="8" t="s">
        <v>248</v>
      </c>
      <c r="AN64" s="20">
        <v>33923</v>
      </c>
      <c r="AO64" s="8" t="s">
        <v>833</v>
      </c>
      <c r="AP64" s="8" t="s">
        <v>833</v>
      </c>
      <c r="AQ64" s="8" t="s">
        <v>53</v>
      </c>
      <c r="AR64" s="8" t="s">
        <v>378</v>
      </c>
      <c r="AS64" s="187">
        <v>42046</v>
      </c>
      <c r="AT64" s="129">
        <v>42048</v>
      </c>
      <c r="AU64" s="129">
        <v>42059</v>
      </c>
      <c r="AV64" s="177">
        <v>42046</v>
      </c>
      <c r="AW64" s="187">
        <v>42053</v>
      </c>
      <c r="AX64" s="113" t="s">
        <v>967</v>
      </c>
      <c r="AY64" s="113"/>
      <c r="AZ64" s="129">
        <v>42053</v>
      </c>
      <c r="BA64" s="129">
        <v>42044</v>
      </c>
      <c r="BB64" s="182"/>
      <c r="BC64" s="187">
        <v>42053</v>
      </c>
      <c r="BD64" s="182" t="s">
        <v>968</v>
      </c>
      <c r="BE64" s="187">
        <v>42048</v>
      </c>
      <c r="BF64" s="182" t="s">
        <v>834</v>
      </c>
      <c r="BG64" s="187">
        <v>42048</v>
      </c>
      <c r="BH64" s="274" t="s">
        <v>835</v>
      </c>
      <c r="BI64" s="177">
        <v>42048</v>
      </c>
      <c r="BJ64" s="187">
        <v>42048</v>
      </c>
      <c r="BK64" s="113"/>
      <c r="BL64" s="182"/>
      <c r="BM64" s="187">
        <v>42048</v>
      </c>
      <c r="BN64" s="113"/>
      <c r="BO64" s="182"/>
      <c r="BP64" s="187">
        <v>42059</v>
      </c>
      <c r="BQ64" s="129">
        <v>42048</v>
      </c>
      <c r="BR64" s="182"/>
      <c r="BS64" s="187">
        <v>42045</v>
      </c>
      <c r="BT64" s="129">
        <v>42045</v>
      </c>
      <c r="BU64" s="177">
        <v>42045</v>
      </c>
      <c r="BV64" s="177"/>
      <c r="BW64" s="275" t="str">
        <f t="shared" si="57"/>
        <v xml:space="preserve">1905 2/18/2015, 2305 2/9/2015, MDR 2/13/2015, </v>
      </c>
      <c r="BX64" s="275" t="str">
        <f t="shared" si="45"/>
        <v/>
      </c>
      <c r="BY64" s="275" t="str">
        <f t="shared" si="5"/>
        <v/>
      </c>
      <c r="BZ64" s="277" t="str">
        <f t="shared" si="6"/>
        <v/>
      </c>
      <c r="CA64" s="156" t="str">
        <f t="shared" si="41"/>
        <v/>
      </c>
      <c r="CB64" s="155" t="str">
        <f t="shared" si="38"/>
        <v/>
      </c>
      <c r="CC64" s="156" t="str">
        <f t="shared" ca="1" si="33"/>
        <v/>
      </c>
      <c r="CD64" s="156" t="str">
        <f t="shared" si="49"/>
        <v/>
      </c>
      <c r="CE64" s="156" t="str">
        <f t="shared" si="50"/>
        <v/>
      </c>
      <c r="CF64" s="495" t="str">
        <f t="shared" si="13"/>
        <v/>
      </c>
      <c r="CG64" s="496" t="str">
        <f t="shared" si="51"/>
        <v/>
      </c>
      <c r="CH64" s="156" t="str">
        <f t="shared" si="52"/>
        <v/>
      </c>
      <c r="CI64" s="155" t="str">
        <f t="shared" si="34"/>
        <v/>
      </c>
      <c r="CJ64" s="155">
        <f t="shared" si="16"/>
        <v>42103</v>
      </c>
      <c r="CK64" s="156">
        <f t="shared" si="17"/>
        <v>4</v>
      </c>
      <c r="CL64" s="156">
        <f t="shared" si="18"/>
        <v>4</v>
      </c>
      <c r="CM64" s="156">
        <f t="shared" si="19"/>
        <v>4</v>
      </c>
      <c r="CN64" s="156">
        <f t="shared" si="20"/>
        <v>4</v>
      </c>
      <c r="CO64" s="156">
        <f t="shared" si="21"/>
        <v>4</v>
      </c>
      <c r="CP64" s="156">
        <f t="shared" si="22"/>
        <v>4</v>
      </c>
      <c r="CQ64" s="156">
        <f t="shared" si="23"/>
        <v>4</v>
      </c>
      <c r="CR64" s="156">
        <f t="shared" si="24"/>
        <v>4</v>
      </c>
      <c r="CS64" s="156">
        <f t="shared" si="25"/>
        <v>4</v>
      </c>
      <c r="CT64" s="156">
        <f t="shared" si="53"/>
        <v>4</v>
      </c>
      <c r="CU64" s="156">
        <f t="shared" si="54"/>
        <v>4</v>
      </c>
      <c r="CV64" s="156">
        <f t="shared" si="55"/>
        <v>4</v>
      </c>
      <c r="CW64" s="156">
        <f t="shared" si="29"/>
        <v>4</v>
      </c>
      <c r="CX64" s="156">
        <f t="shared" si="30"/>
        <v>5</v>
      </c>
      <c r="CY64" s="156">
        <f t="shared" si="31"/>
        <v>4</v>
      </c>
      <c r="CZ64" s="8">
        <f t="shared" si="35"/>
        <v>0</v>
      </c>
      <c r="DA64" s="8">
        <f t="shared" si="36"/>
        <v>0</v>
      </c>
      <c r="DB64" s="8">
        <f t="shared" si="37"/>
        <v>0</v>
      </c>
    </row>
    <row r="65" spans="1:106" s="8" customFormat="1" x14ac:dyDescent="0.25">
      <c r="A65" s="132">
        <v>183</v>
      </c>
      <c r="B65" s="129">
        <v>42044</v>
      </c>
      <c r="C65" s="113">
        <v>1082281</v>
      </c>
      <c r="D65" s="8" t="s">
        <v>667</v>
      </c>
      <c r="E65" s="8" t="str">
        <f t="shared" si="39"/>
        <v/>
      </c>
      <c r="F65" s="8" t="str">
        <f t="shared" si="40"/>
        <v/>
      </c>
      <c r="G65" s="113" t="s">
        <v>744</v>
      </c>
      <c r="H65" s="113"/>
      <c r="I65" s="113"/>
      <c r="J65" s="113"/>
      <c r="K65" s="152" t="str">
        <f t="shared" ca="1" si="48"/>
        <v/>
      </c>
      <c r="L65" s="113"/>
      <c r="M65" s="20">
        <v>42062</v>
      </c>
      <c r="N65" s="156" t="str">
        <f t="shared" si="2"/>
        <v/>
      </c>
      <c r="O65" s="8" t="s">
        <v>298</v>
      </c>
      <c r="P65" s="113" t="s">
        <v>689</v>
      </c>
      <c r="Q65" s="8" t="s">
        <v>589</v>
      </c>
      <c r="R65" s="8">
        <v>9266348658</v>
      </c>
      <c r="S65" s="156">
        <f t="shared" si="8"/>
        <v>9266348658</v>
      </c>
      <c r="T65" s="156" t="str">
        <f t="shared" si="3"/>
        <v/>
      </c>
      <c r="U65" s="8" t="s">
        <v>754</v>
      </c>
      <c r="V65" s="8" t="s">
        <v>588</v>
      </c>
      <c r="W65" s="8" t="s">
        <v>586</v>
      </c>
      <c r="X65" s="8" t="s">
        <v>587</v>
      </c>
      <c r="Y65" s="8" t="s">
        <v>1262</v>
      </c>
      <c r="Z65" s="8" t="s">
        <v>70</v>
      </c>
      <c r="AA65" s="8" t="s">
        <v>1391</v>
      </c>
      <c r="AC65" s="8" t="s">
        <v>1025</v>
      </c>
      <c r="AE65" s="121" t="str">
        <f t="shared" si="43"/>
        <v/>
      </c>
      <c r="AF65" s="113" t="str">
        <f t="shared" si="44"/>
        <v/>
      </c>
      <c r="AG65" s="113"/>
      <c r="AH65" s="113" t="s">
        <v>52</v>
      </c>
      <c r="AI65" s="8" t="s">
        <v>1261</v>
      </c>
      <c r="AJ65" s="156"/>
      <c r="AL65" s="8" t="s">
        <v>1252</v>
      </c>
      <c r="AN65" s="20">
        <v>34226</v>
      </c>
      <c r="AO65" s="8" t="s">
        <v>1001</v>
      </c>
      <c r="AQ65" s="8" t="s">
        <v>50</v>
      </c>
      <c r="AS65" s="165"/>
      <c r="AT65" s="129">
        <v>42053</v>
      </c>
      <c r="AU65" s="113"/>
      <c r="AV65" s="177">
        <v>42046</v>
      </c>
      <c r="AW65" s="187">
        <v>42053</v>
      </c>
      <c r="AX65" s="113" t="s">
        <v>969</v>
      </c>
      <c r="AY65" s="113"/>
      <c r="AZ65" s="129">
        <v>42054</v>
      </c>
      <c r="BA65" s="129">
        <v>42044</v>
      </c>
      <c r="BB65" s="182"/>
      <c r="BC65" s="187">
        <v>42053</v>
      </c>
      <c r="BD65" s="182" t="s">
        <v>970</v>
      </c>
      <c r="BE65" s="165"/>
      <c r="BF65" s="182"/>
      <c r="BG65" s="187">
        <v>42054</v>
      </c>
      <c r="BH65" s="274" t="s">
        <v>1008</v>
      </c>
      <c r="BI65" s="177">
        <v>42054</v>
      </c>
      <c r="BJ65" s="165"/>
      <c r="BK65" s="113"/>
      <c r="BL65" s="182"/>
      <c r="BM65" s="187">
        <v>42053</v>
      </c>
      <c r="BN65" s="113"/>
      <c r="BO65" s="182"/>
      <c r="BP65" s="187">
        <v>42054</v>
      </c>
      <c r="BQ65" s="113"/>
      <c r="BR65" s="182"/>
      <c r="BS65" s="187">
        <v>42045</v>
      </c>
      <c r="BT65" s="129">
        <v>42045</v>
      </c>
      <c r="BU65" s="177">
        <v>42045</v>
      </c>
      <c r="BV65" s="177"/>
      <c r="BW65" s="275" t="str">
        <f t="shared" si="57"/>
        <v xml:space="preserve">1905 2/19/2015, 2305 2/9/2015, MDR 2/19/2015, </v>
      </c>
      <c r="BX65" s="275" t="str">
        <f t="shared" si="45"/>
        <v/>
      </c>
      <c r="BY65" s="275" t="str">
        <f t="shared" si="5"/>
        <v/>
      </c>
      <c r="BZ65" s="277" t="str">
        <f t="shared" si="6"/>
        <v/>
      </c>
      <c r="CA65" s="156" t="str">
        <f t="shared" si="41"/>
        <v/>
      </c>
      <c r="CB65" s="155" t="str">
        <f t="shared" si="38"/>
        <v/>
      </c>
      <c r="CC65" s="156" t="str">
        <f t="shared" ca="1" si="33"/>
        <v/>
      </c>
      <c r="CD65" s="156" t="str">
        <f t="shared" si="49"/>
        <v/>
      </c>
      <c r="CE65" s="156" t="str">
        <f t="shared" si="50"/>
        <v/>
      </c>
      <c r="CF65" s="495" t="str">
        <f t="shared" si="13"/>
        <v/>
      </c>
      <c r="CG65" s="496" t="str">
        <f t="shared" si="51"/>
        <v/>
      </c>
      <c r="CH65" s="156" t="str">
        <f t="shared" si="52"/>
        <v/>
      </c>
      <c r="CI65" s="155" t="str">
        <f t="shared" si="34"/>
        <v/>
      </c>
      <c r="CJ65" s="155">
        <f t="shared" si="16"/>
        <v>42103</v>
      </c>
      <c r="CK65" s="156">
        <f t="shared" si="17"/>
        <v>4</v>
      </c>
      <c r="CL65" s="156">
        <f t="shared" si="18"/>
        <v>4</v>
      </c>
      <c r="CM65" s="156">
        <f t="shared" si="19"/>
        <v>4</v>
      </c>
      <c r="CN65" s="156">
        <f t="shared" si="20"/>
        <v>4</v>
      </c>
      <c r="CO65" s="156">
        <f t="shared" si="21"/>
        <v>4</v>
      </c>
      <c r="CP65" s="156">
        <f t="shared" si="22"/>
        <v>4</v>
      </c>
      <c r="CQ65" s="156">
        <f t="shared" si="23"/>
        <v>4</v>
      </c>
      <c r="CR65" s="156">
        <f t="shared" si="24"/>
        <v>4</v>
      </c>
      <c r="CS65" s="156">
        <f t="shared" si="25"/>
        <v>4</v>
      </c>
      <c r="CT65" s="156">
        <f t="shared" si="53"/>
        <v>4</v>
      </c>
      <c r="CU65" s="156">
        <f t="shared" si="54"/>
        <v>4</v>
      </c>
      <c r="CV65" s="156">
        <f t="shared" si="55"/>
        <v>4</v>
      </c>
      <c r="CW65" s="156">
        <f t="shared" si="29"/>
        <v>4</v>
      </c>
      <c r="CX65" s="156">
        <f t="shared" si="30"/>
        <v>6</v>
      </c>
      <c r="CY65" s="156">
        <f t="shared" si="31"/>
        <v>4</v>
      </c>
      <c r="CZ65" s="8">
        <f t="shared" si="35"/>
        <v>18</v>
      </c>
      <c r="DA65" s="8">
        <f t="shared" si="36"/>
        <v>0</v>
      </c>
      <c r="DB65" s="8">
        <f t="shared" si="37"/>
        <v>0</v>
      </c>
    </row>
    <row r="66" spans="1:106" s="321" customFormat="1" x14ac:dyDescent="0.25">
      <c r="A66" s="384">
        <v>183</v>
      </c>
      <c r="B66" s="318">
        <v>42044</v>
      </c>
      <c r="C66" s="317">
        <v>1082282</v>
      </c>
      <c r="D66" s="321" t="s">
        <v>668</v>
      </c>
      <c r="E66" s="321" t="str">
        <f t="shared" ref="E66:E97" si="58">IF(P66="(*_*)","",IF(BC66&lt;1,"SSS, ","")&amp;IF(BE66&lt;1,"HDMF, ","")&amp;IF(BG66&lt;1,"PHIC, ","")&amp;IF(BJ66&lt;1,"NBI, ","")&amp;IF(BM66&lt;1,"NSO, ","")&amp;IF(AS66&lt;1,"Info, ","")&amp;IF(AT66&lt;1,"AWOL, ","")&amp;IF(AU66&lt;1,"Hand, ","")&amp;IF(AV66&lt;1,"Waiver, ","")&amp;IF(AW66&lt;1,"TIN, ","")&amp;IF(AZ66&lt;1,"1905, ","")&amp;IF(BA66&lt;1,"2305, ",""))</f>
        <v/>
      </c>
      <c r="F66" s="321" t="str">
        <f t="shared" ref="F66:F97" si="59">IF(P66="(*_*)","",IF(BI66&lt;1,"MDR, ","")&amp;IF(BS66&lt;1,"JO, ","")&amp;IF(BT66&lt;1,"Contract, ","")&amp;IF(BU66&lt;1,"Confi, ","")&amp;IF(BQ66&lt;1,"TOR, ","")&amp;IF(BR66&lt;1,"COE, ","")&amp;IF(BP66&lt;1,"2x2, ",""))</f>
        <v xml:space="preserve">MDR, COE, </v>
      </c>
      <c r="G66" s="317" t="s">
        <v>744</v>
      </c>
      <c r="H66" s="317"/>
      <c r="I66" s="317"/>
      <c r="J66" s="317"/>
      <c r="K66" s="152" t="str">
        <f t="shared" ca="1" si="48"/>
        <v/>
      </c>
      <c r="L66" s="317"/>
      <c r="M66" s="334">
        <v>42051</v>
      </c>
      <c r="N66" s="156" t="str">
        <f t="shared" si="2"/>
        <v/>
      </c>
      <c r="O66" s="321" t="s">
        <v>302</v>
      </c>
      <c r="Q66" s="321" t="s">
        <v>593</v>
      </c>
      <c r="R66" s="321">
        <v>9166745304</v>
      </c>
      <c r="S66" s="156">
        <f t="shared" si="8"/>
        <v>9166745304</v>
      </c>
      <c r="T66" s="156" t="str">
        <f t="shared" si="3"/>
        <v/>
      </c>
      <c r="U66" s="321" t="s">
        <v>755</v>
      </c>
      <c r="V66" s="321" t="s">
        <v>592</v>
      </c>
      <c r="W66" s="321" t="s">
        <v>590</v>
      </c>
      <c r="X66" s="321" t="s">
        <v>591</v>
      </c>
      <c r="Y66" s="321" t="s">
        <v>1262</v>
      </c>
      <c r="Z66" s="321" t="s">
        <v>70</v>
      </c>
      <c r="AA66" s="321" t="s">
        <v>1391</v>
      </c>
      <c r="AC66" s="321" t="s">
        <v>1025</v>
      </c>
      <c r="AE66" s="377" t="str">
        <f t="shared" si="43"/>
        <v/>
      </c>
      <c r="AF66" s="317" t="str">
        <f t="shared" si="44"/>
        <v/>
      </c>
      <c r="AG66" s="317"/>
      <c r="AH66" s="317" t="s">
        <v>52</v>
      </c>
      <c r="AI66" s="321" t="s">
        <v>1261</v>
      </c>
      <c r="AJ66" s="156"/>
      <c r="AL66" s="321" t="s">
        <v>1252</v>
      </c>
      <c r="AN66" s="334">
        <v>31358</v>
      </c>
      <c r="AO66" s="321" t="s">
        <v>806</v>
      </c>
      <c r="AP66" s="321" t="s">
        <v>806</v>
      </c>
      <c r="AQ66" s="321" t="s">
        <v>50</v>
      </c>
      <c r="AR66" s="321" t="s">
        <v>378</v>
      </c>
      <c r="AS66" s="332">
        <v>42047</v>
      </c>
      <c r="AT66" s="318">
        <v>42047</v>
      </c>
      <c r="AU66" s="318">
        <v>42052</v>
      </c>
      <c r="AV66" s="329">
        <v>42046</v>
      </c>
      <c r="AW66" s="332">
        <v>42051</v>
      </c>
      <c r="AX66" s="317" t="s">
        <v>840</v>
      </c>
      <c r="AY66" s="317"/>
      <c r="AZ66" s="317">
        <v>1</v>
      </c>
      <c r="BA66" s="318">
        <v>42044</v>
      </c>
      <c r="BB66" s="326"/>
      <c r="BC66" s="332">
        <v>42047</v>
      </c>
      <c r="BD66" s="326" t="s">
        <v>807</v>
      </c>
      <c r="BE66" s="332">
        <v>42052</v>
      </c>
      <c r="BF66" s="326" t="s">
        <v>937</v>
      </c>
      <c r="BG66" s="332">
        <v>42047</v>
      </c>
      <c r="BH66" s="385" t="s">
        <v>808</v>
      </c>
      <c r="BI66" s="326"/>
      <c r="BJ66" s="332">
        <v>42047</v>
      </c>
      <c r="BK66" s="318"/>
      <c r="BL66" s="329"/>
      <c r="BM66" s="332">
        <v>42047</v>
      </c>
      <c r="BN66" s="317"/>
      <c r="BO66" s="326"/>
      <c r="BP66" s="332">
        <v>42047</v>
      </c>
      <c r="BQ66" s="318">
        <v>42047</v>
      </c>
      <c r="BR66" s="326"/>
      <c r="BS66" s="332">
        <v>42045</v>
      </c>
      <c r="BT66" s="318">
        <v>42045</v>
      </c>
      <c r="BU66" s="329">
        <v>42045</v>
      </c>
      <c r="BV66" s="329"/>
      <c r="BW66" s="275" t="str">
        <f t="shared" si="57"/>
        <v xml:space="preserve">2305 2/9/2015, </v>
      </c>
      <c r="BX66" s="275">
        <f t="shared" si="45"/>
        <v>11</v>
      </c>
      <c r="BY66" s="275">
        <f t="shared" si="5"/>
        <v>11</v>
      </c>
      <c r="BZ66" s="277">
        <f t="shared" si="6"/>
        <v>1</v>
      </c>
      <c r="CA66" s="156" t="str">
        <f t="shared" ref="CA66:CA97" si="60">IF((A66-A67)=0,"",A66)</f>
        <v/>
      </c>
      <c r="CB66" s="155" t="str">
        <f t="shared" si="38"/>
        <v/>
      </c>
      <c r="CC66" s="156" t="str">
        <f t="shared" ca="1" si="33"/>
        <v/>
      </c>
      <c r="CD66" s="156" t="str">
        <f t="shared" si="49"/>
        <v/>
      </c>
      <c r="CE66" s="156" t="str">
        <f t="shared" si="50"/>
        <v/>
      </c>
      <c r="CF66" s="495" t="str">
        <f t="shared" si="13"/>
        <v/>
      </c>
      <c r="CG66" s="496" t="str">
        <f t="shared" si="51"/>
        <v/>
      </c>
      <c r="CH66" s="156" t="str">
        <f t="shared" si="52"/>
        <v/>
      </c>
      <c r="CI66" s="155" t="str">
        <f t="shared" si="34"/>
        <v/>
      </c>
      <c r="CJ66" s="155">
        <f t="shared" si="16"/>
        <v>42103</v>
      </c>
      <c r="CK66" s="156">
        <f t="shared" si="17"/>
        <v>5</v>
      </c>
      <c r="CL66" s="156">
        <f t="shared" si="18"/>
        <v>5</v>
      </c>
      <c r="CM66" s="156">
        <f t="shared" si="19"/>
        <v>5</v>
      </c>
      <c r="CN66" s="156">
        <f t="shared" si="20"/>
        <v>5</v>
      </c>
      <c r="CO66" s="156">
        <f t="shared" si="21"/>
        <v>5</v>
      </c>
      <c r="CP66" s="156">
        <f t="shared" si="22"/>
        <v>5</v>
      </c>
      <c r="CQ66" s="156">
        <f t="shared" si="23"/>
        <v>5</v>
      </c>
      <c r="CR66" s="156">
        <f t="shared" si="24"/>
        <v>5</v>
      </c>
      <c r="CS66" s="156">
        <f t="shared" si="25"/>
        <v>5</v>
      </c>
      <c r="CT66" s="156">
        <f t="shared" si="53"/>
        <v>5</v>
      </c>
      <c r="CU66" s="156">
        <f t="shared" si="54"/>
        <v>5</v>
      </c>
      <c r="CV66" s="156">
        <f t="shared" si="55"/>
        <v>5</v>
      </c>
      <c r="CW66" s="156">
        <f t="shared" si="29"/>
        <v>5</v>
      </c>
      <c r="CX66" s="156">
        <f t="shared" si="30"/>
        <v>6</v>
      </c>
      <c r="CY66" s="156">
        <f t="shared" si="31"/>
        <v>5</v>
      </c>
      <c r="CZ66" s="321">
        <f t="shared" si="35"/>
        <v>7</v>
      </c>
      <c r="DA66" s="321">
        <f t="shared" si="36"/>
        <v>1</v>
      </c>
      <c r="DB66" s="321">
        <f t="shared" si="37"/>
        <v>1</v>
      </c>
    </row>
    <row r="67" spans="1:106" s="8" customFormat="1" x14ac:dyDescent="0.25">
      <c r="A67" s="132">
        <v>183</v>
      </c>
      <c r="B67" s="129">
        <v>42044</v>
      </c>
      <c r="C67" s="113">
        <v>1082283</v>
      </c>
      <c r="D67" s="8" t="s">
        <v>669</v>
      </c>
      <c r="E67" s="8" t="str">
        <f t="shared" si="58"/>
        <v/>
      </c>
      <c r="F67" s="8" t="str">
        <f t="shared" si="59"/>
        <v/>
      </c>
      <c r="G67" s="113" t="s">
        <v>744</v>
      </c>
      <c r="H67" s="113"/>
      <c r="I67" s="113"/>
      <c r="J67" s="113"/>
      <c r="K67" s="152" t="str">
        <f t="shared" ca="1" si="48"/>
        <v/>
      </c>
      <c r="L67" s="113"/>
      <c r="N67" s="156" t="str">
        <f t="shared" ref="N67:N130" si="61">IF(AND(M67&gt;0,AW67="")=TRUE,"UPDATE!",IF(AND(BM67&gt;0,AZ67&gt;0,BA67&gt;0,M67="",P67&lt;&gt;"(*_*)")=TRUE,"READY!",""))</f>
        <v/>
      </c>
      <c r="O67" s="8" t="s">
        <v>298</v>
      </c>
      <c r="P67" s="113" t="s">
        <v>689</v>
      </c>
      <c r="Q67" s="8" t="s">
        <v>597</v>
      </c>
      <c r="R67" s="8">
        <v>9096955186</v>
      </c>
      <c r="S67" s="156">
        <f t="shared" si="8"/>
        <v>9096955186</v>
      </c>
      <c r="T67" s="156" t="str">
        <f t="shared" ref="T67:T74" si="62">IFERROR(IF(SEARCH("/",R67)&gt;0,REPLACE(R67,1,11,""),""),"")</f>
        <v/>
      </c>
      <c r="U67" s="8" t="s">
        <v>756</v>
      </c>
      <c r="V67" s="8" t="s">
        <v>596</v>
      </c>
      <c r="W67" s="8" t="s">
        <v>594</v>
      </c>
      <c r="X67" s="8" t="s">
        <v>595</v>
      </c>
      <c r="Y67" s="8" t="s">
        <v>584</v>
      </c>
      <c r="Z67" s="8" t="s">
        <v>773</v>
      </c>
      <c r="AA67" s="8" t="str">
        <f t="shared" ref="AA67:AA91" si="63">IF(Z67="N/A","",IF(OR(Z67="Level 1",Z67="Level 0"),"Php 16,000","Php 17,000"))</f>
        <v>Php 16,000</v>
      </c>
      <c r="AC67" s="8" t="str">
        <f t="shared" si="47"/>
        <v>Php 1,000</v>
      </c>
      <c r="AD67" s="8" t="s">
        <v>1038</v>
      </c>
      <c r="AE67" s="121" t="str">
        <f t="shared" si="43"/>
        <v/>
      </c>
      <c r="AF67" s="113" t="str">
        <f t="shared" si="44"/>
        <v/>
      </c>
      <c r="AG67" s="113"/>
      <c r="AH67" s="113" t="s">
        <v>52</v>
      </c>
      <c r="AI67" s="8" t="s">
        <v>253</v>
      </c>
      <c r="AJ67" s="156"/>
      <c r="AL67" s="8" t="s">
        <v>585</v>
      </c>
      <c r="AM67" s="8" t="s">
        <v>248</v>
      </c>
      <c r="AN67" s="20">
        <v>33126</v>
      </c>
      <c r="AS67" s="165"/>
      <c r="AT67" s="113"/>
      <c r="AU67" s="113"/>
      <c r="AV67" s="182"/>
      <c r="AW67" s="187"/>
      <c r="AX67" s="113"/>
      <c r="AY67" s="113"/>
      <c r="AZ67" s="113"/>
      <c r="BA67" s="129">
        <v>42044</v>
      </c>
      <c r="BB67" s="182"/>
      <c r="BC67" s="165"/>
      <c r="BD67" s="182"/>
      <c r="BE67" s="165"/>
      <c r="BF67" s="182"/>
      <c r="BG67" s="165"/>
      <c r="BH67" s="274"/>
      <c r="BI67" s="182"/>
      <c r="BJ67" s="165"/>
      <c r="BK67" s="113"/>
      <c r="BL67" s="182"/>
      <c r="BM67" s="165"/>
      <c r="BN67" s="113"/>
      <c r="BO67" s="182"/>
      <c r="BP67" s="165"/>
      <c r="BQ67" s="113"/>
      <c r="BR67" s="182"/>
      <c r="BS67" s="187">
        <v>42045</v>
      </c>
      <c r="BT67" s="129">
        <v>42045</v>
      </c>
      <c r="BU67" s="177">
        <v>42045</v>
      </c>
      <c r="BV67" s="177"/>
      <c r="BW67" s="275" t="str">
        <f t="shared" si="57"/>
        <v xml:space="preserve">2305 (for processing) 2/9/2015, </v>
      </c>
      <c r="BX67" s="275" t="str">
        <f t="shared" ref="BX67:BX98" si="64">IF(O67="n","",COUNT(BM67,BJ67,BG67,BE67,BC67,AW67,AV67,AU67,AT67,AS67,AZ67))</f>
        <v/>
      </c>
      <c r="BY67" s="275" t="str">
        <f t="shared" ref="BY67:BY130" si="65">IF(O67="n","",11)</f>
        <v/>
      </c>
      <c r="BZ67" s="277" t="str">
        <f t="shared" si="6"/>
        <v/>
      </c>
      <c r="CA67" s="156" t="str">
        <f t="shared" si="60"/>
        <v/>
      </c>
      <c r="CB67" s="155" t="str">
        <f t="shared" si="38"/>
        <v/>
      </c>
      <c r="CC67" s="156" t="str">
        <f t="shared" ca="1" si="33"/>
        <v/>
      </c>
      <c r="CD67" s="156" t="str">
        <f t="shared" si="49"/>
        <v/>
      </c>
      <c r="CE67" s="156" t="str">
        <f t="shared" si="50"/>
        <v/>
      </c>
      <c r="CF67" s="495" t="str">
        <f t="shared" si="13"/>
        <v/>
      </c>
      <c r="CG67" s="496" t="str">
        <f t="shared" si="51"/>
        <v/>
      </c>
      <c r="CH67" s="156" t="str">
        <f t="shared" si="52"/>
        <v/>
      </c>
      <c r="CI67" s="155" t="str">
        <f t="shared" si="34"/>
        <v/>
      </c>
      <c r="CJ67" s="155">
        <f t="shared" si="16"/>
        <v>42103</v>
      </c>
      <c r="CK67" s="156">
        <f t="shared" si="17"/>
        <v>5</v>
      </c>
      <c r="CL67" s="156">
        <f t="shared" si="18"/>
        <v>5</v>
      </c>
      <c r="CM67" s="156">
        <f t="shared" si="19"/>
        <v>5</v>
      </c>
      <c r="CN67" s="156">
        <f t="shared" si="20"/>
        <v>5</v>
      </c>
      <c r="CO67" s="156">
        <f t="shared" si="21"/>
        <v>5</v>
      </c>
      <c r="CP67" s="156">
        <f t="shared" si="22"/>
        <v>5</v>
      </c>
      <c r="CQ67" s="156">
        <f t="shared" si="23"/>
        <v>5</v>
      </c>
      <c r="CR67" s="156">
        <f t="shared" si="24"/>
        <v>5</v>
      </c>
      <c r="CS67" s="156">
        <f t="shared" si="25"/>
        <v>5</v>
      </c>
      <c r="CT67" s="156">
        <f t="shared" si="53"/>
        <v>5</v>
      </c>
      <c r="CU67" s="156">
        <f t="shared" si="54"/>
        <v>5</v>
      </c>
      <c r="CV67" s="156">
        <f t="shared" si="55"/>
        <v>5</v>
      </c>
      <c r="CW67" s="156">
        <f t="shared" si="29"/>
        <v>5</v>
      </c>
      <c r="CX67" s="156">
        <f t="shared" si="30"/>
        <v>7</v>
      </c>
      <c r="CY67" s="156">
        <f t="shared" si="31"/>
        <v>5</v>
      </c>
      <c r="CZ67" s="8" t="str">
        <f t="shared" si="35"/>
        <v/>
      </c>
      <c r="DA67" s="8">
        <f t="shared" si="36"/>
        <v>0</v>
      </c>
      <c r="DB67" s="8">
        <f t="shared" si="37"/>
        <v>0</v>
      </c>
    </row>
    <row r="68" spans="1:106" s="321" customFormat="1" x14ac:dyDescent="0.25">
      <c r="A68" s="384">
        <v>183</v>
      </c>
      <c r="B68" s="318">
        <v>42044</v>
      </c>
      <c r="C68" s="317">
        <v>1082284</v>
      </c>
      <c r="D68" s="321" t="s">
        <v>670</v>
      </c>
      <c r="E68" s="321" t="str">
        <f t="shared" si="58"/>
        <v/>
      </c>
      <c r="F68" s="321" t="str">
        <f t="shared" si="59"/>
        <v xml:space="preserve">MDR, COE, 2x2, </v>
      </c>
      <c r="G68" s="317" t="s">
        <v>744</v>
      </c>
      <c r="H68" s="317"/>
      <c r="I68" s="317"/>
      <c r="J68" s="317"/>
      <c r="K68" s="152" t="str">
        <f t="shared" ca="1" si="48"/>
        <v/>
      </c>
      <c r="L68" s="317"/>
      <c r="M68" s="334">
        <v>42051</v>
      </c>
      <c r="N68" s="156" t="str">
        <f t="shared" si="61"/>
        <v/>
      </c>
      <c r="O68" s="321" t="s">
        <v>302</v>
      </c>
      <c r="Q68" s="321" t="s">
        <v>601</v>
      </c>
      <c r="R68" s="321">
        <v>91781704030</v>
      </c>
      <c r="S68" s="156">
        <f t="shared" si="8"/>
        <v>91781704030</v>
      </c>
      <c r="T68" s="156" t="str">
        <f t="shared" si="62"/>
        <v/>
      </c>
      <c r="U68" s="321" t="s">
        <v>757</v>
      </c>
      <c r="V68" s="321" t="s">
        <v>600</v>
      </c>
      <c r="W68" s="321" t="s">
        <v>598</v>
      </c>
      <c r="X68" s="321" t="s">
        <v>599</v>
      </c>
      <c r="Y68" s="321" t="s">
        <v>584</v>
      </c>
      <c r="Z68" s="321" t="s">
        <v>773</v>
      </c>
      <c r="AA68" s="321" t="str">
        <f t="shared" si="63"/>
        <v>Php 16,000</v>
      </c>
      <c r="AC68" s="321" t="str">
        <f t="shared" si="47"/>
        <v>Php 1,000</v>
      </c>
      <c r="AD68" s="321" t="s">
        <v>1038</v>
      </c>
      <c r="AE68" s="377" t="str">
        <f t="shared" si="43"/>
        <v/>
      </c>
      <c r="AF68" s="317" t="str">
        <f t="shared" si="44"/>
        <v/>
      </c>
      <c r="AG68" s="317"/>
      <c r="AH68" s="317" t="s">
        <v>52</v>
      </c>
      <c r="AI68" s="321" t="s">
        <v>253</v>
      </c>
      <c r="AJ68" s="156"/>
      <c r="AL68" s="321" t="s">
        <v>585</v>
      </c>
      <c r="AM68" s="321" t="s">
        <v>248</v>
      </c>
      <c r="AN68" s="334">
        <v>32263</v>
      </c>
      <c r="AO68" s="321" t="s">
        <v>701</v>
      </c>
      <c r="AP68" s="321" t="s">
        <v>701</v>
      </c>
      <c r="AQ68" s="321" t="s">
        <v>50</v>
      </c>
      <c r="AR68" s="321" t="s">
        <v>378</v>
      </c>
      <c r="AS68" s="332">
        <v>42045</v>
      </c>
      <c r="AT68" s="318">
        <v>42045</v>
      </c>
      <c r="AU68" s="318">
        <v>42045</v>
      </c>
      <c r="AV68" s="329">
        <v>42046</v>
      </c>
      <c r="AW68" s="332">
        <v>42047</v>
      </c>
      <c r="AX68" s="317" t="s">
        <v>809</v>
      </c>
      <c r="AY68" s="317"/>
      <c r="AZ68" s="317">
        <v>3</v>
      </c>
      <c r="BA68" s="318">
        <v>42044</v>
      </c>
      <c r="BB68" s="326"/>
      <c r="BC68" s="332">
        <v>42047</v>
      </c>
      <c r="BD68" s="326" t="s">
        <v>810</v>
      </c>
      <c r="BE68" s="332">
        <v>42048</v>
      </c>
      <c r="BF68" s="326" t="s">
        <v>836</v>
      </c>
      <c r="BG68" s="332">
        <v>42047</v>
      </c>
      <c r="BH68" s="385" t="s">
        <v>811</v>
      </c>
      <c r="BI68" s="326"/>
      <c r="BJ68" s="332">
        <v>42045</v>
      </c>
      <c r="BK68" s="318"/>
      <c r="BL68" s="329"/>
      <c r="BM68" s="332">
        <v>42047</v>
      </c>
      <c r="BN68" s="317"/>
      <c r="BO68" s="326"/>
      <c r="BP68" s="337"/>
      <c r="BQ68" s="318">
        <v>42045</v>
      </c>
      <c r="BR68" s="326"/>
      <c r="BS68" s="332">
        <v>42045</v>
      </c>
      <c r="BT68" s="318">
        <v>42045</v>
      </c>
      <c r="BU68" s="329">
        <v>42045</v>
      </c>
      <c r="BV68" s="329"/>
      <c r="BW68" s="275" t="str">
        <f t="shared" si="57"/>
        <v xml:space="preserve">2305 2/9/2015, </v>
      </c>
      <c r="BX68" s="275">
        <f t="shared" si="64"/>
        <v>11</v>
      </c>
      <c r="BY68" s="275">
        <f t="shared" si="65"/>
        <v>11</v>
      </c>
      <c r="BZ68" s="277">
        <f t="shared" ref="BZ68:BZ100" si="66">IFERROR(BX68/BY68,"")</f>
        <v>1</v>
      </c>
      <c r="CA68" s="156" t="str">
        <f t="shared" si="60"/>
        <v/>
      </c>
      <c r="CB68" s="155" t="str">
        <f t="shared" si="38"/>
        <v/>
      </c>
      <c r="CC68" s="156" t="str">
        <f t="shared" ca="1" si="33"/>
        <v/>
      </c>
      <c r="CD68" s="156" t="str">
        <f t="shared" si="49"/>
        <v/>
      </c>
      <c r="CE68" s="156" t="str">
        <f t="shared" si="50"/>
        <v/>
      </c>
      <c r="CF68" s="495" t="str">
        <f t="shared" si="13"/>
        <v/>
      </c>
      <c r="CG68" s="496" t="str">
        <f t="shared" si="51"/>
        <v/>
      </c>
      <c r="CH68" s="156" t="str">
        <f t="shared" si="52"/>
        <v/>
      </c>
      <c r="CI68" s="155" t="str">
        <f t="shared" si="34"/>
        <v/>
      </c>
      <c r="CJ68" s="155">
        <f t="shared" si="16"/>
        <v>42103</v>
      </c>
      <c r="CK68" s="156">
        <f t="shared" si="17"/>
        <v>6</v>
      </c>
      <c r="CL68" s="156">
        <f t="shared" si="18"/>
        <v>6</v>
      </c>
      <c r="CM68" s="156">
        <f t="shared" si="19"/>
        <v>6</v>
      </c>
      <c r="CN68" s="156">
        <f t="shared" si="20"/>
        <v>6</v>
      </c>
      <c r="CO68" s="156">
        <f t="shared" si="21"/>
        <v>6</v>
      </c>
      <c r="CP68" s="156">
        <f t="shared" si="22"/>
        <v>6</v>
      </c>
      <c r="CQ68" s="156">
        <f t="shared" si="23"/>
        <v>6</v>
      </c>
      <c r="CR68" s="156">
        <f t="shared" si="24"/>
        <v>6</v>
      </c>
      <c r="CS68" s="156">
        <f t="shared" si="25"/>
        <v>6</v>
      </c>
      <c r="CT68" s="156">
        <f t="shared" si="53"/>
        <v>6</v>
      </c>
      <c r="CU68" s="156">
        <f t="shared" si="54"/>
        <v>6</v>
      </c>
      <c r="CV68" s="156">
        <f t="shared" si="55"/>
        <v>6</v>
      </c>
      <c r="CW68" s="156">
        <f t="shared" si="29"/>
        <v>6</v>
      </c>
      <c r="CX68" s="156">
        <f t="shared" si="30"/>
        <v>7</v>
      </c>
      <c r="CY68" s="156">
        <f t="shared" si="31"/>
        <v>6</v>
      </c>
      <c r="CZ68" s="321">
        <f t="shared" si="35"/>
        <v>7</v>
      </c>
      <c r="DA68" s="321">
        <f t="shared" si="36"/>
        <v>1</v>
      </c>
      <c r="DB68" s="321">
        <f t="shared" si="37"/>
        <v>1</v>
      </c>
    </row>
    <row r="69" spans="1:106" s="321" customFormat="1" x14ac:dyDescent="0.25">
      <c r="A69" s="384">
        <v>183</v>
      </c>
      <c r="B69" s="318">
        <v>42044</v>
      </c>
      <c r="C69" s="317">
        <v>1082285</v>
      </c>
      <c r="D69" s="321" t="s">
        <v>671</v>
      </c>
      <c r="E69" s="321" t="str">
        <f t="shared" si="58"/>
        <v/>
      </c>
      <c r="F69" s="321" t="str">
        <f t="shared" si="59"/>
        <v xml:space="preserve">TOR, COE, </v>
      </c>
      <c r="G69" s="317" t="s">
        <v>744</v>
      </c>
      <c r="H69" s="317"/>
      <c r="I69" s="317"/>
      <c r="J69" s="317"/>
      <c r="K69" s="152" t="str">
        <f t="shared" ca="1" si="48"/>
        <v/>
      </c>
      <c r="L69" s="318">
        <v>42073</v>
      </c>
      <c r="M69" s="334">
        <v>42062</v>
      </c>
      <c r="N69" s="156" t="str">
        <f t="shared" si="61"/>
        <v/>
      </c>
      <c r="O69" s="321" t="s">
        <v>302</v>
      </c>
      <c r="Q69" s="321" t="s">
        <v>605</v>
      </c>
      <c r="R69" s="321">
        <v>9063501390</v>
      </c>
      <c r="S69" s="156">
        <f t="shared" si="8"/>
        <v>9063501390</v>
      </c>
      <c r="T69" s="156" t="str">
        <f t="shared" si="62"/>
        <v/>
      </c>
      <c r="U69" s="321" t="s">
        <v>758</v>
      </c>
      <c r="V69" s="321" t="s">
        <v>604</v>
      </c>
      <c r="W69" s="321" t="s">
        <v>602</v>
      </c>
      <c r="X69" s="321" t="s">
        <v>603</v>
      </c>
      <c r="Y69" s="321" t="s">
        <v>584</v>
      </c>
      <c r="Z69" s="321" t="s">
        <v>773</v>
      </c>
      <c r="AA69" s="321" t="str">
        <f t="shared" si="63"/>
        <v>Php 16,000</v>
      </c>
      <c r="AC69" s="321" t="str">
        <f t="shared" si="47"/>
        <v>Php 1,000</v>
      </c>
      <c r="AD69" s="321" t="s">
        <v>1038</v>
      </c>
      <c r="AE69" s="377" t="str">
        <f t="shared" si="43"/>
        <v/>
      </c>
      <c r="AF69" s="317" t="str">
        <f t="shared" si="44"/>
        <v/>
      </c>
      <c r="AG69" s="317"/>
      <c r="AH69" s="317" t="s">
        <v>52</v>
      </c>
      <c r="AI69" s="321" t="s">
        <v>338</v>
      </c>
      <c r="AJ69" s="156" t="s">
        <v>1134</v>
      </c>
      <c r="AL69" s="321" t="s">
        <v>585</v>
      </c>
      <c r="AM69" s="321" t="s">
        <v>248</v>
      </c>
      <c r="AN69" s="334">
        <v>32139</v>
      </c>
      <c r="AO69" s="321" t="s">
        <v>1013</v>
      </c>
      <c r="AP69" s="321" t="s">
        <v>1013</v>
      </c>
      <c r="AQ69" s="321" t="s">
        <v>53</v>
      </c>
      <c r="AR69" s="321" t="s">
        <v>378</v>
      </c>
      <c r="AS69" s="332">
        <v>42059</v>
      </c>
      <c r="AT69" s="318">
        <v>42059</v>
      </c>
      <c r="AU69" s="318">
        <v>42059</v>
      </c>
      <c r="AV69" s="329">
        <v>42046</v>
      </c>
      <c r="AW69" s="332">
        <v>42059</v>
      </c>
      <c r="AX69" s="317" t="s">
        <v>1066</v>
      </c>
      <c r="AY69" s="317"/>
      <c r="AZ69" s="318">
        <v>42059</v>
      </c>
      <c r="BA69" s="318">
        <v>42046</v>
      </c>
      <c r="BB69" s="326"/>
      <c r="BC69" s="332">
        <v>42059</v>
      </c>
      <c r="BD69" s="326" t="s">
        <v>1068</v>
      </c>
      <c r="BE69" s="332">
        <v>42059</v>
      </c>
      <c r="BF69" s="326" t="s">
        <v>1067</v>
      </c>
      <c r="BG69" s="332">
        <v>42065</v>
      </c>
      <c r="BH69" s="385" t="s">
        <v>1192</v>
      </c>
      <c r="BI69" s="329">
        <v>42065</v>
      </c>
      <c r="BJ69" s="332">
        <v>42090</v>
      </c>
      <c r="BK69" s="318">
        <v>42065</v>
      </c>
      <c r="BL69" s="329">
        <v>42069</v>
      </c>
      <c r="BM69" s="332">
        <v>42059</v>
      </c>
      <c r="BN69" s="317"/>
      <c r="BO69" s="326"/>
      <c r="BP69" s="332">
        <v>42090</v>
      </c>
      <c r="BQ69" s="317"/>
      <c r="BR69" s="326"/>
      <c r="BS69" s="332">
        <v>42045</v>
      </c>
      <c r="BT69" s="318">
        <v>42045</v>
      </c>
      <c r="BU69" s="329">
        <v>42045</v>
      </c>
      <c r="BV69" s="329"/>
      <c r="BW69" s="275" t="str">
        <f t="shared" si="57"/>
        <v xml:space="preserve">1905 2/24/2015, 2305 2/11/2015, MDR 3/2/2015, NBI receipt 3/2/2015, </v>
      </c>
      <c r="BX69" s="275">
        <f t="shared" si="64"/>
        <v>11</v>
      </c>
      <c r="BY69" s="275">
        <f t="shared" si="65"/>
        <v>11</v>
      </c>
      <c r="BZ69" s="277">
        <f t="shared" si="66"/>
        <v>1</v>
      </c>
      <c r="CA69" s="156" t="str">
        <f t="shared" si="60"/>
        <v/>
      </c>
      <c r="CB69" s="155" t="str">
        <f t="shared" si="38"/>
        <v/>
      </c>
      <c r="CC69" s="156" t="str">
        <f t="shared" ca="1" si="33"/>
        <v/>
      </c>
      <c r="CD69" s="156" t="str">
        <f t="shared" si="49"/>
        <v/>
      </c>
      <c r="CE69" s="156" t="str">
        <f t="shared" si="50"/>
        <v/>
      </c>
      <c r="CF69" s="495" t="str">
        <f t="shared" si="13"/>
        <v/>
      </c>
      <c r="CG69" s="496" t="str">
        <f t="shared" si="51"/>
        <v/>
      </c>
      <c r="CH69" s="156" t="str">
        <f t="shared" si="52"/>
        <v/>
      </c>
      <c r="CI69" s="155" t="str">
        <f t="shared" si="34"/>
        <v/>
      </c>
      <c r="CJ69" s="155">
        <f t="shared" si="16"/>
        <v>42103</v>
      </c>
      <c r="CK69" s="156">
        <f t="shared" si="17"/>
        <v>7</v>
      </c>
      <c r="CL69" s="156">
        <f t="shared" si="18"/>
        <v>7</v>
      </c>
      <c r="CM69" s="156">
        <f t="shared" si="19"/>
        <v>7</v>
      </c>
      <c r="CN69" s="156">
        <f t="shared" si="20"/>
        <v>7</v>
      </c>
      <c r="CO69" s="156">
        <f t="shared" si="21"/>
        <v>7</v>
      </c>
      <c r="CP69" s="156">
        <f t="shared" si="22"/>
        <v>7</v>
      </c>
      <c r="CQ69" s="156">
        <f t="shared" si="23"/>
        <v>7</v>
      </c>
      <c r="CR69" s="156">
        <f t="shared" si="24"/>
        <v>7</v>
      </c>
      <c r="CS69" s="156">
        <f t="shared" si="25"/>
        <v>7</v>
      </c>
      <c r="CT69" s="156">
        <f t="shared" si="53"/>
        <v>7</v>
      </c>
      <c r="CU69" s="156">
        <f t="shared" si="54"/>
        <v>7</v>
      </c>
      <c r="CV69" s="156">
        <f t="shared" si="55"/>
        <v>7</v>
      </c>
      <c r="CW69" s="156">
        <f t="shared" si="29"/>
        <v>7</v>
      </c>
      <c r="CX69" s="156">
        <f t="shared" si="30"/>
        <v>7</v>
      </c>
      <c r="CY69" s="156">
        <f t="shared" si="31"/>
        <v>7</v>
      </c>
      <c r="CZ69" s="321">
        <f t="shared" si="35"/>
        <v>18</v>
      </c>
      <c r="DA69" s="321">
        <f t="shared" si="36"/>
        <v>1</v>
      </c>
      <c r="DB69" s="321">
        <f t="shared" si="37"/>
        <v>1</v>
      </c>
    </row>
    <row r="70" spans="1:106" s="8" customFormat="1" x14ac:dyDescent="0.25">
      <c r="A70" s="132">
        <v>183</v>
      </c>
      <c r="B70" s="129">
        <v>42044</v>
      </c>
      <c r="C70" s="113">
        <v>1082286</v>
      </c>
      <c r="D70" s="8" t="s">
        <v>672</v>
      </c>
      <c r="E70" s="8" t="str">
        <f t="shared" si="58"/>
        <v/>
      </c>
      <c r="F70" s="8" t="str">
        <f t="shared" si="59"/>
        <v/>
      </c>
      <c r="G70" s="113" t="s">
        <v>744</v>
      </c>
      <c r="H70" s="113"/>
      <c r="I70" s="113"/>
      <c r="J70" s="113"/>
      <c r="K70" s="152" t="str">
        <f t="shared" ca="1" si="48"/>
        <v/>
      </c>
      <c r="L70" s="113"/>
      <c r="M70" s="20">
        <v>42062</v>
      </c>
      <c r="N70" s="156" t="str">
        <f t="shared" si="61"/>
        <v/>
      </c>
      <c r="O70" s="8" t="s">
        <v>298</v>
      </c>
      <c r="P70" s="113" t="s">
        <v>689</v>
      </c>
      <c r="Q70" s="8" t="s">
        <v>609</v>
      </c>
      <c r="R70" s="8">
        <v>9051635295</v>
      </c>
      <c r="S70" s="156">
        <f t="shared" si="8"/>
        <v>9051635295</v>
      </c>
      <c r="T70" s="156" t="str">
        <f t="shared" si="62"/>
        <v/>
      </c>
      <c r="U70" s="8" t="s">
        <v>759</v>
      </c>
      <c r="V70" s="8" t="s">
        <v>608</v>
      </c>
      <c r="W70" s="8" t="s">
        <v>606</v>
      </c>
      <c r="X70" s="8" t="s">
        <v>607</v>
      </c>
      <c r="Y70" s="8" t="s">
        <v>1262</v>
      </c>
      <c r="Z70" s="8" t="s">
        <v>70</v>
      </c>
      <c r="AA70" s="8" t="s">
        <v>1391</v>
      </c>
      <c r="AC70" s="8" t="s">
        <v>1025</v>
      </c>
      <c r="AE70" s="121" t="str">
        <f t="shared" si="43"/>
        <v/>
      </c>
      <c r="AF70" s="113" t="str">
        <f t="shared" si="44"/>
        <v/>
      </c>
      <c r="AG70" s="113"/>
      <c r="AH70" s="113" t="s">
        <v>52</v>
      </c>
      <c r="AI70" s="8" t="s">
        <v>338</v>
      </c>
      <c r="AJ70" s="156" t="s">
        <v>1135</v>
      </c>
      <c r="AL70" s="8" t="s">
        <v>1252</v>
      </c>
      <c r="AN70" s="20">
        <v>33734</v>
      </c>
      <c r="AO70" s="8" t="s">
        <v>826</v>
      </c>
      <c r="AP70" s="8" t="s">
        <v>826</v>
      </c>
      <c r="AQ70" s="8" t="s">
        <v>50</v>
      </c>
      <c r="AR70" s="8" t="s">
        <v>378</v>
      </c>
      <c r="AS70" s="187">
        <v>42048</v>
      </c>
      <c r="AT70" s="129">
        <v>42048</v>
      </c>
      <c r="AU70" s="129">
        <v>42048</v>
      </c>
      <c r="AV70" s="177">
        <v>42046</v>
      </c>
      <c r="AW70" s="187">
        <v>42059</v>
      </c>
      <c r="AX70" s="113" t="s">
        <v>1065</v>
      </c>
      <c r="AY70" s="113"/>
      <c r="AZ70" s="129">
        <v>42059</v>
      </c>
      <c r="BA70" s="129">
        <v>42044</v>
      </c>
      <c r="BB70" s="182"/>
      <c r="BC70" s="187">
        <v>42048</v>
      </c>
      <c r="BD70" s="182" t="s">
        <v>825</v>
      </c>
      <c r="BE70" s="187">
        <v>42048</v>
      </c>
      <c r="BF70" s="182" t="s">
        <v>828</v>
      </c>
      <c r="BG70" s="187">
        <v>42048</v>
      </c>
      <c r="BH70" s="274" t="s">
        <v>827</v>
      </c>
      <c r="BI70" s="177">
        <v>42048</v>
      </c>
      <c r="BJ70" s="187">
        <v>42048</v>
      </c>
      <c r="BK70" s="113"/>
      <c r="BL70" s="182"/>
      <c r="BM70" s="187">
        <v>42048</v>
      </c>
      <c r="BN70" s="113"/>
      <c r="BO70" s="182"/>
      <c r="BP70" s="165"/>
      <c r="BQ70" s="129">
        <v>42048</v>
      </c>
      <c r="BR70" s="182"/>
      <c r="BS70" s="187">
        <v>42045</v>
      </c>
      <c r="BT70" s="129">
        <v>42045</v>
      </c>
      <c r="BU70" s="177">
        <v>42045</v>
      </c>
      <c r="BV70" s="177"/>
      <c r="BW70" s="275" t="str">
        <f t="shared" si="57"/>
        <v xml:space="preserve">1905 2/24/2015, 2305 2/9/2015, MDR 2/13/2015, </v>
      </c>
      <c r="BX70" s="275" t="str">
        <f t="shared" si="64"/>
        <v/>
      </c>
      <c r="BY70" s="275" t="str">
        <f t="shared" si="65"/>
        <v/>
      </c>
      <c r="BZ70" s="277" t="str">
        <f t="shared" si="66"/>
        <v/>
      </c>
      <c r="CA70" s="156" t="str">
        <f t="shared" si="60"/>
        <v/>
      </c>
      <c r="CB70" s="155" t="str">
        <f t="shared" si="38"/>
        <v/>
      </c>
      <c r="CC70" s="156" t="str">
        <f t="shared" ca="1" si="33"/>
        <v/>
      </c>
      <c r="CD70" s="156" t="str">
        <f t="shared" si="49"/>
        <v/>
      </c>
      <c r="CE70" s="156" t="str">
        <f t="shared" si="50"/>
        <v/>
      </c>
      <c r="CF70" s="495" t="str">
        <f t="shared" si="13"/>
        <v/>
      </c>
      <c r="CG70" s="496" t="str">
        <f t="shared" si="51"/>
        <v/>
      </c>
      <c r="CH70" s="156" t="str">
        <f t="shared" si="52"/>
        <v/>
      </c>
      <c r="CI70" s="155" t="str">
        <f t="shared" si="34"/>
        <v/>
      </c>
      <c r="CJ70" s="155">
        <f t="shared" si="16"/>
        <v>42103</v>
      </c>
      <c r="CK70" s="156">
        <f t="shared" si="17"/>
        <v>7</v>
      </c>
      <c r="CL70" s="156">
        <f t="shared" si="18"/>
        <v>7</v>
      </c>
      <c r="CM70" s="156">
        <f t="shared" si="19"/>
        <v>7</v>
      </c>
      <c r="CN70" s="156">
        <f t="shared" si="20"/>
        <v>7</v>
      </c>
      <c r="CO70" s="156">
        <f t="shared" si="21"/>
        <v>7</v>
      </c>
      <c r="CP70" s="156">
        <f t="shared" si="22"/>
        <v>7</v>
      </c>
      <c r="CQ70" s="156">
        <f t="shared" si="23"/>
        <v>7</v>
      </c>
      <c r="CR70" s="156">
        <f t="shared" si="24"/>
        <v>7</v>
      </c>
      <c r="CS70" s="156">
        <f t="shared" si="25"/>
        <v>7</v>
      </c>
      <c r="CT70" s="156">
        <f t="shared" si="53"/>
        <v>7</v>
      </c>
      <c r="CU70" s="156">
        <f t="shared" si="54"/>
        <v>7</v>
      </c>
      <c r="CV70" s="156">
        <f t="shared" si="55"/>
        <v>7</v>
      </c>
      <c r="CW70" s="156">
        <f t="shared" si="29"/>
        <v>7</v>
      </c>
      <c r="CX70" s="156">
        <f t="shared" si="30"/>
        <v>8</v>
      </c>
      <c r="CY70" s="156">
        <f t="shared" si="31"/>
        <v>7</v>
      </c>
      <c r="CZ70" s="8">
        <f t="shared" si="35"/>
        <v>18</v>
      </c>
      <c r="DA70" s="8">
        <f t="shared" si="36"/>
        <v>0</v>
      </c>
      <c r="DB70" s="8">
        <f t="shared" si="37"/>
        <v>0</v>
      </c>
    </row>
    <row r="71" spans="1:106" s="321" customFormat="1" x14ac:dyDescent="0.25">
      <c r="A71" s="384">
        <v>183</v>
      </c>
      <c r="B71" s="318">
        <v>42044</v>
      </c>
      <c r="C71" s="317">
        <v>1082287</v>
      </c>
      <c r="D71" s="321" t="s">
        <v>673</v>
      </c>
      <c r="E71" s="321" t="str">
        <f t="shared" si="58"/>
        <v/>
      </c>
      <c r="F71" s="321" t="str">
        <f t="shared" si="59"/>
        <v/>
      </c>
      <c r="G71" s="317" t="s">
        <v>744</v>
      </c>
      <c r="H71" s="317"/>
      <c r="I71" s="317"/>
      <c r="J71" s="317"/>
      <c r="K71" s="152" t="str">
        <f t="shared" ref="K71:K102" ca="1" si="67">IF(IF(OR(O71="c",O71="n"),"",IF(L71="",IF((TODAY()-B71)&gt;20,"Dedlyn!",(B71+18)-TODAY()),L71-TODAY()))&lt;1,"Dedlyn!",IF(OR(O71="c",O71="n"),"",IF(L71="",IF((TODAY()-B71)&gt;20,"Dedlyn!",(B71+18)-TODAY()),L71-TODAY())))</f>
        <v/>
      </c>
      <c r="L71" s="317"/>
      <c r="M71" s="334">
        <v>42051</v>
      </c>
      <c r="N71" s="156" t="str">
        <f t="shared" si="61"/>
        <v/>
      </c>
      <c r="O71" s="321" t="s">
        <v>302</v>
      </c>
      <c r="Q71" s="321" t="s">
        <v>613</v>
      </c>
      <c r="R71" s="321">
        <v>9176261735</v>
      </c>
      <c r="S71" s="156">
        <f t="shared" ref="S71:S128" si="68">IFERROR(IF(SEARCH("/",R71)&gt;0,REPLACE(R71,11,11,""),R71),R71)</f>
        <v>9176261735</v>
      </c>
      <c r="T71" s="156" t="str">
        <f t="shared" si="62"/>
        <v/>
      </c>
      <c r="U71" s="321" t="s">
        <v>760</v>
      </c>
      <c r="V71" s="321" t="s">
        <v>612</v>
      </c>
      <c r="W71" s="321" t="s">
        <v>610</v>
      </c>
      <c r="X71" s="321" t="s">
        <v>611</v>
      </c>
      <c r="Y71" s="321" t="s">
        <v>584</v>
      </c>
      <c r="Z71" s="321" t="s">
        <v>773</v>
      </c>
      <c r="AA71" s="321" t="str">
        <f t="shared" si="63"/>
        <v>Php 16,000</v>
      </c>
      <c r="AC71" s="321" t="str">
        <f t="shared" si="47"/>
        <v>Php 1,000</v>
      </c>
      <c r="AD71" s="321" t="s">
        <v>1038</v>
      </c>
      <c r="AE71" s="377" t="str">
        <f t="shared" si="43"/>
        <v/>
      </c>
      <c r="AF71" s="317" t="str">
        <f t="shared" si="44"/>
        <v/>
      </c>
      <c r="AG71" s="317"/>
      <c r="AH71" s="317" t="s">
        <v>52</v>
      </c>
      <c r="AI71" s="321" t="s">
        <v>253</v>
      </c>
      <c r="AJ71" s="156"/>
      <c r="AL71" s="321" t="s">
        <v>585</v>
      </c>
      <c r="AM71" s="321" t="s">
        <v>248</v>
      </c>
      <c r="AN71" s="334">
        <v>33183</v>
      </c>
      <c r="AO71" s="321" t="s">
        <v>785</v>
      </c>
      <c r="AP71" s="321" t="s">
        <v>785</v>
      </c>
      <c r="AQ71" s="321" t="s">
        <v>53</v>
      </c>
      <c r="AR71" s="321" t="s">
        <v>378</v>
      </c>
      <c r="AS71" s="332">
        <v>42046</v>
      </c>
      <c r="AT71" s="318">
        <v>42046</v>
      </c>
      <c r="AU71" s="318">
        <v>42046</v>
      </c>
      <c r="AV71" s="329">
        <v>42046</v>
      </c>
      <c r="AW71" s="332">
        <v>42047</v>
      </c>
      <c r="AX71" s="317" t="s">
        <v>805</v>
      </c>
      <c r="AY71" s="317"/>
      <c r="AZ71" s="318">
        <v>42047</v>
      </c>
      <c r="BA71" s="318">
        <v>42046</v>
      </c>
      <c r="BB71" s="326"/>
      <c r="BC71" s="332">
        <v>42053</v>
      </c>
      <c r="BD71" s="326" t="s">
        <v>965</v>
      </c>
      <c r="BE71" s="332">
        <v>42059</v>
      </c>
      <c r="BF71" s="326" t="s">
        <v>1069</v>
      </c>
      <c r="BG71" s="332">
        <v>42046</v>
      </c>
      <c r="BH71" s="385" t="s">
        <v>988</v>
      </c>
      <c r="BI71" s="329">
        <v>42046</v>
      </c>
      <c r="BJ71" s="332">
        <v>42046</v>
      </c>
      <c r="BK71" s="318"/>
      <c r="BL71" s="329"/>
      <c r="BM71" s="332">
        <v>42046</v>
      </c>
      <c r="BN71" s="317"/>
      <c r="BO71" s="329">
        <v>42046</v>
      </c>
      <c r="BP71" s="332">
        <v>42061</v>
      </c>
      <c r="BQ71" s="318">
        <v>42046</v>
      </c>
      <c r="BR71" s="329">
        <v>42046</v>
      </c>
      <c r="BS71" s="332">
        <v>42046</v>
      </c>
      <c r="BT71" s="318">
        <v>42046</v>
      </c>
      <c r="BU71" s="329">
        <v>42046</v>
      </c>
      <c r="BV71" s="329"/>
      <c r="BW71" s="275" t="str">
        <f t="shared" si="57"/>
        <v xml:space="preserve">1905 2/12/2015, 2305 2/11/2015, MDR 2/11/2015, </v>
      </c>
      <c r="BX71" s="275">
        <f t="shared" si="64"/>
        <v>11</v>
      </c>
      <c r="BY71" s="275">
        <f t="shared" si="65"/>
        <v>11</v>
      </c>
      <c r="BZ71" s="277">
        <f t="shared" si="66"/>
        <v>1</v>
      </c>
      <c r="CA71" s="156" t="str">
        <f t="shared" si="60"/>
        <v/>
      </c>
      <c r="CB71" s="155" t="str">
        <f t="shared" ref="CB71:CB99" si="69">IFERROR(CA71*7+40763,"")</f>
        <v/>
      </c>
      <c r="CC71" s="156" t="str">
        <f t="shared" ca="1" si="33"/>
        <v/>
      </c>
      <c r="CD71" s="156" t="str">
        <f t="shared" ref="CD71:CD107" si="70">IF(CG71="","",CY71)</f>
        <v/>
      </c>
      <c r="CE71" s="156" t="str">
        <f t="shared" ref="CE71:CE107" si="71">IF(CG71="","",CW71)</f>
        <v/>
      </c>
      <c r="CF71" s="495" t="str">
        <f t="shared" ref="CF71:CF107" si="72">IF(CG71="","",CY71-CW71)</f>
        <v/>
      </c>
      <c r="CG71" s="496" t="str">
        <f t="shared" ref="CG71:CG107" si="73">IF(CB71="","",SUM(CK71:CU71)/((CY71)*11))</f>
        <v/>
      </c>
      <c r="CH71" s="156" t="str">
        <f t="shared" ref="CH71:CH102" si="74">IF(CB71="","",IF(MIN(CK71:CU71)&gt;CY71,"",CONCATENATE(IF(SUM(IF(CK71&lt;CL71,1,0),IF(CK71&lt;CM71,1,0),IF(CK71&lt;CN71,1,0),IF(CK71&lt;CO71,1,0),IF(CK71&lt;CP71,1,0),IF(CK71&lt;CQ71,1,0),IF(CK71&lt;CR71,1,0),IF(CK71&lt;CS71,1,0),IF(CK71&lt;CT71,1,0),IF(CK71&lt;CU71,1,0))&gt;7,"SSS ("&amp;CY71-CK71&amp;") ",""),IF(SUM(IF(CL71&lt;CK71,1,0),IF(CL71&lt;CM71,1,0),IF(CL71&lt;CN71,1,0),IF(CL71&lt;CO71,1,0),IF(CL71&lt;CP71,1,0),IF(CL71&lt;CQ71,1,0),IF(CL71&lt;CR71,1,0),IF(CL71&lt;CS71,1,0),IF(CL71&lt;CT71,1,0),IF(CL71&lt;CU71,1,0))&gt;7,"HDMF ("&amp;CY71-CL71&amp;") ",""),IF(SUM(IF(CM71&lt;CK71,1,0),IF(CM71&lt;CL71,1,0),IF(CM71&lt;CN71,1,0),IF(CM71&lt;CO71,1,0),IF(CM71&lt;CP71,1,0),IF(CM71&lt;CQ71,1,0),IF(CM71&lt;CR71,1,0),IF(CM71&lt;CS71,1,0),IF(CM71&lt;CT71,1,0),IF(CM71&lt;CU71,1,0))&gt;7,"PHIC ("&amp;CY71-CM71&amp;") ",""),IF(SUM(IF(CN71&lt;CK71,1,0),IF(CN71&lt;CL71,1,0),IF(CN71&lt;CM71,1,0),IF(CN71&lt;CO71,1,0),IF(CN71&lt;CP71,1,0),IF(CN71&lt;CQ71,1,0),IF(CN71&lt;CR71,1,0),IF(CN71&lt;CS71,1,0),IF(CN71&lt;CT71,1,0),IF(CN71&lt;CU71,1,0))&gt;7,"NBI ("&amp;CY71-CN71&amp;") ",""),IF(SUM(IF(CO71&lt;CK71,1,0),IF(CO71&lt;CL71,1,0),IF(CO71&lt;CN71,1,0),IF(CO71&lt;CM71,1,0),IF(CO71&lt;CP71,1,0),IF(CO71&lt;CQ71,1,0),IF(CO71&lt;CR71,1,0),IF(CO71&lt;CS71,1,0),IF(CO71&lt;CT71,1,0),IF(CO71&lt;CU71,1,0))&gt;7,"NSO ("&amp;CY71-CO71&amp;") ",""),IF(SUM(IF(CP71&lt;CK71,1,0),IF(CP71&lt;CL71,1,0),IF(CP71&lt;CN71,1,0),IF(CP71&lt;CO71,1,0),IF(CP71&lt;CM71,1,0),IF(CP71&lt;CQ71,1,0),IF(CP71&lt;CR71,1,0),IF(CP71&lt;CS71,1,0),IF(CP71&lt;CT71,1,0),IF(CP71&lt;CU71,1,0))&gt;7,"Info ("&amp;CY71-CP71&amp;") ",""),IF(SUM(IF(CQ71&lt;CK71,1,0),IF(CQ71&lt;CL71,1,0),IF(CQ71&lt;CN71,1,0),IF(CQ71&lt;CO71,1,0),IF(CQ71&lt;CP71,1,0),IF(CQ71&lt;CM71,1,0),IF(CQ71&lt;CR71,1,0),IF(CQ71&lt;CS71,1,0),IF(CQ71&lt;CT71,1,0),IF(CQ71&lt;CU71,1,0))&gt;7,"AWOL ("&amp;CY71-CQ71&amp;") ",""),IF(SUM(IF(CR71&lt;CK71,1,0),IF(CR71&lt;CL71,1,0),IF(CR71&lt;CN71,1,0),IF(CR71&lt;CO71,1,0),IF(CR71&lt;CP71,1,0),IF(CR71&lt;CQ71,1,0),IF(CR71&lt;CM71,1,0),IF(CR71&lt;CS71,1,0),IF(CR71&lt;CT71,1,0),IF(CR71&lt;CU71,1,0))&gt;7,"Hand ("&amp;CY71-CR71&amp;") ",""),IF(SUM(IF(CS71&lt;CK71,1,0),IF(CS71&lt;CL71,1,0),IF(CS71&lt;CN71,1,0),IF(CS71&lt;CO71,1,0),IF(CS71&lt;CP71,1,0),IF(CS71&lt;CQ71,1,0),IF(CS71&lt;CR71,1,0),IF(CS71&lt;CM71,1,0),IF(CS71&lt;CT71,1,0),IF(CS71&lt;CU71,1,0))&gt;7,"Waiver ("&amp;CY71-CS71&amp;") ",""),IF(SUM(IF(CT71&lt;CK71,1,0),IF(CT71&lt;CL71,1,0),IF(CT71&lt;CN71,1,0),IF(CT71&lt;CO71,1,0),IF(CT71&lt;CP71,1,0),IF(CT71&lt;CQ71,1,0),IF(CT71&lt;CR71,1,0),IF(CT71&lt;CS71,1,0),IF(CT71&lt;CM71,1,0),IF(CT71&lt;CU71,1,0))&gt;7,"TIN ("&amp;CY71-CT71&amp;") ",""),IF(SUM(IF(CU71&lt;CK71,1,0),IF(CU71&lt;CL71,1,0),IF(CU71&lt;CN71,1,0),IF(CU71&lt;CO71,1,0),IF(CU71&lt;CP71,1,0),IF(CU71&lt;CQ71,1,0),IF(CU71&lt;CR71,1,0),IF(CU71&lt;CS71,1,0),IF(CU71&lt;CT71,1,0),IF(CU71&lt;CM71,1,0))&gt;7,"1905 ("&amp;CY71-CU71&amp;") ",""))))</f>
        <v/>
      </c>
      <c r="CI71" s="155" t="str">
        <f t="shared" si="34"/>
        <v/>
      </c>
      <c r="CJ71" s="155">
        <f t="shared" ref="CJ71:CJ134" si="75">IF(CA70="",IF(IF(CJ70="",0,CJ70)&gt;L71,IF(CJ70="","",CJ70),IF(L71="","",L71)),IF(L71="","",L71))</f>
        <v>42103</v>
      </c>
      <c r="CK71" s="156">
        <f t="shared" ref="CK71:CK134" si="76">IF(CB70="",CK70+IF(IF(O71="n",0,COUNT(BC71))=1,1,0),IF(IF(O71="n",0,COUNT(BC71))=1,1,0))</f>
        <v>8</v>
      </c>
      <c r="CL71" s="156">
        <f t="shared" ref="CL71:CL134" si="77">IF(CB70="",CL70+IF(IF(O71="n",0,COUNT(BE71))=1,1,0),IF(IF(O71="n",0,COUNT(BE71))=1,1,0))</f>
        <v>8</v>
      </c>
      <c r="CM71" s="156">
        <f t="shared" ref="CM71:CM134" si="78">IF(CB70="",CM70+IF(IF(O71="n",0,COUNT(BG71))=1,1,0),IF(IF(O71="n",0,COUNT(BG71))=1,1,0))</f>
        <v>8</v>
      </c>
      <c r="CN71" s="156">
        <f t="shared" ref="CN71:CN134" si="79">IF(CB70="",CN70+IF(IF(O71="n",0,COUNT(BJ71))=1,1,0),IF(IF(O71="n",0,COUNT(BJ71))=1,1,0))</f>
        <v>8</v>
      </c>
      <c r="CO71" s="156">
        <f t="shared" ref="CO71:CO134" si="80">IF(CB70="",CO70+IF(IF(O71="n",0,COUNT(BM71))=1,1,0),IF(IF(O71="n",0,COUNT(BM71))=1,1,0))</f>
        <v>8</v>
      </c>
      <c r="CP71" s="156">
        <f t="shared" ref="CP71:CP134" si="81">IF(CB70="",CP70+IF(IF(O71="n",0,COUNT(AS71))=1,1,0),IF(IF(O71="n",0,COUNT(AS71))=1,1,0))</f>
        <v>8</v>
      </c>
      <c r="CQ71" s="156">
        <f t="shared" ref="CQ71:CQ134" si="82">IF(CB70="",CQ70+IF(IF(O71="n",0,COUNT(AT71))=1,1,0),IF(IF(O71="n",0,COUNT(AT71))=1,1,0))</f>
        <v>8</v>
      </c>
      <c r="CR71" s="156">
        <f t="shared" ref="CR71:CR134" si="83">IF(CB70="",CR70+IF(IF(O71="n",0,COUNT(AU71))=1,1,0),IF(IF(O71="n",0,COUNT(AU71))=1,1,0))</f>
        <v>8</v>
      </c>
      <c r="CS71" s="156">
        <f t="shared" ref="CS71:CS134" si="84">IF(CB70="",CS70+IF(IF(O71="n",0,COUNT(AV71))=1,1,0),IF(IF(O71="n",0,COUNT(AV71))=1,1,0))</f>
        <v>8</v>
      </c>
      <c r="CT71" s="156">
        <f t="shared" ref="CT71:CT102" si="85">IF(CB70="",CT70+IF(IF(O71="n",0,COUNT(AW71))=1,1,0),IF(IF(O71="n",0,COUNT(AW71))=1,1,0))</f>
        <v>8</v>
      </c>
      <c r="CU71" s="156">
        <f t="shared" ref="CU71:CU102" si="86">IF(CB70="",CU70+IF(IF(O71="n",0,COUNT(AZ71))=1,1,0),IF(IF(O71="n",0,COUNT(AZ71))=1,1,0))</f>
        <v>8</v>
      </c>
      <c r="CV71" s="156">
        <f t="shared" ref="CV71:CV102" si="87">IF(CB70="",CV70+IF(IF(O71="n",0,COUNT(BA71))=1,1,0),IF(IF(O71="n",0,COUNT(BA71))=1,1,0))</f>
        <v>8</v>
      </c>
      <c r="CW71" s="156">
        <f t="shared" ref="CW71:CW134" si="88">IF(CB70="",CW70+IF(O71="c",1,0),IF(O71="c",1,0))</f>
        <v>8</v>
      </c>
      <c r="CX71" s="156">
        <f t="shared" ref="CX71:CX134" si="89">IF(CB70="",CX70+IF(O71="n",1,0),IF(O71="n",1,0))</f>
        <v>8</v>
      </c>
      <c r="CY71" s="156">
        <f t="shared" ref="CY71:CY134" si="90">IF(CB70="",IF(O71="n",CY70,1+CY70),IF(O71="n",0,1))</f>
        <v>8</v>
      </c>
      <c r="CZ71" s="321">
        <f t="shared" si="35"/>
        <v>7</v>
      </c>
      <c r="DA71" s="321">
        <f t="shared" si="36"/>
        <v>1</v>
      </c>
      <c r="DB71" s="321">
        <f t="shared" si="37"/>
        <v>1</v>
      </c>
    </row>
    <row r="72" spans="1:106" s="321" customFormat="1" x14ac:dyDescent="0.25">
      <c r="A72" s="384">
        <v>183</v>
      </c>
      <c r="B72" s="318">
        <v>42044</v>
      </c>
      <c r="C72" s="317">
        <v>1082288</v>
      </c>
      <c r="D72" s="321" t="s">
        <v>674</v>
      </c>
      <c r="E72" s="321" t="str">
        <f t="shared" si="58"/>
        <v/>
      </c>
      <c r="F72" s="321" t="str">
        <f t="shared" si="59"/>
        <v xml:space="preserve">MDR, TOR, COE, </v>
      </c>
      <c r="G72" s="317" t="s">
        <v>744</v>
      </c>
      <c r="H72" s="317"/>
      <c r="I72" s="317"/>
      <c r="J72" s="317"/>
      <c r="K72" s="152" t="str">
        <f t="shared" ca="1" si="67"/>
        <v/>
      </c>
      <c r="L72" s="317"/>
      <c r="M72" s="334">
        <v>42062</v>
      </c>
      <c r="N72" s="156" t="str">
        <f t="shared" si="61"/>
        <v/>
      </c>
      <c r="O72" s="321" t="s">
        <v>302</v>
      </c>
      <c r="Q72" s="321" t="s">
        <v>617</v>
      </c>
      <c r="R72" s="321">
        <v>9276754960</v>
      </c>
      <c r="S72" s="156">
        <f t="shared" si="68"/>
        <v>9276754960</v>
      </c>
      <c r="T72" s="156" t="str">
        <f t="shared" si="62"/>
        <v/>
      </c>
      <c r="U72" s="321" t="s">
        <v>761</v>
      </c>
      <c r="V72" s="321" t="s">
        <v>616</v>
      </c>
      <c r="W72" s="321" t="s">
        <v>614</v>
      </c>
      <c r="X72" s="321" t="s">
        <v>615</v>
      </c>
      <c r="Y72" s="321" t="s">
        <v>584</v>
      </c>
      <c r="Z72" s="321" t="s">
        <v>773</v>
      </c>
      <c r="AA72" s="321" t="str">
        <f t="shared" si="63"/>
        <v>Php 16,000</v>
      </c>
      <c r="AC72" s="321" t="str">
        <f t="shared" si="47"/>
        <v>Php 1,000</v>
      </c>
      <c r="AD72" s="321" t="s">
        <v>1038</v>
      </c>
      <c r="AE72" s="377" t="str">
        <f t="shared" si="43"/>
        <v/>
      </c>
      <c r="AF72" s="317" t="str">
        <f t="shared" si="44"/>
        <v/>
      </c>
      <c r="AG72" s="317"/>
      <c r="AH72" s="317" t="s">
        <v>52</v>
      </c>
      <c r="AI72" s="321" t="s">
        <v>253</v>
      </c>
      <c r="AJ72" s="156"/>
      <c r="AL72" s="321" t="s">
        <v>585</v>
      </c>
      <c r="AM72" s="321" t="s">
        <v>248</v>
      </c>
      <c r="AN72" s="334">
        <v>33825</v>
      </c>
      <c r="AO72" s="321" t="s">
        <v>963</v>
      </c>
      <c r="AP72" s="321" t="s">
        <v>963</v>
      </c>
      <c r="AQ72" s="321" t="s">
        <v>50</v>
      </c>
      <c r="AR72" s="321" t="s">
        <v>378</v>
      </c>
      <c r="AS72" s="332">
        <v>42053</v>
      </c>
      <c r="AT72" s="318">
        <v>42053</v>
      </c>
      <c r="AU72" s="318">
        <v>42053</v>
      </c>
      <c r="AV72" s="329">
        <v>42046</v>
      </c>
      <c r="AW72" s="332">
        <v>42053</v>
      </c>
      <c r="AX72" s="317" t="s">
        <v>976</v>
      </c>
      <c r="AY72" s="317"/>
      <c r="AZ72" s="318">
        <v>42053</v>
      </c>
      <c r="BA72" s="318">
        <v>42046</v>
      </c>
      <c r="BB72" s="326"/>
      <c r="BC72" s="332">
        <v>42048</v>
      </c>
      <c r="BD72" s="326" t="s">
        <v>831</v>
      </c>
      <c r="BE72" s="332">
        <v>42053</v>
      </c>
      <c r="BF72" s="326" t="s">
        <v>964</v>
      </c>
      <c r="BG72" s="332">
        <v>42053</v>
      </c>
      <c r="BH72" s="385" t="s">
        <v>1106</v>
      </c>
      <c r="BI72" s="326"/>
      <c r="BJ72" s="332">
        <v>42048</v>
      </c>
      <c r="BK72" s="317"/>
      <c r="BL72" s="326"/>
      <c r="BM72" s="332">
        <v>42053</v>
      </c>
      <c r="BN72" s="317"/>
      <c r="BO72" s="326"/>
      <c r="BP72" s="332">
        <v>42061</v>
      </c>
      <c r="BQ72" s="317"/>
      <c r="BR72" s="326"/>
      <c r="BS72" s="332">
        <v>42046</v>
      </c>
      <c r="BT72" s="318">
        <v>42046</v>
      </c>
      <c r="BU72" s="329">
        <v>42046</v>
      </c>
      <c r="BV72" s="329"/>
      <c r="BW72" s="275" t="str">
        <f t="shared" si="57"/>
        <v xml:space="preserve">1905 2/18/2015, 2305 2/11/2015, </v>
      </c>
      <c r="BX72" s="275">
        <f t="shared" si="64"/>
        <v>11</v>
      </c>
      <c r="BY72" s="275">
        <f t="shared" si="65"/>
        <v>11</v>
      </c>
      <c r="BZ72" s="277">
        <f t="shared" si="66"/>
        <v>1</v>
      </c>
      <c r="CA72" s="156" t="str">
        <f t="shared" si="60"/>
        <v/>
      </c>
      <c r="CB72" s="155" t="str">
        <f t="shared" si="69"/>
        <v/>
      </c>
      <c r="CC72" s="156" t="str">
        <f t="shared" ref="CC72:CC107" ca="1" si="91">IFERROR(ROUND(IF(CB72="","",(TODAY()-CB72)/7)+1,0),"")</f>
        <v/>
      </c>
      <c r="CD72" s="156" t="str">
        <f t="shared" si="70"/>
        <v/>
      </c>
      <c r="CE72" s="156" t="str">
        <f t="shared" si="71"/>
        <v/>
      </c>
      <c r="CF72" s="495" t="str">
        <f t="shared" si="72"/>
        <v/>
      </c>
      <c r="CG72" s="496" t="str">
        <f t="shared" si="73"/>
        <v/>
      </c>
      <c r="CH72" s="156" t="str">
        <f t="shared" si="74"/>
        <v/>
      </c>
      <c r="CI72" s="155" t="str">
        <f t="shared" ref="CI72:CI135" si="92">IF(CA72="","",CJ72)</f>
        <v/>
      </c>
      <c r="CJ72" s="155">
        <f t="shared" si="75"/>
        <v>42103</v>
      </c>
      <c r="CK72" s="156">
        <f t="shared" si="76"/>
        <v>9</v>
      </c>
      <c r="CL72" s="156">
        <f t="shared" si="77"/>
        <v>9</v>
      </c>
      <c r="CM72" s="156">
        <f t="shared" si="78"/>
        <v>9</v>
      </c>
      <c r="CN72" s="156">
        <f t="shared" si="79"/>
        <v>9</v>
      </c>
      <c r="CO72" s="156">
        <f t="shared" si="80"/>
        <v>9</v>
      </c>
      <c r="CP72" s="156">
        <f t="shared" si="81"/>
        <v>9</v>
      </c>
      <c r="CQ72" s="156">
        <f t="shared" si="82"/>
        <v>9</v>
      </c>
      <c r="CR72" s="156">
        <f t="shared" si="83"/>
        <v>9</v>
      </c>
      <c r="CS72" s="156">
        <f t="shared" si="84"/>
        <v>9</v>
      </c>
      <c r="CT72" s="156">
        <f t="shared" si="85"/>
        <v>9</v>
      </c>
      <c r="CU72" s="156">
        <f t="shared" si="86"/>
        <v>9</v>
      </c>
      <c r="CV72" s="156">
        <f t="shared" si="87"/>
        <v>9</v>
      </c>
      <c r="CW72" s="156">
        <f t="shared" si="88"/>
        <v>9</v>
      </c>
      <c r="CX72" s="156">
        <f t="shared" si="89"/>
        <v>8</v>
      </c>
      <c r="CY72" s="156">
        <f t="shared" si="90"/>
        <v>9</v>
      </c>
      <c r="CZ72" s="321">
        <f t="shared" ref="CZ72:CZ135" si="93">IF(M72&gt;0,M72-B72,"")</f>
        <v>18</v>
      </c>
      <c r="DA72" s="321">
        <f t="shared" ref="DA72:DA135" si="94">COUNTIFS(O72,"=c",CZ72,"&lt;31")</f>
        <v>1</v>
      </c>
      <c r="DB72" s="321">
        <f t="shared" ref="DB72:DB135" si="95">COUNTIF(O72,"&lt;&gt;n")</f>
        <v>1</v>
      </c>
    </row>
    <row r="73" spans="1:106" s="321" customFormat="1" x14ac:dyDescent="0.25">
      <c r="A73" s="384">
        <v>183</v>
      </c>
      <c r="B73" s="318">
        <v>42044</v>
      </c>
      <c r="C73" s="317">
        <v>1082289</v>
      </c>
      <c r="D73" s="321" t="s">
        <v>675</v>
      </c>
      <c r="E73" s="321" t="str">
        <f t="shared" si="58"/>
        <v/>
      </c>
      <c r="F73" s="321" t="str">
        <f t="shared" si="59"/>
        <v/>
      </c>
      <c r="G73" s="317" t="s">
        <v>744</v>
      </c>
      <c r="H73" s="317"/>
      <c r="I73" s="317"/>
      <c r="J73" s="317"/>
      <c r="K73" s="152" t="str">
        <f t="shared" ca="1" si="67"/>
        <v/>
      </c>
      <c r="L73" s="317"/>
      <c r="M73" s="334">
        <v>42051</v>
      </c>
      <c r="N73" s="156" t="str">
        <f t="shared" si="61"/>
        <v/>
      </c>
      <c r="O73" s="321" t="s">
        <v>302</v>
      </c>
      <c r="P73" s="317"/>
      <c r="Q73" s="321" t="s">
        <v>621</v>
      </c>
      <c r="R73" s="321">
        <v>9335192209</v>
      </c>
      <c r="S73" s="156">
        <f t="shared" si="68"/>
        <v>9335192209</v>
      </c>
      <c r="T73" s="156" t="str">
        <f t="shared" si="62"/>
        <v/>
      </c>
      <c r="U73" s="321" t="s">
        <v>762</v>
      </c>
      <c r="V73" s="321" t="s">
        <v>620</v>
      </c>
      <c r="W73" s="321" t="s">
        <v>618</v>
      </c>
      <c r="X73" s="321" t="s">
        <v>619</v>
      </c>
      <c r="Y73" s="321" t="s">
        <v>1976</v>
      </c>
      <c r="Z73" s="321" t="s">
        <v>74</v>
      </c>
      <c r="AB73" s="321" t="s">
        <v>2341</v>
      </c>
      <c r="AC73" s="321" t="s">
        <v>2342</v>
      </c>
      <c r="AD73" s="321" t="s">
        <v>1038</v>
      </c>
      <c r="AE73" s="377" t="str">
        <f t="shared" si="43"/>
        <v/>
      </c>
      <c r="AF73" s="317" t="str">
        <f t="shared" si="44"/>
        <v/>
      </c>
      <c r="AG73" s="317"/>
      <c r="AH73" s="317" t="s">
        <v>52</v>
      </c>
      <c r="AI73" s="321" t="s">
        <v>253</v>
      </c>
      <c r="AJ73" s="156"/>
      <c r="AL73" s="321" t="s">
        <v>585</v>
      </c>
      <c r="AM73" s="321" t="s">
        <v>248</v>
      </c>
      <c r="AN73" s="334">
        <v>31830</v>
      </c>
      <c r="AO73" s="321" t="s">
        <v>696</v>
      </c>
      <c r="AP73" s="321" t="s">
        <v>696</v>
      </c>
      <c r="AQ73" s="321" t="s">
        <v>53</v>
      </c>
      <c r="AR73" s="321" t="s">
        <v>378</v>
      </c>
      <c r="AS73" s="332">
        <v>42045</v>
      </c>
      <c r="AT73" s="318">
        <v>42045</v>
      </c>
      <c r="AU73" s="318">
        <v>42045</v>
      </c>
      <c r="AV73" s="329">
        <v>42046</v>
      </c>
      <c r="AW73" s="332">
        <v>42045</v>
      </c>
      <c r="AX73" s="317" t="s">
        <v>697</v>
      </c>
      <c r="AY73" s="317"/>
      <c r="AZ73" s="317">
        <v>1</v>
      </c>
      <c r="BA73" s="318">
        <v>42044</v>
      </c>
      <c r="BB73" s="326"/>
      <c r="BC73" s="332">
        <v>42045</v>
      </c>
      <c r="BD73" s="326" t="s">
        <v>698</v>
      </c>
      <c r="BE73" s="332">
        <v>42045</v>
      </c>
      <c r="BF73" s="326" t="s">
        <v>699</v>
      </c>
      <c r="BG73" s="332">
        <v>42045</v>
      </c>
      <c r="BH73" s="385" t="s">
        <v>700</v>
      </c>
      <c r="BI73" s="329">
        <v>42045</v>
      </c>
      <c r="BJ73" s="332">
        <v>42045</v>
      </c>
      <c r="BK73" s="318"/>
      <c r="BL73" s="329"/>
      <c r="BM73" s="332">
        <v>42045</v>
      </c>
      <c r="BN73" s="317"/>
      <c r="BO73" s="326"/>
      <c r="BP73" s="332">
        <v>42054</v>
      </c>
      <c r="BQ73" s="318">
        <v>42045</v>
      </c>
      <c r="BR73" s="329">
        <v>42045</v>
      </c>
      <c r="BS73" s="332">
        <v>42045</v>
      </c>
      <c r="BT73" s="318">
        <v>42045</v>
      </c>
      <c r="BU73" s="329">
        <v>42045</v>
      </c>
      <c r="BV73" s="329"/>
      <c r="BW73" s="275" t="str">
        <f t="shared" si="57"/>
        <v xml:space="preserve">2305 2/9/2015, MDR 2/10/2015, </v>
      </c>
      <c r="BX73" s="275">
        <f t="shared" si="64"/>
        <v>11</v>
      </c>
      <c r="BY73" s="275">
        <f t="shared" si="65"/>
        <v>11</v>
      </c>
      <c r="BZ73" s="277">
        <f t="shared" si="66"/>
        <v>1</v>
      </c>
      <c r="CA73" s="156" t="str">
        <f t="shared" si="60"/>
        <v/>
      </c>
      <c r="CB73" s="155" t="str">
        <f t="shared" si="69"/>
        <v/>
      </c>
      <c r="CC73" s="156" t="str">
        <f t="shared" ca="1" si="91"/>
        <v/>
      </c>
      <c r="CD73" s="156" t="str">
        <f t="shared" si="70"/>
        <v/>
      </c>
      <c r="CE73" s="156" t="str">
        <f t="shared" si="71"/>
        <v/>
      </c>
      <c r="CF73" s="495" t="str">
        <f t="shared" si="72"/>
        <v/>
      </c>
      <c r="CG73" s="496" t="str">
        <f t="shared" si="73"/>
        <v/>
      </c>
      <c r="CH73" s="156" t="str">
        <f t="shared" si="74"/>
        <v/>
      </c>
      <c r="CI73" s="155" t="str">
        <f t="shared" si="92"/>
        <v/>
      </c>
      <c r="CJ73" s="155">
        <f t="shared" si="75"/>
        <v>42103</v>
      </c>
      <c r="CK73" s="156">
        <f t="shared" si="76"/>
        <v>10</v>
      </c>
      <c r="CL73" s="156">
        <f t="shared" si="77"/>
        <v>10</v>
      </c>
      <c r="CM73" s="156">
        <f t="shared" si="78"/>
        <v>10</v>
      </c>
      <c r="CN73" s="156">
        <f t="shared" si="79"/>
        <v>10</v>
      </c>
      <c r="CO73" s="156">
        <f t="shared" si="80"/>
        <v>10</v>
      </c>
      <c r="CP73" s="156">
        <f t="shared" si="81"/>
        <v>10</v>
      </c>
      <c r="CQ73" s="156">
        <f t="shared" si="82"/>
        <v>10</v>
      </c>
      <c r="CR73" s="156">
        <f t="shared" si="83"/>
        <v>10</v>
      </c>
      <c r="CS73" s="156">
        <f t="shared" si="84"/>
        <v>10</v>
      </c>
      <c r="CT73" s="156">
        <f t="shared" si="85"/>
        <v>10</v>
      </c>
      <c r="CU73" s="156">
        <f t="shared" si="86"/>
        <v>10</v>
      </c>
      <c r="CV73" s="156">
        <f t="shared" si="87"/>
        <v>10</v>
      </c>
      <c r="CW73" s="156">
        <f t="shared" si="88"/>
        <v>10</v>
      </c>
      <c r="CX73" s="156">
        <f t="shared" si="89"/>
        <v>8</v>
      </c>
      <c r="CY73" s="156">
        <f t="shared" si="90"/>
        <v>10</v>
      </c>
      <c r="CZ73" s="321">
        <f t="shared" si="93"/>
        <v>7</v>
      </c>
      <c r="DA73" s="321">
        <f t="shared" si="94"/>
        <v>1</v>
      </c>
      <c r="DB73" s="321">
        <f t="shared" si="95"/>
        <v>1</v>
      </c>
    </row>
    <row r="74" spans="1:106" s="321" customFormat="1" x14ac:dyDescent="0.25">
      <c r="A74" s="384">
        <v>183</v>
      </c>
      <c r="B74" s="318">
        <v>42044</v>
      </c>
      <c r="C74" s="317">
        <v>1082290</v>
      </c>
      <c r="D74" s="321" t="s">
        <v>676</v>
      </c>
      <c r="E74" s="321" t="str">
        <f t="shared" si="58"/>
        <v/>
      </c>
      <c r="F74" s="321" t="str">
        <f t="shared" si="59"/>
        <v xml:space="preserve">2x2, </v>
      </c>
      <c r="G74" s="317" t="s">
        <v>744</v>
      </c>
      <c r="H74" s="317"/>
      <c r="I74" s="317"/>
      <c r="J74" s="317"/>
      <c r="K74" s="152" t="str">
        <f t="shared" ca="1" si="67"/>
        <v/>
      </c>
      <c r="L74" s="317"/>
      <c r="M74" s="334">
        <v>42051</v>
      </c>
      <c r="N74" s="156" t="str">
        <f t="shared" si="61"/>
        <v/>
      </c>
      <c r="O74" s="321" t="s">
        <v>302</v>
      </c>
      <c r="Q74" s="321" t="s">
        <v>625</v>
      </c>
      <c r="R74" s="321">
        <v>9361600164</v>
      </c>
      <c r="S74" s="156">
        <f t="shared" si="68"/>
        <v>9361600164</v>
      </c>
      <c r="T74" s="156" t="str">
        <f t="shared" si="62"/>
        <v/>
      </c>
      <c r="U74" s="321" t="s">
        <v>763</v>
      </c>
      <c r="V74" s="321" t="s">
        <v>624</v>
      </c>
      <c r="W74" s="321" t="s">
        <v>622</v>
      </c>
      <c r="X74" s="321" t="s">
        <v>623</v>
      </c>
      <c r="Y74" s="321" t="s">
        <v>584</v>
      </c>
      <c r="Z74" s="321" t="s">
        <v>773</v>
      </c>
      <c r="AA74" s="321" t="str">
        <f t="shared" si="63"/>
        <v>Php 16,000</v>
      </c>
      <c r="AC74" s="321" t="str">
        <f t="shared" si="47"/>
        <v>Php 1,000</v>
      </c>
      <c r="AD74" s="321" t="s">
        <v>1038</v>
      </c>
      <c r="AE74" s="377" t="str">
        <f t="shared" si="43"/>
        <v/>
      </c>
      <c r="AF74" s="317" t="str">
        <f t="shared" si="44"/>
        <v/>
      </c>
      <c r="AG74" s="317"/>
      <c r="AH74" s="317" t="s">
        <v>52</v>
      </c>
      <c r="AI74" s="321" t="s">
        <v>253</v>
      </c>
      <c r="AJ74" s="156"/>
      <c r="AL74" s="321" t="s">
        <v>585</v>
      </c>
      <c r="AM74" s="321" t="s">
        <v>248</v>
      </c>
      <c r="AN74" s="334">
        <v>31854</v>
      </c>
      <c r="AO74" s="321" t="s">
        <v>1014</v>
      </c>
      <c r="AP74" s="321" t="s">
        <v>1014</v>
      </c>
      <c r="AQ74" s="321" t="s">
        <v>50</v>
      </c>
      <c r="AR74" s="321" t="s">
        <v>378</v>
      </c>
      <c r="AS74" s="332">
        <v>42048</v>
      </c>
      <c r="AT74" s="318">
        <v>42048</v>
      </c>
      <c r="AU74" s="318">
        <v>42048</v>
      </c>
      <c r="AV74" s="329">
        <v>42046</v>
      </c>
      <c r="AW74" s="332">
        <v>42051</v>
      </c>
      <c r="AX74" s="317" t="s">
        <v>837</v>
      </c>
      <c r="AY74" s="317"/>
      <c r="AZ74" s="318">
        <v>42047</v>
      </c>
      <c r="BA74" s="318">
        <v>42046</v>
      </c>
      <c r="BB74" s="326"/>
      <c r="BC74" s="332">
        <v>42048</v>
      </c>
      <c r="BD74" s="326" t="s">
        <v>1104</v>
      </c>
      <c r="BE74" s="332">
        <v>42048</v>
      </c>
      <c r="BF74" s="326" t="s">
        <v>830</v>
      </c>
      <c r="BG74" s="332">
        <v>42048</v>
      </c>
      <c r="BH74" s="385" t="s">
        <v>1105</v>
      </c>
      <c r="BI74" s="329">
        <v>42048</v>
      </c>
      <c r="BJ74" s="332">
        <v>42048</v>
      </c>
      <c r="BK74" s="317"/>
      <c r="BL74" s="326"/>
      <c r="BM74" s="332">
        <v>42061</v>
      </c>
      <c r="BN74" s="317"/>
      <c r="BO74" s="326"/>
      <c r="BP74" s="337"/>
      <c r="BQ74" s="318">
        <v>42061</v>
      </c>
      <c r="BR74" s="329">
        <v>42061</v>
      </c>
      <c r="BS74" s="332">
        <v>42046</v>
      </c>
      <c r="BT74" s="318">
        <v>42046</v>
      </c>
      <c r="BU74" s="329">
        <v>42046</v>
      </c>
      <c r="BV74" s="329"/>
      <c r="BW74" s="275" t="str">
        <f t="shared" si="57"/>
        <v xml:space="preserve">1905 2/12/2015, 2305 2/11/2015, MDR 2/13/2015, </v>
      </c>
      <c r="BX74" s="275">
        <f t="shared" si="64"/>
        <v>11</v>
      </c>
      <c r="BY74" s="275">
        <f t="shared" si="65"/>
        <v>11</v>
      </c>
      <c r="BZ74" s="277">
        <f t="shared" si="66"/>
        <v>1</v>
      </c>
      <c r="CA74" s="156" t="str">
        <f t="shared" si="60"/>
        <v/>
      </c>
      <c r="CB74" s="155" t="str">
        <f t="shared" si="69"/>
        <v/>
      </c>
      <c r="CC74" s="156" t="str">
        <f t="shared" ca="1" si="91"/>
        <v/>
      </c>
      <c r="CD74" s="156" t="str">
        <f t="shared" si="70"/>
        <v/>
      </c>
      <c r="CE74" s="156" t="str">
        <f t="shared" si="71"/>
        <v/>
      </c>
      <c r="CF74" s="495" t="str">
        <f t="shared" si="72"/>
        <v/>
      </c>
      <c r="CG74" s="496" t="str">
        <f t="shared" si="73"/>
        <v/>
      </c>
      <c r="CH74" s="156" t="str">
        <f t="shared" si="74"/>
        <v/>
      </c>
      <c r="CI74" s="155" t="str">
        <f t="shared" si="92"/>
        <v/>
      </c>
      <c r="CJ74" s="155">
        <f t="shared" si="75"/>
        <v>42103</v>
      </c>
      <c r="CK74" s="156">
        <f t="shared" si="76"/>
        <v>11</v>
      </c>
      <c r="CL74" s="156">
        <f t="shared" si="77"/>
        <v>11</v>
      </c>
      <c r="CM74" s="156">
        <f t="shared" si="78"/>
        <v>11</v>
      </c>
      <c r="CN74" s="156">
        <f t="shared" si="79"/>
        <v>11</v>
      </c>
      <c r="CO74" s="156">
        <f t="shared" si="80"/>
        <v>11</v>
      </c>
      <c r="CP74" s="156">
        <f t="shared" si="81"/>
        <v>11</v>
      </c>
      <c r="CQ74" s="156">
        <f t="shared" si="82"/>
        <v>11</v>
      </c>
      <c r="CR74" s="156">
        <f t="shared" si="83"/>
        <v>11</v>
      </c>
      <c r="CS74" s="156">
        <f t="shared" si="84"/>
        <v>11</v>
      </c>
      <c r="CT74" s="156">
        <f t="shared" si="85"/>
        <v>11</v>
      </c>
      <c r="CU74" s="156">
        <f t="shared" si="86"/>
        <v>11</v>
      </c>
      <c r="CV74" s="156">
        <f t="shared" si="87"/>
        <v>11</v>
      </c>
      <c r="CW74" s="156">
        <f t="shared" si="88"/>
        <v>11</v>
      </c>
      <c r="CX74" s="156">
        <f t="shared" si="89"/>
        <v>8</v>
      </c>
      <c r="CY74" s="156">
        <f t="shared" si="90"/>
        <v>11</v>
      </c>
      <c r="CZ74" s="321">
        <f t="shared" si="93"/>
        <v>7</v>
      </c>
      <c r="DA74" s="321">
        <f t="shared" si="94"/>
        <v>1</v>
      </c>
      <c r="DB74" s="321">
        <f t="shared" si="95"/>
        <v>1</v>
      </c>
    </row>
    <row r="75" spans="1:106" s="8" customFormat="1" x14ac:dyDescent="0.25">
      <c r="A75" s="132">
        <v>183</v>
      </c>
      <c r="B75" s="129">
        <v>42044</v>
      </c>
      <c r="C75" s="113">
        <v>1082291</v>
      </c>
      <c r="D75" s="8" t="s">
        <v>677</v>
      </c>
      <c r="E75" s="8" t="str">
        <f t="shared" si="58"/>
        <v/>
      </c>
      <c r="F75" s="8" t="str">
        <f t="shared" si="59"/>
        <v/>
      </c>
      <c r="G75" s="113" t="s">
        <v>744</v>
      </c>
      <c r="H75" s="113"/>
      <c r="I75" s="113"/>
      <c r="J75" s="113"/>
      <c r="K75" s="152" t="str">
        <f t="shared" ca="1" si="67"/>
        <v/>
      </c>
      <c r="L75" s="113"/>
      <c r="M75" s="20">
        <v>42062</v>
      </c>
      <c r="N75" s="156" t="str">
        <f t="shared" si="61"/>
        <v/>
      </c>
      <c r="O75" s="8" t="s">
        <v>298</v>
      </c>
      <c r="P75" s="113" t="s">
        <v>689</v>
      </c>
      <c r="Q75" s="8" t="s">
        <v>629</v>
      </c>
      <c r="R75" s="8" t="s">
        <v>630</v>
      </c>
      <c r="S75" s="156" t="str">
        <f t="shared" si="68"/>
        <v>9262790662</v>
      </c>
      <c r="T75" s="156" t="str">
        <f>IFERROR(IF(SEARCH("/",R75)&gt;0,REPLACE(R75,1,11,""),""),"")</f>
        <v>9066840586</v>
      </c>
      <c r="U75" s="8" t="s">
        <v>764</v>
      </c>
      <c r="V75" s="8" t="s">
        <v>628</v>
      </c>
      <c r="W75" s="8" t="s">
        <v>626</v>
      </c>
      <c r="X75" s="8" t="s">
        <v>627</v>
      </c>
      <c r="Y75" s="8" t="s">
        <v>584</v>
      </c>
      <c r="Z75" s="8" t="s">
        <v>773</v>
      </c>
      <c r="AA75" s="8" t="str">
        <f t="shared" si="63"/>
        <v>Php 16,000</v>
      </c>
      <c r="AC75" s="8" t="str">
        <f t="shared" si="47"/>
        <v>Php 1,000</v>
      </c>
      <c r="AD75" s="8" t="s">
        <v>1038</v>
      </c>
      <c r="AE75" s="121" t="str">
        <f t="shared" si="43"/>
        <v/>
      </c>
      <c r="AF75" s="113" t="str">
        <f t="shared" si="44"/>
        <v/>
      </c>
      <c r="AG75" s="113"/>
      <c r="AH75" s="113" t="s">
        <v>52</v>
      </c>
      <c r="AI75" s="8" t="s">
        <v>253</v>
      </c>
      <c r="AJ75" s="156"/>
      <c r="AL75" s="8" t="s">
        <v>585</v>
      </c>
      <c r="AM75" s="8" t="s">
        <v>248</v>
      </c>
      <c r="AN75" s="20">
        <v>33152</v>
      </c>
      <c r="AO75" s="8" t="s">
        <v>702</v>
      </c>
      <c r="AP75" s="8" t="s">
        <v>702</v>
      </c>
      <c r="AQ75" s="8" t="s">
        <v>53</v>
      </c>
      <c r="AR75" s="8" t="s">
        <v>495</v>
      </c>
      <c r="AS75" s="187">
        <v>42045</v>
      </c>
      <c r="AT75" s="129">
        <v>42045</v>
      </c>
      <c r="AU75" s="129">
        <v>42045</v>
      </c>
      <c r="AV75" s="177">
        <v>42046</v>
      </c>
      <c r="AW75" s="187">
        <v>42045</v>
      </c>
      <c r="AX75" s="113" t="s">
        <v>706</v>
      </c>
      <c r="AY75" s="113"/>
      <c r="AZ75" s="129">
        <v>42045</v>
      </c>
      <c r="BA75" s="129">
        <v>42044</v>
      </c>
      <c r="BB75" s="182"/>
      <c r="BC75" s="187">
        <v>42045</v>
      </c>
      <c r="BD75" s="182" t="s">
        <v>703</v>
      </c>
      <c r="BE75" s="187">
        <v>42045</v>
      </c>
      <c r="BF75" s="182" t="s">
        <v>704</v>
      </c>
      <c r="BG75" s="187">
        <v>42045</v>
      </c>
      <c r="BH75" s="274" t="s">
        <v>705</v>
      </c>
      <c r="BI75" s="177">
        <v>42045</v>
      </c>
      <c r="BJ75" s="187">
        <v>42045</v>
      </c>
      <c r="BK75" s="129"/>
      <c r="BL75" s="177"/>
      <c r="BM75" s="187">
        <v>42045</v>
      </c>
      <c r="BN75" s="129">
        <v>42045</v>
      </c>
      <c r="BO75" s="177">
        <v>42045</v>
      </c>
      <c r="BP75" s="187">
        <v>42045</v>
      </c>
      <c r="BQ75" s="129">
        <v>42045</v>
      </c>
      <c r="BR75" s="182"/>
      <c r="BS75" s="187">
        <v>42046</v>
      </c>
      <c r="BT75" s="129">
        <v>42046</v>
      </c>
      <c r="BU75" s="177">
        <v>42046</v>
      </c>
      <c r="BV75" s="177"/>
      <c r="BW75" s="275" t="str">
        <f t="shared" si="57"/>
        <v xml:space="preserve">1905 2/10/2015, 2305 2/9/2015, MDR 2/10/2015, </v>
      </c>
      <c r="BX75" s="275" t="str">
        <f t="shared" si="64"/>
        <v/>
      </c>
      <c r="BY75" s="275" t="str">
        <f t="shared" si="65"/>
        <v/>
      </c>
      <c r="BZ75" s="277" t="str">
        <f t="shared" si="66"/>
        <v/>
      </c>
      <c r="CA75" s="156" t="str">
        <f t="shared" si="60"/>
        <v/>
      </c>
      <c r="CB75" s="155" t="str">
        <f t="shared" si="69"/>
        <v/>
      </c>
      <c r="CC75" s="156" t="str">
        <f t="shared" ca="1" si="91"/>
        <v/>
      </c>
      <c r="CD75" s="156" t="str">
        <f t="shared" si="70"/>
        <v/>
      </c>
      <c r="CE75" s="156" t="str">
        <f t="shared" si="71"/>
        <v/>
      </c>
      <c r="CF75" s="495" t="str">
        <f t="shared" si="72"/>
        <v/>
      </c>
      <c r="CG75" s="496" t="str">
        <f t="shared" si="73"/>
        <v/>
      </c>
      <c r="CH75" s="156" t="str">
        <f t="shared" si="74"/>
        <v/>
      </c>
      <c r="CI75" s="155" t="str">
        <f t="shared" si="92"/>
        <v/>
      </c>
      <c r="CJ75" s="155">
        <f t="shared" si="75"/>
        <v>42103</v>
      </c>
      <c r="CK75" s="156">
        <f t="shared" si="76"/>
        <v>11</v>
      </c>
      <c r="CL75" s="156">
        <f t="shared" si="77"/>
        <v>11</v>
      </c>
      <c r="CM75" s="156">
        <f t="shared" si="78"/>
        <v>11</v>
      </c>
      <c r="CN75" s="156">
        <f t="shared" si="79"/>
        <v>11</v>
      </c>
      <c r="CO75" s="156">
        <f t="shared" si="80"/>
        <v>11</v>
      </c>
      <c r="CP75" s="156">
        <f t="shared" si="81"/>
        <v>11</v>
      </c>
      <c r="CQ75" s="156">
        <f t="shared" si="82"/>
        <v>11</v>
      </c>
      <c r="CR75" s="156">
        <f t="shared" si="83"/>
        <v>11</v>
      </c>
      <c r="CS75" s="156">
        <f t="shared" si="84"/>
        <v>11</v>
      </c>
      <c r="CT75" s="156">
        <f t="shared" si="85"/>
        <v>11</v>
      </c>
      <c r="CU75" s="156">
        <f t="shared" si="86"/>
        <v>11</v>
      </c>
      <c r="CV75" s="156">
        <f t="shared" si="87"/>
        <v>11</v>
      </c>
      <c r="CW75" s="156">
        <f t="shared" si="88"/>
        <v>11</v>
      </c>
      <c r="CX75" s="156">
        <f t="shared" si="89"/>
        <v>9</v>
      </c>
      <c r="CY75" s="156">
        <f t="shared" si="90"/>
        <v>11</v>
      </c>
      <c r="CZ75" s="8">
        <f t="shared" si="93"/>
        <v>18</v>
      </c>
      <c r="DA75" s="8">
        <f t="shared" si="94"/>
        <v>0</v>
      </c>
      <c r="DB75" s="8">
        <f t="shared" si="95"/>
        <v>0</v>
      </c>
    </row>
    <row r="76" spans="1:106" s="8" customFormat="1" x14ac:dyDescent="0.25">
      <c r="A76" s="132">
        <v>183</v>
      </c>
      <c r="B76" s="129">
        <v>42044</v>
      </c>
      <c r="C76" s="113">
        <v>1082292</v>
      </c>
      <c r="D76" s="8" t="s">
        <v>678</v>
      </c>
      <c r="E76" s="8" t="str">
        <f t="shared" si="58"/>
        <v/>
      </c>
      <c r="F76" s="8" t="str">
        <f t="shared" si="59"/>
        <v/>
      </c>
      <c r="G76" s="113" t="s">
        <v>744</v>
      </c>
      <c r="H76" s="113"/>
      <c r="I76" s="113"/>
      <c r="J76" s="113"/>
      <c r="K76" s="152" t="str">
        <f t="shared" ca="1" si="67"/>
        <v/>
      </c>
      <c r="L76" s="113"/>
      <c r="N76" s="156" t="str">
        <f t="shared" si="61"/>
        <v/>
      </c>
      <c r="O76" s="8" t="s">
        <v>298</v>
      </c>
      <c r="P76" s="113" t="s">
        <v>689</v>
      </c>
      <c r="Q76" s="8" t="s">
        <v>634</v>
      </c>
      <c r="R76" s="8">
        <v>9258560707</v>
      </c>
      <c r="S76" s="156">
        <f t="shared" si="68"/>
        <v>9258560707</v>
      </c>
      <c r="T76" s="156" t="str">
        <f t="shared" ref="T76:T139" si="96">IFERROR(IF(SEARCH("/",R76)&gt;0,REPLACE(R76,1,11,""),""),"")</f>
        <v/>
      </c>
      <c r="U76" s="8" t="s">
        <v>765</v>
      </c>
      <c r="V76" s="8" t="s">
        <v>633</v>
      </c>
      <c r="W76" s="8" t="s">
        <v>631</v>
      </c>
      <c r="X76" s="8" t="s">
        <v>632</v>
      </c>
      <c r="Y76" s="8" t="s">
        <v>584</v>
      </c>
      <c r="Z76" s="8" t="s">
        <v>773</v>
      </c>
      <c r="AA76" s="8" t="str">
        <f t="shared" si="63"/>
        <v>Php 16,000</v>
      </c>
      <c r="AC76" s="8" t="str">
        <f t="shared" si="47"/>
        <v>Php 1,000</v>
      </c>
      <c r="AD76" s="8" t="s">
        <v>1038</v>
      </c>
      <c r="AE76" s="121" t="str">
        <f t="shared" si="43"/>
        <v/>
      </c>
      <c r="AF76" s="113" t="str">
        <f t="shared" si="44"/>
        <v/>
      </c>
      <c r="AG76" s="113"/>
      <c r="AH76" s="113" t="s">
        <v>52</v>
      </c>
      <c r="AI76" s="8" t="s">
        <v>253</v>
      </c>
      <c r="AJ76" s="156"/>
      <c r="AL76" s="8" t="s">
        <v>585</v>
      </c>
      <c r="AM76" s="8" t="s">
        <v>248</v>
      </c>
      <c r="AN76" s="20">
        <v>34203</v>
      </c>
      <c r="AO76" s="8" t="s">
        <v>1017</v>
      </c>
      <c r="AS76" s="165"/>
      <c r="AT76" s="113"/>
      <c r="AU76" s="113"/>
      <c r="AV76" s="177">
        <v>42046</v>
      </c>
      <c r="AW76" s="187">
        <v>42046</v>
      </c>
      <c r="AX76" s="113" t="s">
        <v>789</v>
      </c>
      <c r="AY76" s="113"/>
      <c r="AZ76" s="113"/>
      <c r="BA76" s="129">
        <v>42044</v>
      </c>
      <c r="BB76" s="182"/>
      <c r="BC76" s="187">
        <v>42046</v>
      </c>
      <c r="BD76" s="182" t="s">
        <v>787</v>
      </c>
      <c r="BE76" s="187">
        <v>42046</v>
      </c>
      <c r="BF76" s="182" t="s">
        <v>786</v>
      </c>
      <c r="BG76" s="187">
        <v>42046</v>
      </c>
      <c r="BH76" s="274" t="s">
        <v>788</v>
      </c>
      <c r="BI76" s="182"/>
      <c r="BJ76" s="187">
        <v>42046</v>
      </c>
      <c r="BK76" s="129"/>
      <c r="BL76" s="177"/>
      <c r="BM76" s="187">
        <v>42046</v>
      </c>
      <c r="BN76" s="113"/>
      <c r="BO76" s="182"/>
      <c r="BP76" s="187">
        <v>42046</v>
      </c>
      <c r="BQ76" s="129">
        <v>42046</v>
      </c>
      <c r="BR76" s="177">
        <v>42046</v>
      </c>
      <c r="BS76" s="187">
        <v>42046</v>
      </c>
      <c r="BT76" s="129">
        <v>42046</v>
      </c>
      <c r="BU76" s="177">
        <v>42046</v>
      </c>
      <c r="BV76" s="177"/>
      <c r="BW76" s="275" t="str">
        <f t="shared" si="57"/>
        <v xml:space="preserve">2305 (for processing) 2/9/2015, </v>
      </c>
      <c r="BX76" s="275" t="str">
        <f t="shared" si="64"/>
        <v/>
      </c>
      <c r="BY76" s="275" t="str">
        <f t="shared" si="65"/>
        <v/>
      </c>
      <c r="BZ76" s="277" t="str">
        <f t="shared" si="66"/>
        <v/>
      </c>
      <c r="CA76" s="156" t="str">
        <f t="shared" si="60"/>
        <v/>
      </c>
      <c r="CB76" s="155" t="str">
        <f t="shared" si="69"/>
        <v/>
      </c>
      <c r="CC76" s="156" t="str">
        <f t="shared" ca="1" si="91"/>
        <v/>
      </c>
      <c r="CD76" s="156" t="str">
        <f t="shared" si="70"/>
        <v/>
      </c>
      <c r="CE76" s="156" t="str">
        <f t="shared" si="71"/>
        <v/>
      </c>
      <c r="CF76" s="495" t="str">
        <f t="shared" si="72"/>
        <v/>
      </c>
      <c r="CG76" s="496" t="str">
        <f t="shared" si="73"/>
        <v/>
      </c>
      <c r="CH76" s="156" t="str">
        <f t="shared" si="74"/>
        <v/>
      </c>
      <c r="CI76" s="155" t="str">
        <f t="shared" si="92"/>
        <v/>
      </c>
      <c r="CJ76" s="155">
        <f t="shared" si="75"/>
        <v>42103</v>
      </c>
      <c r="CK76" s="156">
        <f t="shared" si="76"/>
        <v>11</v>
      </c>
      <c r="CL76" s="156">
        <f t="shared" si="77"/>
        <v>11</v>
      </c>
      <c r="CM76" s="156">
        <f t="shared" si="78"/>
        <v>11</v>
      </c>
      <c r="CN76" s="156">
        <f t="shared" si="79"/>
        <v>11</v>
      </c>
      <c r="CO76" s="156">
        <f t="shared" si="80"/>
        <v>11</v>
      </c>
      <c r="CP76" s="156">
        <f t="shared" si="81"/>
        <v>11</v>
      </c>
      <c r="CQ76" s="156">
        <f t="shared" si="82"/>
        <v>11</v>
      </c>
      <c r="CR76" s="156">
        <f t="shared" si="83"/>
        <v>11</v>
      </c>
      <c r="CS76" s="156">
        <f t="shared" si="84"/>
        <v>11</v>
      </c>
      <c r="CT76" s="156">
        <f t="shared" si="85"/>
        <v>11</v>
      </c>
      <c r="CU76" s="156">
        <f t="shared" si="86"/>
        <v>11</v>
      </c>
      <c r="CV76" s="156">
        <f t="shared" si="87"/>
        <v>11</v>
      </c>
      <c r="CW76" s="156">
        <f t="shared" si="88"/>
        <v>11</v>
      </c>
      <c r="CX76" s="156">
        <f t="shared" si="89"/>
        <v>10</v>
      </c>
      <c r="CY76" s="156">
        <f t="shared" si="90"/>
        <v>11</v>
      </c>
      <c r="CZ76" s="8" t="str">
        <f t="shared" si="93"/>
        <v/>
      </c>
      <c r="DA76" s="8">
        <f t="shared" si="94"/>
        <v>0</v>
      </c>
      <c r="DB76" s="8">
        <f t="shared" si="95"/>
        <v>0</v>
      </c>
    </row>
    <row r="77" spans="1:106" s="8" customFormat="1" x14ac:dyDescent="0.25">
      <c r="A77" s="132">
        <v>183</v>
      </c>
      <c r="B77" s="129">
        <v>42044</v>
      </c>
      <c r="C77" s="113">
        <v>1082293</v>
      </c>
      <c r="D77" s="8" t="s">
        <v>679</v>
      </c>
      <c r="E77" s="8" t="str">
        <f t="shared" si="58"/>
        <v/>
      </c>
      <c r="F77" s="8" t="str">
        <f t="shared" si="59"/>
        <v/>
      </c>
      <c r="G77" s="113" t="s">
        <v>744</v>
      </c>
      <c r="H77" s="113"/>
      <c r="I77" s="113"/>
      <c r="J77" s="113"/>
      <c r="K77" s="132" t="str">
        <f t="shared" ca="1" si="67"/>
        <v/>
      </c>
      <c r="L77" s="113"/>
      <c r="M77" s="20">
        <v>42051</v>
      </c>
      <c r="N77" s="8" t="str">
        <f t="shared" si="61"/>
        <v/>
      </c>
      <c r="O77" s="8" t="s">
        <v>298</v>
      </c>
      <c r="P77" s="113" t="s">
        <v>689</v>
      </c>
      <c r="Q77" s="8" t="s">
        <v>638</v>
      </c>
      <c r="R77" s="8">
        <v>9051530114</v>
      </c>
      <c r="S77" s="8">
        <f t="shared" si="68"/>
        <v>9051530114</v>
      </c>
      <c r="T77" s="8" t="str">
        <f t="shared" si="96"/>
        <v/>
      </c>
      <c r="U77" s="8" t="s">
        <v>766</v>
      </c>
      <c r="V77" s="8" t="s">
        <v>637</v>
      </c>
      <c r="W77" s="8" t="s">
        <v>635</v>
      </c>
      <c r="X77" s="8" t="s">
        <v>636</v>
      </c>
      <c r="Y77" s="8" t="s">
        <v>584</v>
      </c>
      <c r="Z77" s="8" t="s">
        <v>773</v>
      </c>
      <c r="AA77" s="8" t="str">
        <f t="shared" si="63"/>
        <v>Php 16,000</v>
      </c>
      <c r="AC77" s="8" t="str">
        <f t="shared" si="47"/>
        <v>Php 1,000</v>
      </c>
      <c r="AD77" s="8" t="s">
        <v>1038</v>
      </c>
      <c r="AE77" s="121" t="str">
        <f t="shared" si="43"/>
        <v/>
      </c>
      <c r="AF77" s="113" t="str">
        <f t="shared" si="44"/>
        <v/>
      </c>
      <c r="AG77" s="113"/>
      <c r="AH77" s="113" t="s">
        <v>52</v>
      </c>
      <c r="AI77" s="8" t="s">
        <v>253</v>
      </c>
      <c r="AL77" s="8" t="s">
        <v>585</v>
      </c>
      <c r="AM77" s="8" t="s">
        <v>248</v>
      </c>
      <c r="AN77" s="20">
        <v>33646</v>
      </c>
      <c r="AO77" s="8" t="s">
        <v>777</v>
      </c>
      <c r="AP77" s="8" t="s">
        <v>778</v>
      </c>
      <c r="AQ77" s="8" t="s">
        <v>53</v>
      </c>
      <c r="AR77" s="8" t="s">
        <v>378</v>
      </c>
      <c r="AS77" s="187">
        <v>42046</v>
      </c>
      <c r="AT77" s="129">
        <v>42062</v>
      </c>
      <c r="AU77" s="129">
        <v>42046</v>
      </c>
      <c r="AV77" s="177">
        <v>42046</v>
      </c>
      <c r="AW77" s="187">
        <v>42046</v>
      </c>
      <c r="AX77" s="113" t="s">
        <v>780</v>
      </c>
      <c r="AY77" s="113"/>
      <c r="AZ77" s="113">
        <v>1</v>
      </c>
      <c r="BA77" s="129">
        <v>42044</v>
      </c>
      <c r="BB77" s="182"/>
      <c r="BC77" s="187">
        <v>42046</v>
      </c>
      <c r="BD77" s="182" t="s">
        <v>779</v>
      </c>
      <c r="BE77" s="187">
        <v>42060</v>
      </c>
      <c r="BF77" s="182" t="s">
        <v>1101</v>
      </c>
      <c r="BG77" s="187">
        <v>42046</v>
      </c>
      <c r="BH77" s="274" t="s">
        <v>781</v>
      </c>
      <c r="BI77" s="177">
        <v>42053</v>
      </c>
      <c r="BJ77" s="187">
        <v>42053</v>
      </c>
      <c r="BK77" s="113"/>
      <c r="BL77" s="182"/>
      <c r="BM77" s="187">
        <v>42046</v>
      </c>
      <c r="BN77" s="113"/>
      <c r="BO77" s="182"/>
      <c r="BP77" s="165"/>
      <c r="BQ77" s="129">
        <v>42046</v>
      </c>
      <c r="BR77" s="182"/>
      <c r="BS77" s="187">
        <v>42045</v>
      </c>
      <c r="BT77" s="129">
        <v>42045</v>
      </c>
      <c r="BU77" s="177">
        <v>42045</v>
      </c>
      <c r="BV77" s="177"/>
      <c r="BW77" s="568" t="str">
        <f t="shared" si="57"/>
        <v xml:space="preserve">2305 2/9/2015, MDR 2/18/2015, </v>
      </c>
      <c r="BX77" s="568" t="str">
        <f t="shared" si="64"/>
        <v/>
      </c>
      <c r="BY77" s="568" t="str">
        <f t="shared" si="65"/>
        <v/>
      </c>
      <c r="BZ77" s="569" t="str">
        <f t="shared" si="66"/>
        <v/>
      </c>
      <c r="CA77" s="8" t="str">
        <f t="shared" si="60"/>
        <v/>
      </c>
      <c r="CB77" s="20" t="str">
        <f t="shared" si="69"/>
        <v/>
      </c>
      <c r="CC77" s="8" t="str">
        <f t="shared" ca="1" si="91"/>
        <v/>
      </c>
      <c r="CD77" s="8" t="str">
        <f t="shared" si="70"/>
        <v/>
      </c>
      <c r="CE77" s="8" t="str">
        <f t="shared" si="71"/>
        <v/>
      </c>
      <c r="CF77" s="570" t="str">
        <f t="shared" si="72"/>
        <v/>
      </c>
      <c r="CG77" s="571" t="str">
        <f t="shared" si="73"/>
        <v/>
      </c>
      <c r="CH77" s="8" t="str">
        <f t="shared" si="74"/>
        <v/>
      </c>
      <c r="CI77" s="20" t="str">
        <f t="shared" si="92"/>
        <v/>
      </c>
      <c r="CJ77" s="20">
        <f t="shared" si="75"/>
        <v>42103</v>
      </c>
      <c r="CK77" s="8">
        <f t="shared" si="76"/>
        <v>11</v>
      </c>
      <c r="CL77" s="8">
        <f t="shared" si="77"/>
        <v>11</v>
      </c>
      <c r="CM77" s="8">
        <f t="shared" si="78"/>
        <v>11</v>
      </c>
      <c r="CN77" s="8">
        <f t="shared" si="79"/>
        <v>11</v>
      </c>
      <c r="CO77" s="8">
        <f t="shared" si="80"/>
        <v>11</v>
      </c>
      <c r="CP77" s="8">
        <f t="shared" si="81"/>
        <v>11</v>
      </c>
      <c r="CQ77" s="8">
        <f t="shared" si="82"/>
        <v>11</v>
      </c>
      <c r="CR77" s="8">
        <f t="shared" si="83"/>
        <v>11</v>
      </c>
      <c r="CS77" s="8">
        <f t="shared" si="84"/>
        <v>11</v>
      </c>
      <c r="CT77" s="8">
        <f t="shared" si="85"/>
        <v>11</v>
      </c>
      <c r="CU77" s="8">
        <f t="shared" si="86"/>
        <v>11</v>
      </c>
      <c r="CV77" s="8">
        <f t="shared" si="87"/>
        <v>11</v>
      </c>
      <c r="CW77" s="8">
        <f t="shared" si="88"/>
        <v>11</v>
      </c>
      <c r="CX77" s="8">
        <f t="shared" si="89"/>
        <v>11</v>
      </c>
      <c r="CY77" s="8">
        <f t="shared" si="90"/>
        <v>11</v>
      </c>
      <c r="CZ77" s="8">
        <f t="shared" si="93"/>
        <v>7</v>
      </c>
      <c r="DA77" s="8">
        <f t="shared" si="94"/>
        <v>0</v>
      </c>
      <c r="DB77" s="8">
        <f t="shared" si="95"/>
        <v>0</v>
      </c>
    </row>
    <row r="78" spans="1:106" s="321" customFormat="1" x14ac:dyDescent="0.25">
      <c r="A78" s="384">
        <v>183</v>
      </c>
      <c r="B78" s="318">
        <v>42044</v>
      </c>
      <c r="C78" s="317">
        <v>1082294</v>
      </c>
      <c r="D78" s="321" t="s">
        <v>680</v>
      </c>
      <c r="E78" s="321" t="str">
        <f t="shared" si="58"/>
        <v/>
      </c>
      <c r="F78" s="321" t="str">
        <f t="shared" si="59"/>
        <v xml:space="preserve">TOR, COE, 2x2, </v>
      </c>
      <c r="G78" s="317" t="s">
        <v>744</v>
      </c>
      <c r="H78" s="317"/>
      <c r="I78" s="317"/>
      <c r="J78" s="317"/>
      <c r="K78" s="152" t="str">
        <f t="shared" ca="1" si="67"/>
        <v/>
      </c>
      <c r="L78" s="317"/>
      <c r="M78" s="334">
        <v>42062</v>
      </c>
      <c r="N78" s="156" t="str">
        <f t="shared" si="61"/>
        <v/>
      </c>
      <c r="O78" s="321" t="s">
        <v>302</v>
      </c>
      <c r="Q78" s="321" t="s">
        <v>641</v>
      </c>
      <c r="R78" s="321">
        <v>9265420027</v>
      </c>
      <c r="S78" s="156">
        <f t="shared" si="68"/>
        <v>9265420027</v>
      </c>
      <c r="T78" s="156" t="str">
        <f t="shared" si="96"/>
        <v/>
      </c>
      <c r="U78" s="321" t="s">
        <v>767</v>
      </c>
      <c r="V78" s="321" t="s">
        <v>640</v>
      </c>
      <c r="W78" s="321" t="s">
        <v>639</v>
      </c>
      <c r="X78" s="321" t="s">
        <v>599</v>
      </c>
      <c r="Y78" s="321" t="s">
        <v>584</v>
      </c>
      <c r="Z78" s="321" t="s">
        <v>773</v>
      </c>
      <c r="AA78" s="321" t="str">
        <f t="shared" si="63"/>
        <v>Php 16,000</v>
      </c>
      <c r="AC78" s="321" t="str">
        <f t="shared" si="47"/>
        <v>Php 1,000</v>
      </c>
      <c r="AD78" s="321" t="s">
        <v>1038</v>
      </c>
      <c r="AE78" s="377" t="str">
        <f t="shared" si="43"/>
        <v/>
      </c>
      <c r="AF78" s="317" t="str">
        <f t="shared" si="44"/>
        <v/>
      </c>
      <c r="AG78" s="317"/>
      <c r="AH78" s="317" t="s">
        <v>52</v>
      </c>
      <c r="AI78" s="321" t="s">
        <v>253</v>
      </c>
      <c r="AJ78" s="156"/>
      <c r="AL78" s="321" t="s">
        <v>585</v>
      </c>
      <c r="AM78" s="321" t="s">
        <v>248</v>
      </c>
      <c r="AN78" s="334">
        <v>33591</v>
      </c>
      <c r="AO78" s="321" t="s">
        <v>1015</v>
      </c>
      <c r="AP78" s="321" t="s">
        <v>1015</v>
      </c>
      <c r="AQ78" s="321" t="s">
        <v>50</v>
      </c>
      <c r="AR78" s="321" t="s">
        <v>378</v>
      </c>
      <c r="AS78" s="332">
        <v>42059</v>
      </c>
      <c r="AT78" s="318">
        <v>42054</v>
      </c>
      <c r="AU78" s="318">
        <v>42054</v>
      </c>
      <c r="AV78" s="329">
        <v>42046</v>
      </c>
      <c r="AW78" s="332">
        <v>42062</v>
      </c>
      <c r="AX78" s="317" t="s">
        <v>1115</v>
      </c>
      <c r="AY78" s="317"/>
      <c r="AZ78" s="317">
        <v>1</v>
      </c>
      <c r="BA78" s="318">
        <v>42046</v>
      </c>
      <c r="BB78" s="326"/>
      <c r="BC78" s="332">
        <v>42061</v>
      </c>
      <c r="BD78" s="326" t="s">
        <v>1110</v>
      </c>
      <c r="BE78" s="332">
        <v>42058</v>
      </c>
      <c r="BF78" s="326" t="s">
        <v>1039</v>
      </c>
      <c r="BG78" s="332">
        <v>42059</v>
      </c>
      <c r="BH78" s="385" t="s">
        <v>1122</v>
      </c>
      <c r="BI78" s="329">
        <v>42059</v>
      </c>
      <c r="BJ78" s="332">
        <v>42076</v>
      </c>
      <c r="BK78" s="318">
        <v>42062</v>
      </c>
      <c r="BL78" s="329">
        <v>42065</v>
      </c>
      <c r="BM78" s="332">
        <v>42059</v>
      </c>
      <c r="BN78" s="317"/>
      <c r="BO78" s="326"/>
      <c r="BP78" s="337"/>
      <c r="BQ78" s="317"/>
      <c r="BR78" s="326"/>
      <c r="BS78" s="332">
        <v>42046</v>
      </c>
      <c r="BT78" s="318">
        <v>42046</v>
      </c>
      <c r="BU78" s="329">
        <v>42046</v>
      </c>
      <c r="BV78" s="329"/>
      <c r="BW78" s="275" t="str">
        <f t="shared" si="57"/>
        <v xml:space="preserve">2305 2/11/2015, MDR 2/24/2015, NBI receipt 2/27/2015, </v>
      </c>
      <c r="BX78" s="275">
        <f t="shared" si="64"/>
        <v>11</v>
      </c>
      <c r="BY78" s="275">
        <f t="shared" si="65"/>
        <v>11</v>
      </c>
      <c r="BZ78" s="277">
        <f t="shared" si="66"/>
        <v>1</v>
      </c>
      <c r="CA78" s="156" t="str">
        <f t="shared" si="60"/>
        <v/>
      </c>
      <c r="CB78" s="155" t="str">
        <f t="shared" si="69"/>
        <v/>
      </c>
      <c r="CC78" s="156" t="str">
        <f t="shared" ca="1" si="91"/>
        <v/>
      </c>
      <c r="CD78" s="156" t="str">
        <f t="shared" si="70"/>
        <v/>
      </c>
      <c r="CE78" s="156" t="str">
        <f t="shared" si="71"/>
        <v/>
      </c>
      <c r="CF78" s="495" t="str">
        <f t="shared" si="72"/>
        <v/>
      </c>
      <c r="CG78" s="496" t="str">
        <f t="shared" si="73"/>
        <v/>
      </c>
      <c r="CH78" s="156" t="str">
        <f t="shared" si="74"/>
        <v/>
      </c>
      <c r="CI78" s="155" t="str">
        <f t="shared" si="92"/>
        <v/>
      </c>
      <c r="CJ78" s="155">
        <f t="shared" si="75"/>
        <v>42103</v>
      </c>
      <c r="CK78" s="156">
        <f t="shared" si="76"/>
        <v>12</v>
      </c>
      <c r="CL78" s="156">
        <f t="shared" si="77"/>
        <v>12</v>
      </c>
      <c r="CM78" s="156">
        <f t="shared" si="78"/>
        <v>12</v>
      </c>
      <c r="CN78" s="156">
        <f t="shared" si="79"/>
        <v>12</v>
      </c>
      <c r="CO78" s="156">
        <f t="shared" si="80"/>
        <v>12</v>
      </c>
      <c r="CP78" s="156">
        <f t="shared" si="81"/>
        <v>12</v>
      </c>
      <c r="CQ78" s="156">
        <f t="shared" si="82"/>
        <v>12</v>
      </c>
      <c r="CR78" s="156">
        <f t="shared" si="83"/>
        <v>12</v>
      </c>
      <c r="CS78" s="156">
        <f t="shared" si="84"/>
        <v>12</v>
      </c>
      <c r="CT78" s="156">
        <f t="shared" si="85"/>
        <v>12</v>
      </c>
      <c r="CU78" s="156">
        <f t="shared" si="86"/>
        <v>12</v>
      </c>
      <c r="CV78" s="156">
        <f t="shared" si="87"/>
        <v>12</v>
      </c>
      <c r="CW78" s="156">
        <f t="shared" si="88"/>
        <v>12</v>
      </c>
      <c r="CX78" s="156">
        <f t="shared" si="89"/>
        <v>11</v>
      </c>
      <c r="CY78" s="156">
        <f t="shared" si="90"/>
        <v>12</v>
      </c>
      <c r="CZ78" s="321">
        <f t="shared" si="93"/>
        <v>18</v>
      </c>
      <c r="DA78" s="321">
        <f t="shared" si="94"/>
        <v>1</v>
      </c>
      <c r="DB78" s="321">
        <f t="shared" si="95"/>
        <v>1</v>
      </c>
    </row>
    <row r="79" spans="1:106" s="8" customFormat="1" x14ac:dyDescent="0.25">
      <c r="A79" s="132">
        <v>183</v>
      </c>
      <c r="B79" s="129">
        <v>42044</v>
      </c>
      <c r="C79" s="113">
        <v>1082295</v>
      </c>
      <c r="D79" s="8" t="s">
        <v>681</v>
      </c>
      <c r="E79" s="8" t="str">
        <f t="shared" si="58"/>
        <v/>
      </c>
      <c r="F79" s="8" t="str">
        <f t="shared" si="59"/>
        <v/>
      </c>
      <c r="G79" s="113" t="s">
        <v>744</v>
      </c>
      <c r="H79" s="113"/>
      <c r="I79" s="113"/>
      <c r="J79" s="113"/>
      <c r="K79" s="152" t="str">
        <f t="shared" ca="1" si="67"/>
        <v/>
      </c>
      <c r="L79" s="113"/>
      <c r="M79" s="20">
        <v>42062</v>
      </c>
      <c r="N79" s="156" t="str">
        <f t="shared" si="61"/>
        <v/>
      </c>
      <c r="O79" s="8" t="s">
        <v>298</v>
      </c>
      <c r="P79" s="113" t="s">
        <v>689</v>
      </c>
      <c r="Q79" s="8" t="s">
        <v>644</v>
      </c>
      <c r="R79" s="8">
        <v>9266235061</v>
      </c>
      <c r="S79" s="156">
        <f t="shared" si="68"/>
        <v>9266235061</v>
      </c>
      <c r="T79" s="156" t="str">
        <f t="shared" si="96"/>
        <v/>
      </c>
      <c r="U79" s="8" t="s">
        <v>768</v>
      </c>
      <c r="V79" s="8" t="s">
        <v>643</v>
      </c>
      <c r="W79" s="8" t="s">
        <v>336</v>
      </c>
      <c r="X79" s="8" t="s">
        <v>642</v>
      </c>
      <c r="Y79" s="8" t="s">
        <v>584</v>
      </c>
      <c r="Z79" s="8" t="s">
        <v>773</v>
      </c>
      <c r="AA79" s="8" t="str">
        <f t="shared" si="63"/>
        <v>Php 16,000</v>
      </c>
      <c r="AC79" s="8" t="str">
        <f t="shared" si="47"/>
        <v>Php 1,000</v>
      </c>
      <c r="AD79" s="8" t="s">
        <v>1038</v>
      </c>
      <c r="AE79" s="121" t="str">
        <f t="shared" si="43"/>
        <v/>
      </c>
      <c r="AF79" s="113" t="str">
        <f t="shared" si="44"/>
        <v/>
      </c>
      <c r="AG79" s="113"/>
      <c r="AH79" s="113" t="s">
        <v>52</v>
      </c>
      <c r="AI79" s="8" t="s">
        <v>253</v>
      </c>
      <c r="AJ79" s="156"/>
      <c r="AL79" s="8" t="s">
        <v>585</v>
      </c>
      <c r="AM79" s="8" t="s">
        <v>248</v>
      </c>
      <c r="AN79" s="20">
        <v>32793</v>
      </c>
      <c r="AO79" s="8" t="s">
        <v>782</v>
      </c>
      <c r="AP79" s="8" t="s">
        <v>782</v>
      </c>
      <c r="AQ79" s="8" t="s">
        <v>50</v>
      </c>
      <c r="AR79" s="8" t="s">
        <v>378</v>
      </c>
      <c r="AS79" s="187">
        <v>42046</v>
      </c>
      <c r="AT79" s="129">
        <v>42046</v>
      </c>
      <c r="AU79" s="129">
        <v>42046</v>
      </c>
      <c r="AV79" s="177">
        <v>42046</v>
      </c>
      <c r="AW79" s="187">
        <v>42067</v>
      </c>
      <c r="AX79" s="113" t="s">
        <v>1200</v>
      </c>
      <c r="AY79" s="129">
        <v>42059</v>
      </c>
      <c r="AZ79" s="113">
        <v>2</v>
      </c>
      <c r="BA79" s="113">
        <v>2</v>
      </c>
      <c r="BB79" s="182"/>
      <c r="BC79" s="187">
        <v>42046</v>
      </c>
      <c r="BD79" s="182" t="s">
        <v>783</v>
      </c>
      <c r="BE79" s="187">
        <v>42048</v>
      </c>
      <c r="BF79" s="182" t="s">
        <v>829</v>
      </c>
      <c r="BG79" s="187">
        <v>42046</v>
      </c>
      <c r="BH79" s="274" t="s">
        <v>784</v>
      </c>
      <c r="BI79" s="177">
        <v>42048</v>
      </c>
      <c r="BJ79" s="187">
        <v>42046</v>
      </c>
      <c r="BK79" s="129"/>
      <c r="BL79" s="177"/>
      <c r="BM79" s="187">
        <v>42046</v>
      </c>
      <c r="BN79" s="113"/>
      <c r="BO79" s="182"/>
      <c r="BP79" s="187">
        <v>42059</v>
      </c>
      <c r="BQ79" s="129">
        <v>42046</v>
      </c>
      <c r="BR79" s="177">
        <v>42046</v>
      </c>
      <c r="BS79" s="187">
        <v>42045</v>
      </c>
      <c r="BT79" s="129">
        <v>42045</v>
      </c>
      <c r="BU79" s="177">
        <v>42045</v>
      </c>
      <c r="BV79" s="177"/>
      <c r="BW79" s="275" t="str">
        <f t="shared" si="57"/>
        <v xml:space="preserve">MDR 2/13/2015, </v>
      </c>
      <c r="BX79" s="275" t="str">
        <f t="shared" si="64"/>
        <v/>
      </c>
      <c r="BY79" s="275" t="str">
        <f t="shared" si="65"/>
        <v/>
      </c>
      <c r="BZ79" s="277" t="str">
        <f t="shared" si="66"/>
        <v/>
      </c>
      <c r="CA79" s="156" t="str">
        <f t="shared" si="60"/>
        <v/>
      </c>
      <c r="CB79" s="155" t="str">
        <f t="shared" si="69"/>
        <v/>
      </c>
      <c r="CC79" s="156" t="str">
        <f t="shared" ca="1" si="91"/>
        <v/>
      </c>
      <c r="CD79" s="156" t="str">
        <f t="shared" si="70"/>
        <v/>
      </c>
      <c r="CE79" s="156" t="str">
        <f t="shared" si="71"/>
        <v/>
      </c>
      <c r="CF79" s="495" t="str">
        <f t="shared" si="72"/>
        <v/>
      </c>
      <c r="CG79" s="496" t="str">
        <f t="shared" si="73"/>
        <v/>
      </c>
      <c r="CH79" s="156" t="str">
        <f t="shared" si="74"/>
        <v/>
      </c>
      <c r="CI79" s="155" t="str">
        <f t="shared" si="92"/>
        <v/>
      </c>
      <c r="CJ79" s="155">
        <f t="shared" si="75"/>
        <v>42103</v>
      </c>
      <c r="CK79" s="156">
        <f t="shared" si="76"/>
        <v>12</v>
      </c>
      <c r="CL79" s="156">
        <f t="shared" si="77"/>
        <v>12</v>
      </c>
      <c r="CM79" s="156">
        <f t="shared" si="78"/>
        <v>12</v>
      </c>
      <c r="CN79" s="156">
        <f t="shared" si="79"/>
        <v>12</v>
      </c>
      <c r="CO79" s="156">
        <f t="shared" si="80"/>
        <v>12</v>
      </c>
      <c r="CP79" s="156">
        <f t="shared" si="81"/>
        <v>12</v>
      </c>
      <c r="CQ79" s="156">
        <f t="shared" si="82"/>
        <v>12</v>
      </c>
      <c r="CR79" s="156">
        <f t="shared" si="83"/>
        <v>12</v>
      </c>
      <c r="CS79" s="156">
        <f t="shared" si="84"/>
        <v>12</v>
      </c>
      <c r="CT79" s="156">
        <f t="shared" si="85"/>
        <v>12</v>
      </c>
      <c r="CU79" s="156">
        <f t="shared" si="86"/>
        <v>12</v>
      </c>
      <c r="CV79" s="156">
        <f t="shared" si="87"/>
        <v>12</v>
      </c>
      <c r="CW79" s="156">
        <f t="shared" si="88"/>
        <v>12</v>
      </c>
      <c r="CX79" s="156">
        <f t="shared" si="89"/>
        <v>12</v>
      </c>
      <c r="CY79" s="156">
        <f t="shared" si="90"/>
        <v>12</v>
      </c>
      <c r="CZ79" s="8">
        <f t="shared" si="93"/>
        <v>18</v>
      </c>
      <c r="DA79" s="8">
        <f t="shared" si="94"/>
        <v>0</v>
      </c>
      <c r="DB79" s="8">
        <f t="shared" si="95"/>
        <v>0</v>
      </c>
    </row>
    <row r="80" spans="1:106" s="321" customFormat="1" x14ac:dyDescent="0.25">
      <c r="A80" s="384">
        <v>183</v>
      </c>
      <c r="B80" s="318">
        <v>42044</v>
      </c>
      <c r="C80" s="317">
        <v>1082296</v>
      </c>
      <c r="D80" s="321" t="s">
        <v>682</v>
      </c>
      <c r="E80" s="321" t="str">
        <f t="shared" si="58"/>
        <v/>
      </c>
      <c r="F80" s="321" t="str">
        <f t="shared" si="59"/>
        <v xml:space="preserve">COE, 2x2, </v>
      </c>
      <c r="G80" s="317" t="s">
        <v>744</v>
      </c>
      <c r="H80" s="317"/>
      <c r="I80" s="317"/>
      <c r="J80" s="317"/>
      <c r="K80" s="152" t="str">
        <f t="shared" ca="1" si="67"/>
        <v/>
      </c>
      <c r="L80" s="317"/>
      <c r="M80" s="334">
        <v>42051</v>
      </c>
      <c r="N80" s="156" t="str">
        <f t="shared" si="61"/>
        <v/>
      </c>
      <c r="O80" s="321" t="s">
        <v>302</v>
      </c>
      <c r="P80" s="317"/>
      <c r="Q80" s="321" t="s">
        <v>648</v>
      </c>
      <c r="R80" s="321">
        <v>9269413002</v>
      </c>
      <c r="S80" s="156">
        <f t="shared" si="68"/>
        <v>9269413002</v>
      </c>
      <c r="T80" s="156" t="str">
        <f t="shared" si="96"/>
        <v/>
      </c>
      <c r="U80" s="321" t="s">
        <v>769</v>
      </c>
      <c r="V80" s="321" t="s">
        <v>647</v>
      </c>
      <c r="W80" s="321" t="s">
        <v>645</v>
      </c>
      <c r="X80" s="321" t="s">
        <v>646</v>
      </c>
      <c r="Y80" s="321" t="s">
        <v>1262</v>
      </c>
      <c r="Z80" s="321" t="s">
        <v>70</v>
      </c>
      <c r="AA80" s="321" t="s">
        <v>1391</v>
      </c>
      <c r="AC80" s="321" t="s">
        <v>1025</v>
      </c>
      <c r="AE80" s="377" t="str">
        <f t="shared" si="43"/>
        <v/>
      </c>
      <c r="AF80" s="317" t="str">
        <f t="shared" si="44"/>
        <v/>
      </c>
      <c r="AG80" s="317"/>
      <c r="AH80" s="317" t="s">
        <v>52</v>
      </c>
      <c r="AI80" s="321" t="s">
        <v>1261</v>
      </c>
      <c r="AJ80" s="156"/>
      <c r="AL80" s="321" t="s">
        <v>1252</v>
      </c>
      <c r="AN80" s="334">
        <v>33118</v>
      </c>
      <c r="AO80" s="321" t="s">
        <v>802</v>
      </c>
      <c r="AP80" s="321" t="s">
        <v>802</v>
      </c>
      <c r="AQ80" s="321" t="s">
        <v>50</v>
      </c>
      <c r="AR80" s="321" t="s">
        <v>378</v>
      </c>
      <c r="AS80" s="332">
        <v>42047</v>
      </c>
      <c r="AT80" s="318">
        <v>42047</v>
      </c>
      <c r="AU80" s="318">
        <v>42047</v>
      </c>
      <c r="AV80" s="329">
        <v>42046</v>
      </c>
      <c r="AW80" s="332">
        <v>42047</v>
      </c>
      <c r="AX80" s="317" t="s">
        <v>801</v>
      </c>
      <c r="AY80" s="317"/>
      <c r="AZ80" s="318">
        <v>42047</v>
      </c>
      <c r="BA80" s="318">
        <v>42046</v>
      </c>
      <c r="BB80" s="326"/>
      <c r="BC80" s="332">
        <v>42047</v>
      </c>
      <c r="BD80" s="326" t="s">
        <v>803</v>
      </c>
      <c r="BE80" s="332">
        <v>42061</v>
      </c>
      <c r="BF80" s="326" t="s">
        <v>1103</v>
      </c>
      <c r="BG80" s="332">
        <v>42047</v>
      </c>
      <c r="BH80" s="385" t="s">
        <v>804</v>
      </c>
      <c r="BI80" s="329">
        <v>42047</v>
      </c>
      <c r="BJ80" s="332">
        <v>42054</v>
      </c>
      <c r="BK80" s="317"/>
      <c r="BL80" s="326"/>
      <c r="BM80" s="332">
        <v>42047</v>
      </c>
      <c r="BN80" s="317"/>
      <c r="BO80" s="326"/>
      <c r="BP80" s="337"/>
      <c r="BQ80" s="318">
        <v>42047</v>
      </c>
      <c r="BR80" s="326"/>
      <c r="BS80" s="332">
        <v>42046</v>
      </c>
      <c r="BT80" s="318">
        <v>42046</v>
      </c>
      <c r="BU80" s="329">
        <v>42046</v>
      </c>
      <c r="BV80" s="329"/>
      <c r="BW80" s="275" t="str">
        <f t="shared" si="57"/>
        <v xml:space="preserve">1905 2/12/2015, 2305 2/11/2015, MDR 2/12/2015, </v>
      </c>
      <c r="BX80" s="275">
        <f t="shared" si="64"/>
        <v>11</v>
      </c>
      <c r="BY80" s="275">
        <f t="shared" si="65"/>
        <v>11</v>
      </c>
      <c r="BZ80" s="277">
        <f t="shared" si="66"/>
        <v>1</v>
      </c>
      <c r="CA80" s="156" t="str">
        <f t="shared" si="60"/>
        <v/>
      </c>
      <c r="CB80" s="155" t="str">
        <f t="shared" si="69"/>
        <v/>
      </c>
      <c r="CC80" s="156" t="str">
        <f t="shared" ca="1" si="91"/>
        <v/>
      </c>
      <c r="CD80" s="156" t="str">
        <f t="shared" si="70"/>
        <v/>
      </c>
      <c r="CE80" s="156" t="str">
        <f t="shared" si="71"/>
        <v/>
      </c>
      <c r="CF80" s="495" t="str">
        <f t="shared" si="72"/>
        <v/>
      </c>
      <c r="CG80" s="496" t="str">
        <f t="shared" si="73"/>
        <v/>
      </c>
      <c r="CH80" s="156" t="str">
        <f t="shared" si="74"/>
        <v/>
      </c>
      <c r="CI80" s="155" t="str">
        <f t="shared" si="92"/>
        <v/>
      </c>
      <c r="CJ80" s="155">
        <f t="shared" si="75"/>
        <v>42103</v>
      </c>
      <c r="CK80" s="156">
        <f t="shared" si="76"/>
        <v>13</v>
      </c>
      <c r="CL80" s="156">
        <f t="shared" si="77"/>
        <v>13</v>
      </c>
      <c r="CM80" s="156">
        <f t="shared" si="78"/>
        <v>13</v>
      </c>
      <c r="CN80" s="156">
        <f t="shared" si="79"/>
        <v>13</v>
      </c>
      <c r="CO80" s="156">
        <f t="shared" si="80"/>
        <v>13</v>
      </c>
      <c r="CP80" s="156">
        <f t="shared" si="81"/>
        <v>13</v>
      </c>
      <c r="CQ80" s="156">
        <f t="shared" si="82"/>
        <v>13</v>
      </c>
      <c r="CR80" s="156">
        <f t="shared" si="83"/>
        <v>13</v>
      </c>
      <c r="CS80" s="156">
        <f t="shared" si="84"/>
        <v>13</v>
      </c>
      <c r="CT80" s="156">
        <f t="shared" si="85"/>
        <v>13</v>
      </c>
      <c r="CU80" s="156">
        <f t="shared" si="86"/>
        <v>13</v>
      </c>
      <c r="CV80" s="156">
        <f t="shared" si="87"/>
        <v>13</v>
      </c>
      <c r="CW80" s="156">
        <f t="shared" si="88"/>
        <v>13</v>
      </c>
      <c r="CX80" s="156">
        <f t="shared" si="89"/>
        <v>12</v>
      </c>
      <c r="CY80" s="156">
        <f t="shared" si="90"/>
        <v>13</v>
      </c>
      <c r="CZ80" s="321">
        <f t="shared" si="93"/>
        <v>7</v>
      </c>
      <c r="DA80" s="321">
        <f t="shared" si="94"/>
        <v>1</v>
      </c>
      <c r="DB80" s="321">
        <f t="shared" si="95"/>
        <v>1</v>
      </c>
    </row>
    <row r="81" spans="1:106" s="321" customFormat="1" x14ac:dyDescent="0.25">
      <c r="A81" s="384">
        <v>183</v>
      </c>
      <c r="B81" s="318">
        <v>42044</v>
      </c>
      <c r="C81" s="317">
        <v>1082297</v>
      </c>
      <c r="D81" s="321" t="s">
        <v>683</v>
      </c>
      <c r="E81" s="321" t="str">
        <f t="shared" si="58"/>
        <v/>
      </c>
      <c r="F81" s="321" t="str">
        <f t="shared" si="59"/>
        <v xml:space="preserve">COE, </v>
      </c>
      <c r="G81" s="317" t="s">
        <v>744</v>
      </c>
      <c r="H81" s="317"/>
      <c r="I81" s="317"/>
      <c r="J81" s="317"/>
      <c r="K81" s="152" t="str">
        <f t="shared" ca="1" si="67"/>
        <v/>
      </c>
      <c r="L81" s="317"/>
      <c r="M81" s="334">
        <v>42051</v>
      </c>
      <c r="N81" s="156" t="str">
        <f t="shared" si="61"/>
        <v/>
      </c>
      <c r="O81" s="321" t="s">
        <v>302</v>
      </c>
      <c r="Q81" s="321" t="s">
        <v>652</v>
      </c>
      <c r="R81" s="321">
        <v>9336014283</v>
      </c>
      <c r="S81" s="156">
        <f t="shared" si="68"/>
        <v>9336014283</v>
      </c>
      <c r="T81" s="156" t="str">
        <f t="shared" si="96"/>
        <v/>
      </c>
      <c r="U81" s="321" t="s">
        <v>770</v>
      </c>
      <c r="V81" s="321" t="s">
        <v>651</v>
      </c>
      <c r="W81" s="321" t="s">
        <v>649</v>
      </c>
      <c r="X81" s="321" t="s">
        <v>650</v>
      </c>
      <c r="Y81" s="321" t="s">
        <v>584</v>
      </c>
      <c r="Z81" s="321" t="s">
        <v>773</v>
      </c>
      <c r="AA81" s="321" t="str">
        <f t="shared" si="63"/>
        <v>Php 16,000</v>
      </c>
      <c r="AC81" s="321" t="str">
        <f t="shared" si="47"/>
        <v>Php 1,000</v>
      </c>
      <c r="AD81" s="321" t="s">
        <v>1038</v>
      </c>
      <c r="AE81" s="377" t="str">
        <f t="shared" si="43"/>
        <v/>
      </c>
      <c r="AF81" s="317" t="str">
        <f t="shared" si="44"/>
        <v/>
      </c>
      <c r="AG81" s="317"/>
      <c r="AH81" s="317" t="s">
        <v>52</v>
      </c>
      <c r="AI81" s="321" t="s">
        <v>253</v>
      </c>
      <c r="AJ81" s="156"/>
      <c r="AL81" s="321" t="s">
        <v>585</v>
      </c>
      <c r="AM81" s="321" t="s">
        <v>248</v>
      </c>
      <c r="AN81" s="334">
        <v>32948</v>
      </c>
      <c r="AO81" s="321" t="s">
        <v>731</v>
      </c>
      <c r="AP81" s="321" t="s">
        <v>731</v>
      </c>
      <c r="AQ81" s="321" t="s">
        <v>53</v>
      </c>
      <c r="AR81" s="321" t="s">
        <v>378</v>
      </c>
      <c r="AS81" s="332">
        <v>42045</v>
      </c>
      <c r="AT81" s="318">
        <v>42045</v>
      </c>
      <c r="AU81" s="318">
        <v>42045</v>
      </c>
      <c r="AV81" s="329">
        <v>42046</v>
      </c>
      <c r="AW81" s="332">
        <v>42045</v>
      </c>
      <c r="AX81" s="317" t="s">
        <v>730</v>
      </c>
      <c r="AY81" s="317"/>
      <c r="AZ81" s="318">
        <v>42045</v>
      </c>
      <c r="BA81" s="318">
        <v>42044</v>
      </c>
      <c r="BB81" s="326"/>
      <c r="BC81" s="332">
        <v>42045</v>
      </c>
      <c r="BD81" s="326" t="s">
        <v>732</v>
      </c>
      <c r="BE81" s="332">
        <v>42045</v>
      </c>
      <c r="BF81" s="326" t="s">
        <v>733</v>
      </c>
      <c r="BG81" s="332">
        <v>42045</v>
      </c>
      <c r="BH81" s="385" t="s">
        <v>734</v>
      </c>
      <c r="BI81" s="329">
        <v>42045</v>
      </c>
      <c r="BJ81" s="332">
        <v>42045</v>
      </c>
      <c r="BK81" s="318"/>
      <c r="BL81" s="329"/>
      <c r="BM81" s="332">
        <v>42045</v>
      </c>
      <c r="BN81" s="317"/>
      <c r="BO81" s="329">
        <v>42045</v>
      </c>
      <c r="BP81" s="332">
        <v>42045</v>
      </c>
      <c r="BQ81" s="318">
        <v>42045</v>
      </c>
      <c r="BR81" s="326"/>
      <c r="BS81" s="332">
        <v>42045</v>
      </c>
      <c r="BT81" s="318">
        <v>42045</v>
      </c>
      <c r="BU81" s="329">
        <v>42045</v>
      </c>
      <c r="BV81" s="329"/>
      <c r="BW81" s="275" t="str">
        <f t="shared" si="57"/>
        <v xml:space="preserve">1905 2/10/2015, 2305 2/9/2015, MDR 2/10/2015, </v>
      </c>
      <c r="BX81" s="275">
        <f t="shared" si="64"/>
        <v>11</v>
      </c>
      <c r="BY81" s="275">
        <f t="shared" si="65"/>
        <v>11</v>
      </c>
      <c r="BZ81" s="277">
        <f t="shared" si="66"/>
        <v>1</v>
      </c>
      <c r="CA81" s="156" t="str">
        <f t="shared" si="60"/>
        <v/>
      </c>
      <c r="CB81" s="155" t="str">
        <f t="shared" si="69"/>
        <v/>
      </c>
      <c r="CC81" s="156" t="str">
        <f t="shared" ca="1" si="91"/>
        <v/>
      </c>
      <c r="CD81" s="156" t="str">
        <f t="shared" si="70"/>
        <v/>
      </c>
      <c r="CE81" s="156" t="str">
        <f t="shared" si="71"/>
        <v/>
      </c>
      <c r="CF81" s="495" t="str">
        <f t="shared" si="72"/>
        <v/>
      </c>
      <c r="CG81" s="496" t="str">
        <f t="shared" si="73"/>
        <v/>
      </c>
      <c r="CH81" s="156" t="str">
        <f t="shared" si="74"/>
        <v/>
      </c>
      <c r="CI81" s="155" t="str">
        <f t="shared" si="92"/>
        <v/>
      </c>
      <c r="CJ81" s="155">
        <f t="shared" si="75"/>
        <v>42103</v>
      </c>
      <c r="CK81" s="156">
        <f t="shared" si="76"/>
        <v>14</v>
      </c>
      <c r="CL81" s="156">
        <f t="shared" si="77"/>
        <v>14</v>
      </c>
      <c r="CM81" s="156">
        <f t="shared" si="78"/>
        <v>14</v>
      </c>
      <c r="CN81" s="156">
        <f t="shared" si="79"/>
        <v>14</v>
      </c>
      <c r="CO81" s="156">
        <f t="shared" si="80"/>
        <v>14</v>
      </c>
      <c r="CP81" s="156">
        <f t="shared" si="81"/>
        <v>14</v>
      </c>
      <c r="CQ81" s="156">
        <f t="shared" si="82"/>
        <v>14</v>
      </c>
      <c r="CR81" s="156">
        <f t="shared" si="83"/>
        <v>14</v>
      </c>
      <c r="CS81" s="156">
        <f t="shared" si="84"/>
        <v>14</v>
      </c>
      <c r="CT81" s="156">
        <f t="shared" si="85"/>
        <v>14</v>
      </c>
      <c r="CU81" s="156">
        <f t="shared" si="86"/>
        <v>14</v>
      </c>
      <c r="CV81" s="156">
        <f t="shared" si="87"/>
        <v>14</v>
      </c>
      <c r="CW81" s="156">
        <f t="shared" si="88"/>
        <v>14</v>
      </c>
      <c r="CX81" s="156">
        <f t="shared" si="89"/>
        <v>12</v>
      </c>
      <c r="CY81" s="156">
        <f t="shared" si="90"/>
        <v>14</v>
      </c>
      <c r="CZ81" s="321">
        <f t="shared" si="93"/>
        <v>7</v>
      </c>
      <c r="DA81" s="321">
        <f t="shared" si="94"/>
        <v>1</v>
      </c>
      <c r="DB81" s="321">
        <f t="shared" si="95"/>
        <v>1</v>
      </c>
    </row>
    <row r="82" spans="1:106" s="321" customFormat="1" x14ac:dyDescent="0.25">
      <c r="A82" s="384">
        <v>183</v>
      </c>
      <c r="B82" s="318">
        <v>42045</v>
      </c>
      <c r="C82" s="317">
        <v>1082298</v>
      </c>
      <c r="D82" s="321" t="s">
        <v>684</v>
      </c>
      <c r="E82" s="321" t="str">
        <f t="shared" si="58"/>
        <v/>
      </c>
      <c r="F82" s="321" t="str">
        <f t="shared" si="59"/>
        <v xml:space="preserve">MDR, TOR, COE, </v>
      </c>
      <c r="G82" s="317"/>
      <c r="H82" s="317"/>
      <c r="I82" s="317"/>
      <c r="J82" s="317"/>
      <c r="K82" s="152" t="str">
        <f t="shared" ca="1" si="67"/>
        <v/>
      </c>
      <c r="L82" s="318">
        <v>42090</v>
      </c>
      <c r="M82" s="334">
        <v>42051</v>
      </c>
      <c r="N82" s="156" t="str">
        <f t="shared" si="61"/>
        <v/>
      </c>
      <c r="O82" s="321" t="s">
        <v>302</v>
      </c>
      <c r="Q82" s="321" t="s">
        <v>656</v>
      </c>
      <c r="R82" s="321">
        <v>9363848537</v>
      </c>
      <c r="S82" s="156">
        <f t="shared" si="68"/>
        <v>9363848537</v>
      </c>
      <c r="T82" s="156" t="str">
        <f t="shared" si="96"/>
        <v/>
      </c>
      <c r="U82" s="321" t="s">
        <v>771</v>
      </c>
      <c r="V82" s="321" t="s">
        <v>655</v>
      </c>
      <c r="W82" s="321" t="s">
        <v>653</v>
      </c>
      <c r="X82" s="321" t="s">
        <v>654</v>
      </c>
      <c r="Y82" s="321" t="s">
        <v>135</v>
      </c>
      <c r="Z82" s="321" t="s">
        <v>128</v>
      </c>
      <c r="AA82" s="321" t="s">
        <v>518</v>
      </c>
      <c r="AC82" s="321" t="str">
        <f t="shared" si="47"/>
        <v>Php 1,500</v>
      </c>
      <c r="AD82" s="321" t="str">
        <f t="shared" si="42"/>
        <v/>
      </c>
      <c r="AE82" s="377" t="str">
        <f>IF(Z83="N/A","Php 1,200","")</f>
        <v>Php 1,200</v>
      </c>
      <c r="AF82" s="317" t="str">
        <f t="shared" si="44"/>
        <v>Php 300</v>
      </c>
      <c r="AG82" s="317"/>
      <c r="AH82" s="317" t="s">
        <v>52</v>
      </c>
      <c r="AI82" s="321" t="s">
        <v>253</v>
      </c>
      <c r="AJ82" s="156"/>
      <c r="AL82" s="321" t="s">
        <v>339</v>
      </c>
      <c r="AM82" s="321" t="s">
        <v>657</v>
      </c>
      <c r="AN82" s="334">
        <v>34064</v>
      </c>
      <c r="AO82" s="317" t="s">
        <v>774</v>
      </c>
      <c r="AP82" s="317" t="s">
        <v>774</v>
      </c>
      <c r="AQ82" s="321" t="s">
        <v>53</v>
      </c>
      <c r="AR82" s="321" t="s">
        <v>378</v>
      </c>
      <c r="AS82" s="332">
        <v>42045</v>
      </c>
      <c r="AT82" s="318">
        <v>42045</v>
      </c>
      <c r="AU82" s="318">
        <v>42045</v>
      </c>
      <c r="AV82" s="329">
        <v>42045</v>
      </c>
      <c r="AW82" s="332">
        <v>42051</v>
      </c>
      <c r="AX82" s="317" t="s">
        <v>842</v>
      </c>
      <c r="AY82" s="317"/>
      <c r="AZ82" s="317">
        <v>1</v>
      </c>
      <c r="BA82" s="318">
        <v>42045</v>
      </c>
      <c r="BB82" s="326"/>
      <c r="BC82" s="332">
        <v>42045</v>
      </c>
      <c r="BD82" s="326" t="s">
        <v>775</v>
      </c>
      <c r="BE82" s="332">
        <v>42094</v>
      </c>
      <c r="BF82" s="326" t="s">
        <v>1916</v>
      </c>
      <c r="BG82" s="332">
        <v>42094</v>
      </c>
      <c r="BH82" s="385" t="s">
        <v>1907</v>
      </c>
      <c r="BI82" s="329"/>
      <c r="BJ82" s="332">
        <v>42107</v>
      </c>
      <c r="BK82" s="317"/>
      <c r="BL82" s="326"/>
      <c r="BM82" s="332">
        <v>42045</v>
      </c>
      <c r="BN82" s="317"/>
      <c r="BO82" s="326"/>
      <c r="BP82" s="332">
        <v>42045</v>
      </c>
      <c r="BQ82" s="317"/>
      <c r="BR82" s="326"/>
      <c r="BS82" s="332">
        <v>42044</v>
      </c>
      <c r="BT82" s="318">
        <v>42044</v>
      </c>
      <c r="BU82" s="329">
        <v>42044</v>
      </c>
      <c r="BV82" s="329"/>
      <c r="BW82" s="275" t="str">
        <f t="shared" si="57"/>
        <v xml:space="preserve">2305 2/10/2015, </v>
      </c>
      <c r="BX82" s="275">
        <f t="shared" si="64"/>
        <v>11</v>
      </c>
      <c r="BY82" s="275">
        <f t="shared" si="65"/>
        <v>11</v>
      </c>
      <c r="BZ82" s="277">
        <f t="shared" si="66"/>
        <v>1</v>
      </c>
      <c r="CA82" s="156" t="str">
        <f t="shared" si="60"/>
        <v/>
      </c>
      <c r="CB82" s="155" t="str">
        <f t="shared" si="69"/>
        <v/>
      </c>
      <c r="CC82" s="156" t="str">
        <f t="shared" ca="1" si="91"/>
        <v/>
      </c>
      <c r="CD82" s="156" t="str">
        <f t="shared" si="70"/>
        <v/>
      </c>
      <c r="CE82" s="156" t="str">
        <f t="shared" si="71"/>
        <v/>
      </c>
      <c r="CF82" s="495" t="str">
        <f t="shared" si="72"/>
        <v/>
      </c>
      <c r="CG82" s="496" t="str">
        <f t="shared" si="73"/>
        <v/>
      </c>
      <c r="CH82" s="156" t="str">
        <f t="shared" si="74"/>
        <v/>
      </c>
      <c r="CI82" s="155" t="str">
        <f t="shared" si="92"/>
        <v/>
      </c>
      <c r="CJ82" s="155">
        <f t="shared" si="75"/>
        <v>42103</v>
      </c>
      <c r="CK82" s="156">
        <f t="shared" si="76"/>
        <v>15</v>
      </c>
      <c r="CL82" s="156">
        <f t="shared" si="77"/>
        <v>15</v>
      </c>
      <c r="CM82" s="156">
        <f t="shared" si="78"/>
        <v>15</v>
      </c>
      <c r="CN82" s="156">
        <f t="shared" si="79"/>
        <v>15</v>
      </c>
      <c r="CO82" s="156">
        <f t="shared" si="80"/>
        <v>15</v>
      </c>
      <c r="CP82" s="156">
        <f t="shared" si="81"/>
        <v>15</v>
      </c>
      <c r="CQ82" s="156">
        <f t="shared" si="82"/>
        <v>15</v>
      </c>
      <c r="CR82" s="156">
        <f t="shared" si="83"/>
        <v>15</v>
      </c>
      <c r="CS82" s="156">
        <f t="shared" si="84"/>
        <v>15</v>
      </c>
      <c r="CT82" s="156">
        <f t="shared" si="85"/>
        <v>15</v>
      </c>
      <c r="CU82" s="156">
        <f t="shared" si="86"/>
        <v>15</v>
      </c>
      <c r="CV82" s="156">
        <f t="shared" si="87"/>
        <v>15</v>
      </c>
      <c r="CW82" s="156">
        <f t="shared" si="88"/>
        <v>15</v>
      </c>
      <c r="CX82" s="156">
        <f t="shared" si="89"/>
        <v>12</v>
      </c>
      <c r="CY82" s="156">
        <f t="shared" si="90"/>
        <v>15</v>
      </c>
      <c r="CZ82" s="321">
        <f t="shared" si="93"/>
        <v>6</v>
      </c>
      <c r="DA82" s="321">
        <f t="shared" si="94"/>
        <v>1</v>
      </c>
      <c r="DB82" s="321">
        <f t="shared" si="95"/>
        <v>1</v>
      </c>
    </row>
    <row r="83" spans="1:106" s="213" customFormat="1" ht="15.75" thickBot="1" x14ac:dyDescent="0.3">
      <c r="A83" s="225">
        <v>183</v>
      </c>
      <c r="B83" s="220">
        <v>42045</v>
      </c>
      <c r="C83" s="213">
        <v>1082299</v>
      </c>
      <c r="D83" s="213" t="s">
        <v>729</v>
      </c>
      <c r="E83" s="213" t="str">
        <f t="shared" si="58"/>
        <v/>
      </c>
      <c r="F83" s="213" t="str">
        <f t="shared" si="59"/>
        <v/>
      </c>
      <c r="K83" s="491" t="str">
        <f t="shared" ca="1" si="67"/>
        <v/>
      </c>
      <c r="N83" s="487" t="str">
        <f t="shared" si="61"/>
        <v/>
      </c>
      <c r="O83" s="213" t="s">
        <v>298</v>
      </c>
      <c r="P83" s="213" t="s">
        <v>689</v>
      </c>
      <c r="Q83" s="213" t="s">
        <v>725</v>
      </c>
      <c r="R83" s="213">
        <v>9152111403</v>
      </c>
      <c r="S83" s="487">
        <f t="shared" si="68"/>
        <v>9152111403</v>
      </c>
      <c r="T83" s="487" t="str">
        <f t="shared" si="96"/>
        <v/>
      </c>
      <c r="U83" s="213" t="s">
        <v>772</v>
      </c>
      <c r="V83" s="213" t="s">
        <v>724</v>
      </c>
      <c r="W83" s="213" t="s">
        <v>722</v>
      </c>
      <c r="X83" s="213" t="s">
        <v>723</v>
      </c>
      <c r="Y83" s="213" t="s">
        <v>726</v>
      </c>
      <c r="Z83" s="213" t="s">
        <v>128</v>
      </c>
      <c r="AA83" s="213" t="s">
        <v>740</v>
      </c>
      <c r="AC83" s="213" t="s">
        <v>741</v>
      </c>
      <c r="AD83" s="213" t="str">
        <f t="shared" si="42"/>
        <v/>
      </c>
      <c r="AG83" s="213" t="s">
        <v>743</v>
      </c>
      <c r="AH83" s="213" t="s">
        <v>52</v>
      </c>
      <c r="AI83" s="213" t="s">
        <v>253</v>
      </c>
      <c r="AJ83" s="487"/>
      <c r="AL83" s="213" t="s">
        <v>727</v>
      </c>
      <c r="AM83" s="213" t="s">
        <v>728</v>
      </c>
      <c r="AN83" s="220">
        <v>28661</v>
      </c>
      <c r="AO83" s="213" t="s">
        <v>1016</v>
      </c>
      <c r="AQ83" s="213" t="s">
        <v>50</v>
      </c>
      <c r="AS83" s="224"/>
      <c r="AV83" s="221"/>
      <c r="AW83" s="224"/>
      <c r="BB83" s="221"/>
      <c r="BC83" s="227"/>
      <c r="BD83" s="221"/>
      <c r="BE83" s="227"/>
      <c r="BF83" s="221"/>
      <c r="BG83" s="227"/>
      <c r="BH83" s="294"/>
      <c r="BI83" s="221"/>
      <c r="BJ83" s="227"/>
      <c r="BL83" s="221"/>
      <c r="BM83" s="227"/>
      <c r="BO83" s="221"/>
      <c r="BP83" s="227"/>
      <c r="BR83" s="221"/>
      <c r="BS83" s="224">
        <v>42045</v>
      </c>
      <c r="BT83" s="220"/>
      <c r="BU83" s="223">
        <v>42045</v>
      </c>
      <c r="BV83" s="223"/>
      <c r="BW83" s="518" t="str">
        <f t="shared" si="57"/>
        <v/>
      </c>
      <c r="BX83" s="518" t="str">
        <f t="shared" si="64"/>
        <v/>
      </c>
      <c r="BY83" s="518" t="str">
        <f t="shared" si="65"/>
        <v/>
      </c>
      <c r="BZ83" s="519" t="str">
        <f t="shared" si="66"/>
        <v/>
      </c>
      <c r="CA83" s="487">
        <f t="shared" si="60"/>
        <v>183</v>
      </c>
      <c r="CB83" s="503">
        <f t="shared" si="69"/>
        <v>42044</v>
      </c>
      <c r="CC83" s="487">
        <f t="shared" ca="1" si="91"/>
        <v>15</v>
      </c>
      <c r="CD83" s="487">
        <f t="shared" si="70"/>
        <v>15</v>
      </c>
      <c r="CE83" s="487">
        <f t="shared" si="71"/>
        <v>15</v>
      </c>
      <c r="CF83" s="504">
        <f t="shared" si="72"/>
        <v>0</v>
      </c>
      <c r="CG83" s="505">
        <f t="shared" si="73"/>
        <v>1</v>
      </c>
      <c r="CH83" s="487" t="str">
        <f t="shared" si="74"/>
        <v/>
      </c>
      <c r="CI83" s="503">
        <f t="shared" si="92"/>
        <v>42103</v>
      </c>
      <c r="CJ83" s="503">
        <f t="shared" si="75"/>
        <v>42103</v>
      </c>
      <c r="CK83" s="487">
        <f t="shared" si="76"/>
        <v>15</v>
      </c>
      <c r="CL83" s="487">
        <f t="shared" si="77"/>
        <v>15</v>
      </c>
      <c r="CM83" s="487">
        <f t="shared" si="78"/>
        <v>15</v>
      </c>
      <c r="CN83" s="487">
        <f t="shared" si="79"/>
        <v>15</v>
      </c>
      <c r="CO83" s="487">
        <f t="shared" si="80"/>
        <v>15</v>
      </c>
      <c r="CP83" s="487">
        <f t="shared" si="81"/>
        <v>15</v>
      </c>
      <c r="CQ83" s="487">
        <f t="shared" si="82"/>
        <v>15</v>
      </c>
      <c r="CR83" s="487">
        <f t="shared" si="83"/>
        <v>15</v>
      </c>
      <c r="CS83" s="487">
        <f t="shared" si="84"/>
        <v>15</v>
      </c>
      <c r="CT83" s="487">
        <f t="shared" si="85"/>
        <v>15</v>
      </c>
      <c r="CU83" s="487">
        <f t="shared" si="86"/>
        <v>15</v>
      </c>
      <c r="CV83" s="487">
        <f t="shared" si="87"/>
        <v>15</v>
      </c>
      <c r="CW83" s="487">
        <f t="shared" si="88"/>
        <v>15</v>
      </c>
      <c r="CX83" s="487">
        <f t="shared" si="89"/>
        <v>13</v>
      </c>
      <c r="CY83" s="487">
        <f t="shared" si="90"/>
        <v>15</v>
      </c>
      <c r="CZ83" s="213" t="str">
        <f t="shared" si="93"/>
        <v/>
      </c>
      <c r="DA83" s="213">
        <f t="shared" si="94"/>
        <v>0</v>
      </c>
      <c r="DB83" s="213">
        <f t="shared" si="95"/>
        <v>0</v>
      </c>
    </row>
    <row r="84" spans="1:106" s="8" customFormat="1" ht="15.75" thickTop="1" x14ac:dyDescent="0.25">
      <c r="A84" s="133">
        <v>184</v>
      </c>
      <c r="B84" s="20">
        <v>42051</v>
      </c>
      <c r="C84" s="8">
        <v>1082300</v>
      </c>
      <c r="D84" s="8" t="s">
        <v>893</v>
      </c>
      <c r="E84" s="8" t="str">
        <f t="shared" si="58"/>
        <v/>
      </c>
      <c r="F84" s="8" t="str">
        <f t="shared" si="59"/>
        <v/>
      </c>
      <c r="G84" s="8" t="s">
        <v>474</v>
      </c>
      <c r="K84" s="490" t="str">
        <f t="shared" ca="1" si="67"/>
        <v/>
      </c>
      <c r="N84" s="156" t="str">
        <f t="shared" si="61"/>
        <v/>
      </c>
      <c r="O84" s="8" t="s">
        <v>298</v>
      </c>
      <c r="P84" s="113" t="s">
        <v>689</v>
      </c>
      <c r="Q84" s="8" t="s">
        <v>849</v>
      </c>
      <c r="R84" s="8">
        <v>9213171274</v>
      </c>
      <c r="S84" s="156">
        <f t="shared" si="68"/>
        <v>9213171274</v>
      </c>
      <c r="T84" s="156" t="str">
        <f t="shared" si="96"/>
        <v/>
      </c>
      <c r="U84" s="8" t="s">
        <v>905</v>
      </c>
      <c r="V84" s="8" t="s">
        <v>848</v>
      </c>
      <c r="W84" s="8" t="s">
        <v>847</v>
      </c>
      <c r="X84" s="8" t="s">
        <v>616</v>
      </c>
      <c r="Y84" s="8" t="s">
        <v>73</v>
      </c>
      <c r="Z84" s="8" t="s">
        <v>74</v>
      </c>
      <c r="AA84" s="8" t="str">
        <f t="shared" si="63"/>
        <v>Php 17,000</v>
      </c>
      <c r="AC84" s="8" t="str">
        <f t="shared" si="47"/>
        <v>Php 1,000</v>
      </c>
      <c r="AD84" s="8" t="str">
        <f t="shared" si="42"/>
        <v>Php 4,000</v>
      </c>
      <c r="AE84" s="121" t="str">
        <f t="shared" si="43"/>
        <v/>
      </c>
      <c r="AF84" s="113" t="str">
        <f t="shared" si="44"/>
        <v/>
      </c>
      <c r="AH84" s="113" t="s">
        <v>52</v>
      </c>
      <c r="AI84" s="8" t="s">
        <v>253</v>
      </c>
      <c r="AJ84" s="156"/>
      <c r="AL84" s="8" t="s">
        <v>254</v>
      </c>
      <c r="AM84" s="8" t="s">
        <v>248</v>
      </c>
      <c r="AN84" s="20">
        <v>31406</v>
      </c>
      <c r="AO84" s="8" t="s">
        <v>1020</v>
      </c>
      <c r="AS84" s="165"/>
      <c r="AT84" s="113"/>
      <c r="AU84" s="113"/>
      <c r="AV84" s="177">
        <v>42053</v>
      </c>
      <c r="AW84" s="187"/>
      <c r="AX84" s="113"/>
      <c r="AY84" s="113"/>
      <c r="AZ84" s="113"/>
      <c r="BA84" s="113"/>
      <c r="BB84" s="182"/>
      <c r="BC84" s="165"/>
      <c r="BD84" s="182"/>
      <c r="BE84" s="165"/>
      <c r="BF84" s="182"/>
      <c r="BG84" s="165"/>
      <c r="BH84" s="274"/>
      <c r="BI84" s="182"/>
      <c r="BJ84" s="165"/>
      <c r="BK84" s="113"/>
      <c r="BL84" s="182"/>
      <c r="BM84" s="165"/>
      <c r="BN84" s="113"/>
      <c r="BO84" s="182"/>
      <c r="BP84" s="165"/>
      <c r="BQ84" s="113"/>
      <c r="BR84" s="182"/>
      <c r="BS84" s="187">
        <v>42052</v>
      </c>
      <c r="BT84" s="129">
        <v>42052</v>
      </c>
      <c r="BU84" s="129">
        <v>42052</v>
      </c>
      <c r="BV84" s="388"/>
      <c r="BW84" s="275" t="str">
        <f t="shared" si="57"/>
        <v/>
      </c>
      <c r="BX84" s="275" t="str">
        <f t="shared" si="64"/>
        <v/>
      </c>
      <c r="BY84" s="275" t="str">
        <f t="shared" si="65"/>
        <v/>
      </c>
      <c r="BZ84" s="277" t="str">
        <f t="shared" si="66"/>
        <v/>
      </c>
      <c r="CA84" s="156" t="str">
        <f t="shared" si="60"/>
        <v/>
      </c>
      <c r="CB84" s="155" t="str">
        <f t="shared" si="69"/>
        <v/>
      </c>
      <c r="CC84" s="156" t="str">
        <f t="shared" ca="1" si="91"/>
        <v/>
      </c>
      <c r="CD84" s="156" t="str">
        <f t="shared" si="70"/>
        <v/>
      </c>
      <c r="CE84" s="156" t="str">
        <f t="shared" si="71"/>
        <v/>
      </c>
      <c r="CF84" s="495" t="str">
        <f t="shared" si="72"/>
        <v/>
      </c>
      <c r="CG84" s="496" t="str">
        <f t="shared" si="73"/>
        <v/>
      </c>
      <c r="CH84" s="156" t="str">
        <f t="shared" si="74"/>
        <v/>
      </c>
      <c r="CI84" s="155" t="str">
        <f t="shared" si="92"/>
        <v/>
      </c>
      <c r="CJ84" s="155" t="str">
        <f t="shared" si="75"/>
        <v/>
      </c>
      <c r="CK84" s="156">
        <f t="shared" si="76"/>
        <v>0</v>
      </c>
      <c r="CL84" s="156">
        <f t="shared" si="77"/>
        <v>0</v>
      </c>
      <c r="CM84" s="156">
        <f t="shared" si="78"/>
        <v>0</v>
      </c>
      <c r="CN84" s="156">
        <f t="shared" si="79"/>
        <v>0</v>
      </c>
      <c r="CO84" s="156">
        <f t="shared" si="80"/>
        <v>0</v>
      </c>
      <c r="CP84" s="156">
        <f t="shared" si="81"/>
        <v>0</v>
      </c>
      <c r="CQ84" s="156">
        <f t="shared" si="82"/>
        <v>0</v>
      </c>
      <c r="CR84" s="156">
        <f t="shared" si="83"/>
        <v>0</v>
      </c>
      <c r="CS84" s="156">
        <f t="shared" si="84"/>
        <v>0</v>
      </c>
      <c r="CT84" s="156">
        <f t="shared" si="85"/>
        <v>0</v>
      </c>
      <c r="CU84" s="156">
        <f t="shared" si="86"/>
        <v>0</v>
      </c>
      <c r="CV84" s="156">
        <f t="shared" si="87"/>
        <v>0</v>
      </c>
      <c r="CW84" s="156">
        <f t="shared" si="88"/>
        <v>0</v>
      </c>
      <c r="CX84" s="156">
        <f t="shared" si="89"/>
        <v>1</v>
      </c>
      <c r="CY84" s="156">
        <f t="shared" si="90"/>
        <v>0</v>
      </c>
      <c r="CZ84" s="8" t="str">
        <f t="shared" si="93"/>
        <v/>
      </c>
      <c r="DA84" s="8">
        <f t="shared" si="94"/>
        <v>0</v>
      </c>
      <c r="DB84" s="8">
        <f t="shared" si="95"/>
        <v>0</v>
      </c>
    </row>
    <row r="85" spans="1:106" s="321" customFormat="1" x14ac:dyDescent="0.25">
      <c r="A85" s="382">
        <v>184</v>
      </c>
      <c r="B85" s="334">
        <v>42051</v>
      </c>
      <c r="C85" s="321">
        <v>1082301</v>
      </c>
      <c r="D85" s="321" t="s">
        <v>894</v>
      </c>
      <c r="E85" s="321" t="str">
        <f t="shared" si="58"/>
        <v/>
      </c>
      <c r="F85" s="321" t="str">
        <f t="shared" si="59"/>
        <v/>
      </c>
      <c r="G85" s="321" t="s">
        <v>474</v>
      </c>
      <c r="K85" s="490" t="str">
        <f t="shared" ca="1" si="67"/>
        <v/>
      </c>
      <c r="L85" s="334">
        <v>42087</v>
      </c>
      <c r="M85" s="334">
        <v>42117</v>
      </c>
      <c r="N85" s="156" t="str">
        <f t="shared" si="61"/>
        <v/>
      </c>
      <c r="O85" s="321" t="s">
        <v>302</v>
      </c>
      <c r="Q85" s="321" t="s">
        <v>853</v>
      </c>
      <c r="R85" s="321">
        <v>9158907037</v>
      </c>
      <c r="S85" s="156">
        <f t="shared" si="68"/>
        <v>9158907037</v>
      </c>
      <c r="T85" s="156" t="str">
        <f t="shared" si="96"/>
        <v/>
      </c>
      <c r="U85" s="321" t="s">
        <v>906</v>
      </c>
      <c r="V85" s="321" t="s">
        <v>852</v>
      </c>
      <c r="W85" s="321" t="s">
        <v>850</v>
      </c>
      <c r="X85" s="321" t="s">
        <v>851</v>
      </c>
      <c r="Y85" s="321" t="s">
        <v>73</v>
      </c>
      <c r="Z85" s="321" t="s">
        <v>74</v>
      </c>
      <c r="AA85" s="321" t="str">
        <f t="shared" si="63"/>
        <v>Php 17,000</v>
      </c>
      <c r="AC85" s="321" t="str">
        <f t="shared" si="47"/>
        <v>Php 1,000</v>
      </c>
      <c r="AD85" s="321" t="str">
        <f t="shared" si="42"/>
        <v>Php 4,000</v>
      </c>
      <c r="AE85" s="377" t="str">
        <f t="shared" si="43"/>
        <v/>
      </c>
      <c r="AF85" s="317" t="str">
        <f t="shared" si="44"/>
        <v/>
      </c>
      <c r="AH85" s="317" t="s">
        <v>52</v>
      </c>
      <c r="AI85" s="321" t="s">
        <v>570</v>
      </c>
      <c r="AJ85" s="156"/>
      <c r="AL85" s="321" t="s">
        <v>254</v>
      </c>
      <c r="AM85" s="321" t="s">
        <v>854</v>
      </c>
      <c r="AN85" s="334">
        <v>32037</v>
      </c>
      <c r="AO85" s="321" t="s">
        <v>931</v>
      </c>
      <c r="AP85" s="321" t="s">
        <v>931</v>
      </c>
      <c r="AQ85" s="321" t="s">
        <v>50</v>
      </c>
      <c r="AR85" s="321" t="s">
        <v>378</v>
      </c>
      <c r="AS85" s="332">
        <v>42052</v>
      </c>
      <c r="AT85" s="318">
        <v>42052</v>
      </c>
      <c r="AU85" s="318">
        <v>42052</v>
      </c>
      <c r="AV85" s="329">
        <v>42053</v>
      </c>
      <c r="AW85" s="332">
        <v>42052</v>
      </c>
      <c r="AX85" s="317" t="s">
        <v>932</v>
      </c>
      <c r="AY85" s="317"/>
      <c r="AZ85" s="318">
        <v>42093</v>
      </c>
      <c r="BA85" s="318">
        <v>42075</v>
      </c>
      <c r="BB85" s="326"/>
      <c r="BC85" s="332">
        <v>42083</v>
      </c>
      <c r="BD85" s="326" t="s">
        <v>1652</v>
      </c>
      <c r="BE85" s="332">
        <v>42075</v>
      </c>
      <c r="BF85" s="326" t="s">
        <v>1416</v>
      </c>
      <c r="BG85" s="332">
        <v>42081</v>
      </c>
      <c r="BH85" s="385" t="s">
        <v>1604</v>
      </c>
      <c r="BI85" s="329">
        <v>42081</v>
      </c>
      <c r="BJ85" s="332">
        <v>42052</v>
      </c>
      <c r="BK85" s="317"/>
      <c r="BL85" s="326"/>
      <c r="BM85" s="332">
        <v>42052</v>
      </c>
      <c r="BN85" s="317"/>
      <c r="BO85" s="326"/>
      <c r="BP85" s="332">
        <v>42052</v>
      </c>
      <c r="BQ85" s="318">
        <v>42052</v>
      </c>
      <c r="BR85" s="329">
        <v>42052</v>
      </c>
      <c r="BS85" s="332">
        <v>42052</v>
      </c>
      <c r="BT85" s="318">
        <v>42052</v>
      </c>
      <c r="BU85" s="318">
        <v>42052</v>
      </c>
      <c r="BV85" s="386"/>
      <c r="BW85" s="276" t="str">
        <f t="shared" si="57"/>
        <v xml:space="preserve">1905 3/30/2015, 2305 3/12/2015, MDR 3/18/2015, </v>
      </c>
      <c r="BX85" s="276">
        <f t="shared" si="64"/>
        <v>11</v>
      </c>
      <c r="BY85" s="276">
        <f t="shared" si="65"/>
        <v>11</v>
      </c>
      <c r="BZ85" s="278">
        <f t="shared" si="66"/>
        <v>1</v>
      </c>
      <c r="CA85" s="156" t="str">
        <f t="shared" si="60"/>
        <v/>
      </c>
      <c r="CB85" s="155" t="str">
        <f t="shared" si="69"/>
        <v/>
      </c>
      <c r="CC85" s="156" t="str">
        <f t="shared" ca="1" si="91"/>
        <v/>
      </c>
      <c r="CD85" s="156" t="str">
        <f t="shared" si="70"/>
        <v/>
      </c>
      <c r="CE85" s="156" t="str">
        <f t="shared" si="71"/>
        <v/>
      </c>
      <c r="CF85" s="495" t="str">
        <f t="shared" si="72"/>
        <v/>
      </c>
      <c r="CG85" s="496" t="str">
        <f t="shared" si="73"/>
        <v/>
      </c>
      <c r="CH85" s="156" t="str">
        <f t="shared" si="74"/>
        <v/>
      </c>
      <c r="CI85" s="155" t="str">
        <f t="shared" si="92"/>
        <v/>
      </c>
      <c r="CJ85" s="155">
        <f t="shared" si="75"/>
        <v>42087</v>
      </c>
      <c r="CK85" s="156">
        <f t="shared" si="76"/>
        <v>1</v>
      </c>
      <c r="CL85" s="156">
        <f t="shared" si="77"/>
        <v>1</v>
      </c>
      <c r="CM85" s="156">
        <f t="shared" si="78"/>
        <v>1</v>
      </c>
      <c r="CN85" s="156">
        <f t="shared" si="79"/>
        <v>1</v>
      </c>
      <c r="CO85" s="156">
        <f t="shared" si="80"/>
        <v>1</v>
      </c>
      <c r="CP85" s="156">
        <f t="shared" si="81"/>
        <v>1</v>
      </c>
      <c r="CQ85" s="156">
        <f t="shared" si="82"/>
        <v>1</v>
      </c>
      <c r="CR85" s="156">
        <f t="shared" si="83"/>
        <v>1</v>
      </c>
      <c r="CS85" s="156">
        <f t="shared" si="84"/>
        <v>1</v>
      </c>
      <c r="CT85" s="156">
        <f t="shared" si="85"/>
        <v>1</v>
      </c>
      <c r="CU85" s="156">
        <f t="shared" si="86"/>
        <v>1</v>
      </c>
      <c r="CV85" s="156">
        <f t="shared" si="87"/>
        <v>1</v>
      </c>
      <c r="CW85" s="156">
        <f t="shared" si="88"/>
        <v>1</v>
      </c>
      <c r="CX85" s="156">
        <f t="shared" si="89"/>
        <v>1</v>
      </c>
      <c r="CY85" s="156">
        <f t="shared" si="90"/>
        <v>1</v>
      </c>
      <c r="CZ85" s="321">
        <f t="shared" si="93"/>
        <v>66</v>
      </c>
      <c r="DA85" s="321">
        <f t="shared" si="94"/>
        <v>0</v>
      </c>
      <c r="DB85" s="321">
        <f t="shared" si="95"/>
        <v>1</v>
      </c>
    </row>
    <row r="86" spans="1:106" s="8" customFormat="1" x14ac:dyDescent="0.25">
      <c r="A86" s="133">
        <v>184</v>
      </c>
      <c r="B86" s="20">
        <v>42051</v>
      </c>
      <c r="C86" s="8">
        <v>1082302</v>
      </c>
      <c r="D86" s="8" t="s">
        <v>895</v>
      </c>
      <c r="E86" s="8" t="str">
        <f t="shared" si="58"/>
        <v/>
      </c>
      <c r="F86" s="8" t="str">
        <f t="shared" si="59"/>
        <v/>
      </c>
      <c r="G86" s="8" t="s">
        <v>474</v>
      </c>
      <c r="K86" s="490" t="str">
        <f t="shared" ca="1" si="67"/>
        <v/>
      </c>
      <c r="N86" s="156" t="str">
        <f t="shared" si="61"/>
        <v/>
      </c>
      <c r="O86" s="8" t="s">
        <v>298</v>
      </c>
      <c r="P86" s="113" t="s">
        <v>689</v>
      </c>
      <c r="Q86" s="8" t="s">
        <v>858</v>
      </c>
      <c r="R86" s="8">
        <v>9124040709</v>
      </c>
      <c r="S86" s="156">
        <f t="shared" si="68"/>
        <v>9124040709</v>
      </c>
      <c r="T86" s="156" t="str">
        <f t="shared" si="96"/>
        <v/>
      </c>
      <c r="U86" s="8" t="s">
        <v>907</v>
      </c>
      <c r="V86" s="8" t="s">
        <v>857</v>
      </c>
      <c r="W86" s="8" t="s">
        <v>855</v>
      </c>
      <c r="X86" s="8" t="s">
        <v>856</v>
      </c>
      <c r="Y86" s="8" t="s">
        <v>73</v>
      </c>
      <c r="Z86" s="8" t="s">
        <v>74</v>
      </c>
      <c r="AA86" s="8" t="str">
        <f t="shared" si="63"/>
        <v>Php 17,000</v>
      </c>
      <c r="AC86" s="8" t="str">
        <f t="shared" si="47"/>
        <v>Php 1,000</v>
      </c>
      <c r="AD86" s="8" t="str">
        <f t="shared" si="42"/>
        <v>Php 4,000</v>
      </c>
      <c r="AE86" s="121" t="str">
        <f t="shared" si="43"/>
        <v/>
      </c>
      <c r="AF86" s="113" t="str">
        <f t="shared" si="44"/>
        <v/>
      </c>
      <c r="AH86" s="113" t="s">
        <v>52</v>
      </c>
      <c r="AI86" s="8" t="s">
        <v>253</v>
      </c>
      <c r="AJ86" s="156"/>
      <c r="AL86" s="8" t="s">
        <v>254</v>
      </c>
      <c r="AM86" s="8" t="s">
        <v>248</v>
      </c>
      <c r="AN86" s="20">
        <v>33766</v>
      </c>
      <c r="AO86" s="8" t="s">
        <v>1019</v>
      </c>
      <c r="AS86" s="165"/>
      <c r="AT86" s="113"/>
      <c r="AU86" s="113"/>
      <c r="AV86" s="177">
        <v>42053</v>
      </c>
      <c r="AW86" s="187"/>
      <c r="AX86" s="113"/>
      <c r="AY86" s="113"/>
      <c r="AZ86" s="113"/>
      <c r="BA86" s="129">
        <v>42052</v>
      </c>
      <c r="BB86" s="182"/>
      <c r="BC86" s="165"/>
      <c r="BD86" s="182"/>
      <c r="BE86" s="165"/>
      <c r="BF86" s="182"/>
      <c r="BG86" s="165"/>
      <c r="BH86" s="274"/>
      <c r="BI86" s="182"/>
      <c r="BJ86" s="165"/>
      <c r="BK86" s="113"/>
      <c r="BL86" s="182"/>
      <c r="BM86" s="165"/>
      <c r="BN86" s="113"/>
      <c r="BO86" s="182"/>
      <c r="BP86" s="165"/>
      <c r="BQ86" s="113"/>
      <c r="BR86" s="182"/>
      <c r="BS86" s="187">
        <v>42052</v>
      </c>
      <c r="BT86" s="129">
        <v>42052</v>
      </c>
      <c r="BU86" s="129">
        <v>42052</v>
      </c>
      <c r="BV86" s="293"/>
      <c r="BW86" s="276" t="str">
        <f t="shared" si="57"/>
        <v xml:space="preserve">2305 (for processing) 2/17/2015, </v>
      </c>
      <c r="BX86" s="276" t="str">
        <f t="shared" si="64"/>
        <v/>
      </c>
      <c r="BY86" s="276" t="str">
        <f t="shared" si="65"/>
        <v/>
      </c>
      <c r="BZ86" s="278" t="str">
        <f t="shared" si="66"/>
        <v/>
      </c>
      <c r="CA86" s="156" t="str">
        <f t="shared" si="60"/>
        <v/>
      </c>
      <c r="CB86" s="155" t="str">
        <f t="shared" si="69"/>
        <v/>
      </c>
      <c r="CC86" s="156" t="str">
        <f t="shared" ca="1" si="91"/>
        <v/>
      </c>
      <c r="CD86" s="156" t="str">
        <f t="shared" si="70"/>
        <v/>
      </c>
      <c r="CE86" s="156" t="str">
        <f t="shared" si="71"/>
        <v/>
      </c>
      <c r="CF86" s="495" t="str">
        <f t="shared" si="72"/>
        <v/>
      </c>
      <c r="CG86" s="496" t="str">
        <f t="shared" si="73"/>
        <v/>
      </c>
      <c r="CH86" s="156" t="str">
        <f t="shared" si="74"/>
        <v/>
      </c>
      <c r="CI86" s="155" t="str">
        <f t="shared" si="92"/>
        <v/>
      </c>
      <c r="CJ86" s="155">
        <f t="shared" si="75"/>
        <v>42087</v>
      </c>
      <c r="CK86" s="156">
        <f t="shared" si="76"/>
        <v>1</v>
      </c>
      <c r="CL86" s="156">
        <f t="shared" si="77"/>
        <v>1</v>
      </c>
      <c r="CM86" s="156">
        <f t="shared" si="78"/>
        <v>1</v>
      </c>
      <c r="CN86" s="156">
        <f t="shared" si="79"/>
        <v>1</v>
      </c>
      <c r="CO86" s="156">
        <f t="shared" si="80"/>
        <v>1</v>
      </c>
      <c r="CP86" s="156">
        <f t="shared" si="81"/>
        <v>1</v>
      </c>
      <c r="CQ86" s="156">
        <f t="shared" si="82"/>
        <v>1</v>
      </c>
      <c r="CR86" s="156">
        <f t="shared" si="83"/>
        <v>1</v>
      </c>
      <c r="CS86" s="156">
        <f t="shared" si="84"/>
        <v>1</v>
      </c>
      <c r="CT86" s="156">
        <f t="shared" si="85"/>
        <v>1</v>
      </c>
      <c r="CU86" s="156">
        <f t="shared" si="86"/>
        <v>1</v>
      </c>
      <c r="CV86" s="156">
        <f t="shared" si="87"/>
        <v>1</v>
      </c>
      <c r="CW86" s="156">
        <f t="shared" si="88"/>
        <v>1</v>
      </c>
      <c r="CX86" s="156">
        <f t="shared" si="89"/>
        <v>2</v>
      </c>
      <c r="CY86" s="156">
        <f t="shared" si="90"/>
        <v>1</v>
      </c>
      <c r="CZ86" s="8" t="str">
        <f t="shared" si="93"/>
        <v/>
      </c>
      <c r="DA86" s="8">
        <f t="shared" si="94"/>
        <v>0</v>
      </c>
      <c r="DB86" s="8">
        <f t="shared" si="95"/>
        <v>0</v>
      </c>
    </row>
    <row r="87" spans="1:106" s="8" customFormat="1" x14ac:dyDescent="0.25">
      <c r="A87" s="133">
        <v>184</v>
      </c>
      <c r="B87" s="20">
        <v>42051</v>
      </c>
      <c r="C87" s="8">
        <v>1082303</v>
      </c>
      <c r="D87" s="8" t="s">
        <v>896</v>
      </c>
      <c r="E87" s="8" t="str">
        <f t="shared" si="58"/>
        <v/>
      </c>
      <c r="F87" s="8" t="str">
        <f t="shared" si="59"/>
        <v/>
      </c>
      <c r="G87" s="8" t="s">
        <v>474</v>
      </c>
      <c r="K87" s="490" t="str">
        <f t="shared" ca="1" si="67"/>
        <v/>
      </c>
      <c r="N87" s="156" t="str">
        <f t="shared" si="61"/>
        <v/>
      </c>
      <c r="O87" s="8" t="s">
        <v>298</v>
      </c>
      <c r="P87" s="113" t="s">
        <v>689</v>
      </c>
      <c r="Q87" s="8" t="s">
        <v>862</v>
      </c>
      <c r="R87" s="8">
        <v>9202802488</v>
      </c>
      <c r="S87" s="156">
        <f t="shared" si="68"/>
        <v>9202802488</v>
      </c>
      <c r="T87" s="156" t="str">
        <f t="shared" si="96"/>
        <v/>
      </c>
      <c r="V87" s="8" t="s">
        <v>861</v>
      </c>
      <c r="W87" s="8" t="s">
        <v>859</v>
      </c>
      <c r="X87" s="8" t="s">
        <v>860</v>
      </c>
      <c r="Y87" s="8" t="s">
        <v>73</v>
      </c>
      <c r="Z87" s="8" t="s">
        <v>70</v>
      </c>
      <c r="AA87" s="8" t="str">
        <f t="shared" si="63"/>
        <v>Php 16,000</v>
      </c>
      <c r="AC87" s="8" t="str">
        <f t="shared" si="47"/>
        <v>Php 1,000</v>
      </c>
      <c r="AD87" s="8" t="str">
        <f t="shared" si="42"/>
        <v>Php 3,000</v>
      </c>
      <c r="AE87" s="121" t="str">
        <f t="shared" si="43"/>
        <v/>
      </c>
      <c r="AF87" s="113" t="str">
        <f t="shared" si="44"/>
        <v/>
      </c>
      <c r="AH87" s="113" t="s">
        <v>52</v>
      </c>
      <c r="AI87" s="8" t="s">
        <v>253</v>
      </c>
      <c r="AJ87" s="156"/>
      <c r="AL87" s="8" t="s">
        <v>247</v>
      </c>
      <c r="AM87" s="8" t="s">
        <v>248</v>
      </c>
      <c r="AN87" s="20">
        <v>32422</v>
      </c>
      <c r="AS87" s="165"/>
      <c r="AT87" s="113"/>
      <c r="AU87" s="113"/>
      <c r="AV87" s="182"/>
      <c r="AW87" s="187"/>
      <c r="AX87" s="113"/>
      <c r="AY87" s="113"/>
      <c r="AZ87" s="113"/>
      <c r="BA87" s="113"/>
      <c r="BB87" s="182"/>
      <c r="BC87" s="165"/>
      <c r="BD87" s="182"/>
      <c r="BE87" s="165"/>
      <c r="BF87" s="182"/>
      <c r="BG87" s="165"/>
      <c r="BH87" s="274"/>
      <c r="BI87" s="182"/>
      <c r="BJ87" s="165"/>
      <c r="BK87" s="113"/>
      <c r="BL87" s="182"/>
      <c r="BM87" s="165"/>
      <c r="BN87" s="113"/>
      <c r="BO87" s="182"/>
      <c r="BP87" s="165"/>
      <c r="BQ87" s="113"/>
      <c r="BR87" s="182"/>
      <c r="BS87" s="187">
        <v>42052</v>
      </c>
      <c r="BT87" s="129">
        <v>42052</v>
      </c>
      <c r="BU87" s="129">
        <v>42052</v>
      </c>
      <c r="BV87" s="293"/>
      <c r="BW87" s="276" t="str">
        <f t="shared" si="57"/>
        <v/>
      </c>
      <c r="BX87" s="276" t="str">
        <f t="shared" si="64"/>
        <v/>
      </c>
      <c r="BY87" s="276" t="str">
        <f t="shared" si="65"/>
        <v/>
      </c>
      <c r="BZ87" s="278" t="str">
        <f t="shared" si="66"/>
        <v/>
      </c>
      <c r="CA87" s="156" t="str">
        <f t="shared" si="60"/>
        <v/>
      </c>
      <c r="CB87" s="155" t="str">
        <f t="shared" si="69"/>
        <v/>
      </c>
      <c r="CC87" s="156" t="str">
        <f t="shared" ca="1" si="91"/>
        <v/>
      </c>
      <c r="CD87" s="156" t="str">
        <f t="shared" si="70"/>
        <v/>
      </c>
      <c r="CE87" s="156" t="str">
        <f t="shared" si="71"/>
        <v/>
      </c>
      <c r="CF87" s="495" t="str">
        <f t="shared" si="72"/>
        <v/>
      </c>
      <c r="CG87" s="496" t="str">
        <f t="shared" si="73"/>
        <v/>
      </c>
      <c r="CH87" s="156" t="str">
        <f t="shared" si="74"/>
        <v/>
      </c>
      <c r="CI87" s="155" t="str">
        <f t="shared" si="92"/>
        <v/>
      </c>
      <c r="CJ87" s="155">
        <f t="shared" si="75"/>
        <v>42087</v>
      </c>
      <c r="CK87" s="156">
        <f t="shared" si="76"/>
        <v>1</v>
      </c>
      <c r="CL87" s="156">
        <f t="shared" si="77"/>
        <v>1</v>
      </c>
      <c r="CM87" s="156">
        <f t="shared" si="78"/>
        <v>1</v>
      </c>
      <c r="CN87" s="156">
        <f t="shared" si="79"/>
        <v>1</v>
      </c>
      <c r="CO87" s="156">
        <f t="shared" si="80"/>
        <v>1</v>
      </c>
      <c r="CP87" s="156">
        <f t="shared" si="81"/>
        <v>1</v>
      </c>
      <c r="CQ87" s="156">
        <f t="shared" si="82"/>
        <v>1</v>
      </c>
      <c r="CR87" s="156">
        <f t="shared" si="83"/>
        <v>1</v>
      </c>
      <c r="CS87" s="156">
        <f t="shared" si="84"/>
        <v>1</v>
      </c>
      <c r="CT87" s="156">
        <f t="shared" si="85"/>
        <v>1</v>
      </c>
      <c r="CU87" s="156">
        <f t="shared" si="86"/>
        <v>1</v>
      </c>
      <c r="CV87" s="156">
        <f t="shared" si="87"/>
        <v>1</v>
      </c>
      <c r="CW87" s="156">
        <f t="shared" si="88"/>
        <v>1</v>
      </c>
      <c r="CX87" s="156">
        <f t="shared" si="89"/>
        <v>3</v>
      </c>
      <c r="CY87" s="156">
        <f t="shared" si="90"/>
        <v>1</v>
      </c>
      <c r="CZ87" s="8" t="str">
        <f t="shared" si="93"/>
        <v/>
      </c>
      <c r="DA87" s="8">
        <f t="shared" si="94"/>
        <v>0</v>
      </c>
      <c r="DB87" s="8">
        <f t="shared" si="95"/>
        <v>0</v>
      </c>
    </row>
    <row r="88" spans="1:106" s="8" customFormat="1" x14ac:dyDescent="0.25">
      <c r="A88" s="133">
        <v>184</v>
      </c>
      <c r="B88" s="20">
        <v>42051</v>
      </c>
      <c r="C88" s="8">
        <v>1082304</v>
      </c>
      <c r="D88" s="8" t="s">
        <v>897</v>
      </c>
      <c r="E88" s="8" t="str">
        <f t="shared" si="58"/>
        <v/>
      </c>
      <c r="F88" s="8" t="str">
        <f t="shared" si="59"/>
        <v/>
      </c>
      <c r="G88" s="8" t="s">
        <v>474</v>
      </c>
      <c r="K88" s="490" t="str">
        <f t="shared" ca="1" si="67"/>
        <v/>
      </c>
      <c r="M88" s="20">
        <v>42062</v>
      </c>
      <c r="N88" s="156" t="str">
        <f t="shared" si="61"/>
        <v/>
      </c>
      <c r="O88" s="8" t="s">
        <v>298</v>
      </c>
      <c r="P88" s="113" t="s">
        <v>689</v>
      </c>
      <c r="Q88" s="8" t="s">
        <v>865</v>
      </c>
      <c r="R88" s="8">
        <v>9201975377</v>
      </c>
      <c r="S88" s="156">
        <f t="shared" si="68"/>
        <v>9201975377</v>
      </c>
      <c r="T88" s="156" t="str">
        <f t="shared" si="96"/>
        <v/>
      </c>
      <c r="U88" s="8" t="s">
        <v>908</v>
      </c>
      <c r="V88" s="8" t="s">
        <v>864</v>
      </c>
      <c r="W88" s="8" t="s">
        <v>532</v>
      </c>
      <c r="X88" s="8" t="s">
        <v>863</v>
      </c>
      <c r="Y88" s="8" t="s">
        <v>73</v>
      </c>
      <c r="Z88" s="8" t="s">
        <v>74</v>
      </c>
      <c r="AA88" s="8" t="str">
        <f t="shared" si="63"/>
        <v>Php 17,000</v>
      </c>
      <c r="AC88" s="8" t="str">
        <f t="shared" si="47"/>
        <v>Php 1,000</v>
      </c>
      <c r="AD88" s="8" t="str">
        <f t="shared" si="42"/>
        <v>Php 4,000</v>
      </c>
      <c r="AE88" s="121" t="str">
        <f t="shared" si="43"/>
        <v/>
      </c>
      <c r="AF88" s="113" t="str">
        <f t="shared" si="44"/>
        <v/>
      </c>
      <c r="AH88" s="113" t="s">
        <v>52</v>
      </c>
      <c r="AI88" s="8" t="s">
        <v>338</v>
      </c>
      <c r="AJ88" s="156" t="s">
        <v>1136</v>
      </c>
      <c r="AL88" s="8" t="s">
        <v>265</v>
      </c>
      <c r="AM88" s="8" t="s">
        <v>248</v>
      </c>
      <c r="AN88" s="20">
        <v>33246</v>
      </c>
      <c r="AO88" s="8" t="s">
        <v>933</v>
      </c>
      <c r="AP88" s="8" t="s">
        <v>933</v>
      </c>
      <c r="AQ88" s="8" t="s">
        <v>53</v>
      </c>
      <c r="AR88" s="8" t="s">
        <v>378</v>
      </c>
      <c r="AS88" s="187">
        <v>42052</v>
      </c>
      <c r="AT88" s="129">
        <v>42052</v>
      </c>
      <c r="AU88" s="129">
        <v>42052</v>
      </c>
      <c r="AV88" s="177">
        <v>42053</v>
      </c>
      <c r="AW88" s="187">
        <v>42062</v>
      </c>
      <c r="AX88" s="113" t="s">
        <v>978</v>
      </c>
      <c r="AY88" s="113"/>
      <c r="AZ88" s="113">
        <v>1</v>
      </c>
      <c r="BA88" s="129">
        <v>42052</v>
      </c>
      <c r="BB88" s="182"/>
      <c r="BC88" s="187">
        <v>42052</v>
      </c>
      <c r="BD88" s="182" t="s">
        <v>934</v>
      </c>
      <c r="BE88" s="187">
        <v>42052</v>
      </c>
      <c r="BF88" s="182" t="s">
        <v>935</v>
      </c>
      <c r="BG88" s="129">
        <v>42052</v>
      </c>
      <c r="BH88" s="274" t="s">
        <v>936</v>
      </c>
      <c r="BI88" s="182"/>
      <c r="BJ88" s="165"/>
      <c r="BK88" s="113"/>
      <c r="BL88" s="182"/>
      <c r="BM88" s="187">
        <v>42052</v>
      </c>
      <c r="BN88" s="113"/>
      <c r="BO88" s="182"/>
      <c r="BP88" s="187">
        <v>42052</v>
      </c>
      <c r="BQ88" s="129">
        <v>42052</v>
      </c>
      <c r="BR88" s="177">
        <v>42052</v>
      </c>
      <c r="BS88" s="187">
        <v>42052</v>
      </c>
      <c r="BT88" s="129">
        <v>42052</v>
      </c>
      <c r="BU88" s="129">
        <v>42052</v>
      </c>
      <c r="BV88" s="293"/>
      <c r="BW88" s="276" t="str">
        <f t="shared" si="57"/>
        <v xml:space="preserve">2305 2/17/2015, </v>
      </c>
      <c r="BX88" s="276" t="str">
        <f t="shared" si="64"/>
        <v/>
      </c>
      <c r="BY88" s="276" t="str">
        <f t="shared" si="65"/>
        <v/>
      </c>
      <c r="BZ88" s="278" t="str">
        <f t="shared" si="66"/>
        <v/>
      </c>
      <c r="CA88" s="156" t="str">
        <f t="shared" si="60"/>
        <v/>
      </c>
      <c r="CB88" s="155" t="str">
        <f t="shared" si="69"/>
        <v/>
      </c>
      <c r="CC88" s="156" t="str">
        <f t="shared" ca="1" si="91"/>
        <v/>
      </c>
      <c r="CD88" s="156" t="str">
        <f t="shared" si="70"/>
        <v/>
      </c>
      <c r="CE88" s="156" t="str">
        <f t="shared" si="71"/>
        <v/>
      </c>
      <c r="CF88" s="495" t="str">
        <f t="shared" si="72"/>
        <v/>
      </c>
      <c r="CG88" s="496" t="str">
        <f t="shared" si="73"/>
        <v/>
      </c>
      <c r="CH88" s="156" t="str">
        <f t="shared" si="74"/>
        <v/>
      </c>
      <c r="CI88" s="155" t="str">
        <f t="shared" si="92"/>
        <v/>
      </c>
      <c r="CJ88" s="155">
        <f t="shared" si="75"/>
        <v>42087</v>
      </c>
      <c r="CK88" s="156">
        <f t="shared" si="76"/>
        <v>1</v>
      </c>
      <c r="CL88" s="156">
        <f t="shared" si="77"/>
        <v>1</v>
      </c>
      <c r="CM88" s="156">
        <f t="shared" si="78"/>
        <v>1</v>
      </c>
      <c r="CN88" s="156">
        <f t="shared" si="79"/>
        <v>1</v>
      </c>
      <c r="CO88" s="156">
        <f t="shared" si="80"/>
        <v>1</v>
      </c>
      <c r="CP88" s="156">
        <f t="shared" si="81"/>
        <v>1</v>
      </c>
      <c r="CQ88" s="156">
        <f t="shared" si="82"/>
        <v>1</v>
      </c>
      <c r="CR88" s="156">
        <f t="shared" si="83"/>
        <v>1</v>
      </c>
      <c r="CS88" s="156">
        <f t="shared" si="84"/>
        <v>1</v>
      </c>
      <c r="CT88" s="156">
        <f t="shared" si="85"/>
        <v>1</v>
      </c>
      <c r="CU88" s="156">
        <f t="shared" si="86"/>
        <v>1</v>
      </c>
      <c r="CV88" s="156">
        <f t="shared" si="87"/>
        <v>1</v>
      </c>
      <c r="CW88" s="156">
        <f t="shared" si="88"/>
        <v>1</v>
      </c>
      <c r="CX88" s="156">
        <f t="shared" si="89"/>
        <v>4</v>
      </c>
      <c r="CY88" s="156">
        <f t="shared" si="90"/>
        <v>1</v>
      </c>
      <c r="CZ88" s="8">
        <f t="shared" si="93"/>
        <v>11</v>
      </c>
      <c r="DA88" s="8">
        <f t="shared" si="94"/>
        <v>0</v>
      </c>
      <c r="DB88" s="8">
        <f t="shared" si="95"/>
        <v>0</v>
      </c>
    </row>
    <row r="89" spans="1:106" s="321" customFormat="1" x14ac:dyDescent="0.25">
      <c r="A89" s="382">
        <v>184</v>
      </c>
      <c r="B89" s="334">
        <v>42051</v>
      </c>
      <c r="C89" s="321">
        <v>1082305</v>
      </c>
      <c r="D89" s="321" t="s">
        <v>898</v>
      </c>
      <c r="E89" s="321" t="str">
        <f t="shared" si="58"/>
        <v/>
      </c>
      <c r="F89" s="321" t="str">
        <f t="shared" si="59"/>
        <v xml:space="preserve">2x2, </v>
      </c>
      <c r="G89" s="321" t="s">
        <v>474</v>
      </c>
      <c r="K89" s="490" t="str">
        <f t="shared" ca="1" si="67"/>
        <v/>
      </c>
      <c r="M89" s="334">
        <v>42062</v>
      </c>
      <c r="N89" s="156" t="str">
        <f t="shared" si="61"/>
        <v/>
      </c>
      <c r="O89" s="321" t="s">
        <v>302</v>
      </c>
      <c r="Q89" s="321" t="s">
        <v>869</v>
      </c>
      <c r="R89" s="321">
        <v>9273531729</v>
      </c>
      <c r="S89" s="156">
        <f t="shared" si="68"/>
        <v>9273531729</v>
      </c>
      <c r="T89" s="156" t="str">
        <f t="shared" si="96"/>
        <v/>
      </c>
      <c r="U89" s="321" t="s">
        <v>909</v>
      </c>
      <c r="V89" s="321" t="s">
        <v>868</v>
      </c>
      <c r="W89" s="321" t="s">
        <v>866</v>
      </c>
      <c r="X89" s="321" t="s">
        <v>867</v>
      </c>
      <c r="Y89" s="321" t="s">
        <v>73</v>
      </c>
      <c r="Z89" s="321" t="s">
        <v>74</v>
      </c>
      <c r="AA89" s="321" t="str">
        <f t="shared" si="63"/>
        <v>Php 17,000</v>
      </c>
      <c r="AC89" s="321" t="str">
        <f t="shared" si="47"/>
        <v>Php 1,000</v>
      </c>
      <c r="AD89" s="321" t="str">
        <f t="shared" si="42"/>
        <v>Php 4,000</v>
      </c>
      <c r="AE89" s="377" t="str">
        <f t="shared" si="43"/>
        <v/>
      </c>
      <c r="AF89" s="317" t="str">
        <f t="shared" si="44"/>
        <v/>
      </c>
      <c r="AH89" s="317" t="s">
        <v>52</v>
      </c>
      <c r="AI89" s="321" t="s">
        <v>253</v>
      </c>
      <c r="AJ89" s="156"/>
      <c r="AL89" s="321" t="s">
        <v>265</v>
      </c>
      <c r="AM89" s="321" t="s">
        <v>248</v>
      </c>
      <c r="AN89" s="334">
        <v>31686</v>
      </c>
      <c r="AO89" s="321" t="s">
        <v>926</v>
      </c>
      <c r="AP89" s="321" t="s">
        <v>926</v>
      </c>
      <c r="AQ89" s="321" t="s">
        <v>50</v>
      </c>
      <c r="AR89" s="321" t="s">
        <v>378</v>
      </c>
      <c r="AS89" s="332">
        <v>42052</v>
      </c>
      <c r="AT89" s="318">
        <v>42052</v>
      </c>
      <c r="AU89" s="318">
        <v>42052</v>
      </c>
      <c r="AV89" s="329">
        <v>42053</v>
      </c>
      <c r="AW89" s="332">
        <v>42052</v>
      </c>
      <c r="AX89" s="317" t="s">
        <v>930</v>
      </c>
      <c r="AY89" s="317"/>
      <c r="AZ89" s="318">
        <v>42060</v>
      </c>
      <c r="BA89" s="318">
        <v>42052</v>
      </c>
      <c r="BB89" s="326"/>
      <c r="BC89" s="332">
        <v>42052</v>
      </c>
      <c r="BD89" s="326" t="s">
        <v>927</v>
      </c>
      <c r="BE89" s="332">
        <v>42052</v>
      </c>
      <c r="BF89" s="326" t="s">
        <v>929</v>
      </c>
      <c r="BG89" s="332">
        <v>42052</v>
      </c>
      <c r="BH89" s="385" t="s">
        <v>928</v>
      </c>
      <c r="BI89" s="329">
        <v>42052</v>
      </c>
      <c r="BJ89" s="332">
        <v>42052</v>
      </c>
      <c r="BK89" s="317"/>
      <c r="BL89" s="326"/>
      <c r="BM89" s="332">
        <v>42052</v>
      </c>
      <c r="BN89" s="317"/>
      <c r="BO89" s="326"/>
      <c r="BP89" s="337"/>
      <c r="BQ89" s="318">
        <v>42052</v>
      </c>
      <c r="BR89" s="329">
        <v>42052</v>
      </c>
      <c r="BS89" s="332">
        <v>42052</v>
      </c>
      <c r="BT89" s="318">
        <v>42052</v>
      </c>
      <c r="BU89" s="318">
        <v>42052</v>
      </c>
      <c r="BV89" s="386"/>
      <c r="BW89" s="276" t="str">
        <f t="shared" ref="BW89:BW120" si="97">IF(AZ89&gt;3,"1905 ","")&amp;IF(AND(M89="",AZ89&gt;3)=TRUE,"(for processing) ","")&amp;IF(AZ89&lt;4,"",MONTH(AZ89)&amp;"/"&amp;DAY(AZ89)&amp;"/"&amp;YEAR(AZ89)&amp;", ")&amp;IF(BA89&gt;3,"2305 ","")&amp;IF(AND(M89="",BA89&gt;3)=TRUE,"(for processing) ","")&amp;IF(BA89&lt;4,"",MONTH(BA89)&amp;"/"&amp;DAY(BA89)&amp;"/"&amp;YEAR(BA89)&amp;", ")&amp;IF(BI89&gt;0,"MDR ","")&amp;IF(BI89=0,"",MONTH(BI89)&amp;"/"&amp;DAY(BI89)&amp;"/"&amp;YEAR(BI89)&amp;", ")&amp;IF(BK89&gt;0,"NBI receipt "&amp;MONTH(BK89)&amp;"/"&amp;DAY(BK89)&amp;"/"&amp;YEAR(BK89)&amp;", ","") &amp;BV89</f>
        <v xml:space="preserve">1905 2/25/2015, 2305 2/17/2015, MDR 2/17/2015, </v>
      </c>
      <c r="BX89" s="276">
        <f t="shared" si="64"/>
        <v>11</v>
      </c>
      <c r="BY89" s="276">
        <f t="shared" si="65"/>
        <v>11</v>
      </c>
      <c r="BZ89" s="278">
        <f t="shared" si="66"/>
        <v>1</v>
      </c>
      <c r="CA89" s="156" t="str">
        <f t="shared" si="60"/>
        <v/>
      </c>
      <c r="CB89" s="155" t="str">
        <f t="shared" si="69"/>
        <v/>
      </c>
      <c r="CC89" s="156" t="str">
        <f t="shared" ca="1" si="91"/>
        <v/>
      </c>
      <c r="CD89" s="156" t="str">
        <f t="shared" si="70"/>
        <v/>
      </c>
      <c r="CE89" s="156" t="str">
        <f t="shared" si="71"/>
        <v/>
      </c>
      <c r="CF89" s="495" t="str">
        <f t="shared" si="72"/>
        <v/>
      </c>
      <c r="CG89" s="496" t="str">
        <f t="shared" si="73"/>
        <v/>
      </c>
      <c r="CH89" s="156" t="str">
        <f t="shared" si="74"/>
        <v/>
      </c>
      <c r="CI89" s="155" t="str">
        <f t="shared" si="92"/>
        <v/>
      </c>
      <c r="CJ89" s="155">
        <f t="shared" si="75"/>
        <v>42087</v>
      </c>
      <c r="CK89" s="156">
        <f t="shared" si="76"/>
        <v>2</v>
      </c>
      <c r="CL89" s="156">
        <f t="shared" si="77"/>
        <v>2</v>
      </c>
      <c r="CM89" s="156">
        <f t="shared" si="78"/>
        <v>2</v>
      </c>
      <c r="CN89" s="156">
        <f t="shared" si="79"/>
        <v>2</v>
      </c>
      <c r="CO89" s="156">
        <f t="shared" si="80"/>
        <v>2</v>
      </c>
      <c r="CP89" s="156">
        <f t="shared" si="81"/>
        <v>2</v>
      </c>
      <c r="CQ89" s="156">
        <f t="shared" si="82"/>
        <v>2</v>
      </c>
      <c r="CR89" s="156">
        <f t="shared" si="83"/>
        <v>2</v>
      </c>
      <c r="CS89" s="156">
        <f t="shared" si="84"/>
        <v>2</v>
      </c>
      <c r="CT89" s="156">
        <f t="shared" si="85"/>
        <v>2</v>
      </c>
      <c r="CU89" s="156">
        <f t="shared" si="86"/>
        <v>2</v>
      </c>
      <c r="CV89" s="156">
        <f t="shared" si="87"/>
        <v>2</v>
      </c>
      <c r="CW89" s="156">
        <f t="shared" si="88"/>
        <v>2</v>
      </c>
      <c r="CX89" s="156">
        <f t="shared" si="89"/>
        <v>4</v>
      </c>
      <c r="CY89" s="156">
        <f t="shared" si="90"/>
        <v>2</v>
      </c>
      <c r="CZ89" s="321">
        <f t="shared" si="93"/>
        <v>11</v>
      </c>
      <c r="DA89" s="321">
        <f t="shared" si="94"/>
        <v>1</v>
      </c>
      <c r="DB89" s="321">
        <f t="shared" si="95"/>
        <v>1</v>
      </c>
    </row>
    <row r="90" spans="1:106" s="321" customFormat="1" x14ac:dyDescent="0.25">
      <c r="A90" s="382">
        <v>184</v>
      </c>
      <c r="B90" s="334">
        <v>42051</v>
      </c>
      <c r="C90" s="321">
        <v>1082306</v>
      </c>
      <c r="D90" s="321" t="s">
        <v>899</v>
      </c>
      <c r="E90" s="321" t="str">
        <f t="shared" si="58"/>
        <v/>
      </c>
      <c r="F90" s="321" t="str">
        <f t="shared" si="59"/>
        <v xml:space="preserve">MDR, 2x2, </v>
      </c>
      <c r="G90" s="321" t="s">
        <v>474</v>
      </c>
      <c r="K90" s="490" t="str">
        <f t="shared" ca="1" si="67"/>
        <v/>
      </c>
      <c r="M90" s="334">
        <v>42062</v>
      </c>
      <c r="N90" s="156" t="str">
        <f t="shared" si="61"/>
        <v/>
      </c>
      <c r="O90" s="321" t="s">
        <v>302</v>
      </c>
      <c r="Q90" s="321" t="s">
        <v>873</v>
      </c>
      <c r="R90" s="321">
        <v>9178422898</v>
      </c>
      <c r="S90" s="156">
        <f t="shared" si="68"/>
        <v>9178422898</v>
      </c>
      <c r="T90" s="156" t="str">
        <f t="shared" si="96"/>
        <v/>
      </c>
      <c r="U90" s="321" t="s">
        <v>910</v>
      </c>
      <c r="V90" s="321" t="s">
        <v>872</v>
      </c>
      <c r="W90" s="321" t="s">
        <v>870</v>
      </c>
      <c r="X90" s="321" t="s">
        <v>871</v>
      </c>
      <c r="Y90" s="321" t="s">
        <v>73</v>
      </c>
      <c r="Z90" s="321" t="s">
        <v>70</v>
      </c>
      <c r="AA90" s="321" t="str">
        <f t="shared" si="63"/>
        <v>Php 16,000</v>
      </c>
      <c r="AC90" s="321" t="str">
        <f t="shared" si="47"/>
        <v>Php 1,000</v>
      </c>
      <c r="AD90" s="321" t="str">
        <f t="shared" si="42"/>
        <v>Php 3,000</v>
      </c>
      <c r="AE90" s="377" t="str">
        <f t="shared" si="43"/>
        <v/>
      </c>
      <c r="AF90" s="317" t="str">
        <f t="shared" si="44"/>
        <v/>
      </c>
      <c r="AH90" s="317" t="s">
        <v>52</v>
      </c>
      <c r="AI90" s="321" t="s">
        <v>253</v>
      </c>
      <c r="AJ90" s="156"/>
      <c r="AL90" s="321" t="s">
        <v>265</v>
      </c>
      <c r="AM90" s="321" t="s">
        <v>248</v>
      </c>
      <c r="AN90" s="334">
        <v>33212</v>
      </c>
      <c r="AO90" s="321" t="s">
        <v>966</v>
      </c>
      <c r="AP90" s="321" t="s">
        <v>966</v>
      </c>
      <c r="AQ90" s="321" t="s">
        <v>50</v>
      </c>
      <c r="AR90" s="321" t="s">
        <v>378</v>
      </c>
      <c r="AS90" s="332">
        <v>42053</v>
      </c>
      <c r="AT90" s="318">
        <v>42053</v>
      </c>
      <c r="AU90" s="318">
        <v>42053</v>
      </c>
      <c r="AV90" s="329">
        <v>42053</v>
      </c>
      <c r="AW90" s="332">
        <v>42054</v>
      </c>
      <c r="AX90" s="317" t="s">
        <v>1007</v>
      </c>
      <c r="AY90" s="317"/>
      <c r="AZ90" s="318">
        <v>42054</v>
      </c>
      <c r="BA90" s="318">
        <v>42054</v>
      </c>
      <c r="BB90" s="326"/>
      <c r="BC90" s="332">
        <v>42054</v>
      </c>
      <c r="BD90" s="326" t="s">
        <v>1004</v>
      </c>
      <c r="BE90" s="332">
        <v>42054</v>
      </c>
      <c r="BF90" s="326" t="s">
        <v>1006</v>
      </c>
      <c r="BG90" s="332">
        <v>42054</v>
      </c>
      <c r="BH90" s="385" t="s">
        <v>1005</v>
      </c>
      <c r="BI90" s="326"/>
      <c r="BJ90" s="332">
        <v>42053</v>
      </c>
      <c r="BK90" s="317"/>
      <c r="BL90" s="326"/>
      <c r="BM90" s="332">
        <v>42054</v>
      </c>
      <c r="BN90" s="317"/>
      <c r="BO90" s="326"/>
      <c r="BP90" s="337"/>
      <c r="BQ90" s="318">
        <v>42054</v>
      </c>
      <c r="BR90" s="329">
        <v>42054</v>
      </c>
      <c r="BS90" s="332">
        <v>42052</v>
      </c>
      <c r="BT90" s="318">
        <v>42052</v>
      </c>
      <c r="BU90" s="318">
        <v>42052</v>
      </c>
      <c r="BV90" s="386"/>
      <c r="BW90" s="276" t="str">
        <f t="shared" si="97"/>
        <v xml:space="preserve">1905 2/19/2015, 2305 2/19/2015, </v>
      </c>
      <c r="BX90" s="276">
        <f t="shared" si="64"/>
        <v>11</v>
      </c>
      <c r="BY90" s="276">
        <f t="shared" si="65"/>
        <v>11</v>
      </c>
      <c r="BZ90" s="278">
        <f t="shared" si="66"/>
        <v>1</v>
      </c>
      <c r="CA90" s="156" t="str">
        <f t="shared" si="60"/>
        <v/>
      </c>
      <c r="CB90" s="155" t="str">
        <f t="shared" si="69"/>
        <v/>
      </c>
      <c r="CC90" s="156" t="str">
        <f t="shared" ca="1" si="91"/>
        <v/>
      </c>
      <c r="CD90" s="156" t="str">
        <f t="shared" si="70"/>
        <v/>
      </c>
      <c r="CE90" s="156" t="str">
        <f t="shared" si="71"/>
        <v/>
      </c>
      <c r="CF90" s="495" t="str">
        <f t="shared" si="72"/>
        <v/>
      </c>
      <c r="CG90" s="496" t="str">
        <f t="shared" si="73"/>
        <v/>
      </c>
      <c r="CH90" s="156" t="str">
        <f t="shared" si="74"/>
        <v/>
      </c>
      <c r="CI90" s="155" t="str">
        <f t="shared" si="92"/>
        <v/>
      </c>
      <c r="CJ90" s="155">
        <f t="shared" si="75"/>
        <v>42087</v>
      </c>
      <c r="CK90" s="156">
        <f t="shared" si="76"/>
        <v>3</v>
      </c>
      <c r="CL90" s="156">
        <f t="shared" si="77"/>
        <v>3</v>
      </c>
      <c r="CM90" s="156">
        <f t="shared" si="78"/>
        <v>3</v>
      </c>
      <c r="CN90" s="156">
        <f t="shared" si="79"/>
        <v>3</v>
      </c>
      <c r="CO90" s="156">
        <f t="shared" si="80"/>
        <v>3</v>
      </c>
      <c r="CP90" s="156">
        <f t="shared" si="81"/>
        <v>3</v>
      </c>
      <c r="CQ90" s="156">
        <f t="shared" si="82"/>
        <v>3</v>
      </c>
      <c r="CR90" s="156">
        <f t="shared" si="83"/>
        <v>3</v>
      </c>
      <c r="CS90" s="156">
        <f t="shared" si="84"/>
        <v>3</v>
      </c>
      <c r="CT90" s="156">
        <f t="shared" si="85"/>
        <v>3</v>
      </c>
      <c r="CU90" s="156">
        <f t="shared" si="86"/>
        <v>3</v>
      </c>
      <c r="CV90" s="156">
        <f t="shared" si="87"/>
        <v>3</v>
      </c>
      <c r="CW90" s="156">
        <f t="shared" si="88"/>
        <v>3</v>
      </c>
      <c r="CX90" s="156">
        <f t="shared" si="89"/>
        <v>4</v>
      </c>
      <c r="CY90" s="156">
        <f t="shared" si="90"/>
        <v>3</v>
      </c>
      <c r="CZ90" s="321">
        <f t="shared" si="93"/>
        <v>11</v>
      </c>
      <c r="DA90" s="321">
        <f t="shared" si="94"/>
        <v>1</v>
      </c>
      <c r="DB90" s="321">
        <f t="shared" si="95"/>
        <v>1</v>
      </c>
    </row>
    <row r="91" spans="1:106" s="8" customFormat="1" x14ac:dyDescent="0.25">
      <c r="A91" s="133">
        <v>184</v>
      </c>
      <c r="B91" s="20">
        <v>42051</v>
      </c>
      <c r="C91" s="8">
        <v>1082307</v>
      </c>
      <c r="D91" s="8" t="s">
        <v>900</v>
      </c>
      <c r="E91" s="8" t="str">
        <f t="shared" si="58"/>
        <v/>
      </c>
      <c r="F91" s="8" t="str">
        <f t="shared" si="59"/>
        <v/>
      </c>
      <c r="G91" s="8" t="s">
        <v>474</v>
      </c>
      <c r="K91" s="490" t="str">
        <f t="shared" ca="1" si="67"/>
        <v/>
      </c>
      <c r="N91" s="156" t="str">
        <f t="shared" si="61"/>
        <v/>
      </c>
      <c r="O91" s="8" t="s">
        <v>298</v>
      </c>
      <c r="P91" s="113" t="s">
        <v>689</v>
      </c>
      <c r="Q91" s="8" t="s">
        <v>877</v>
      </c>
      <c r="R91" s="8">
        <v>9351152314</v>
      </c>
      <c r="S91" s="156">
        <f t="shared" si="68"/>
        <v>9351152314</v>
      </c>
      <c r="T91" s="156" t="str">
        <f t="shared" si="96"/>
        <v/>
      </c>
      <c r="U91" s="8" t="s">
        <v>911</v>
      </c>
      <c r="V91" s="8" t="s">
        <v>876</v>
      </c>
      <c r="W91" s="8" t="s">
        <v>874</v>
      </c>
      <c r="X91" s="8" t="s">
        <v>875</v>
      </c>
      <c r="Y91" s="8" t="s">
        <v>73</v>
      </c>
      <c r="Z91" s="8" t="s">
        <v>74</v>
      </c>
      <c r="AA91" s="8" t="str">
        <f t="shared" si="63"/>
        <v>Php 17,000</v>
      </c>
      <c r="AC91" s="8" t="str">
        <f t="shared" si="47"/>
        <v>Php 1,000</v>
      </c>
      <c r="AD91" s="8" t="str">
        <f t="shared" si="42"/>
        <v>Php 4,000</v>
      </c>
      <c r="AE91" s="121" t="str">
        <f t="shared" si="43"/>
        <v/>
      </c>
      <c r="AF91" s="113" t="str">
        <f t="shared" si="44"/>
        <v/>
      </c>
      <c r="AH91" s="113" t="s">
        <v>52</v>
      </c>
      <c r="AI91" s="8" t="s">
        <v>878</v>
      </c>
      <c r="AJ91" s="156"/>
      <c r="AL91" s="8" t="s">
        <v>259</v>
      </c>
      <c r="AM91" s="8" t="s">
        <v>248</v>
      </c>
      <c r="AN91" s="20">
        <v>33165</v>
      </c>
      <c r="AO91" s="8" t="s">
        <v>1120</v>
      </c>
      <c r="AQ91" s="8" t="s">
        <v>53</v>
      </c>
      <c r="AS91" s="165"/>
      <c r="AT91" s="113"/>
      <c r="AU91" s="113"/>
      <c r="AV91" s="182"/>
      <c r="AW91" s="187"/>
      <c r="AX91" s="113"/>
      <c r="AY91" s="113"/>
      <c r="AZ91" s="113"/>
      <c r="BA91" s="113"/>
      <c r="BB91" s="182"/>
      <c r="BC91" s="165"/>
      <c r="BD91" s="182"/>
      <c r="BE91" s="165"/>
      <c r="BF91" s="182"/>
      <c r="BG91" s="165"/>
      <c r="BH91" s="274"/>
      <c r="BI91" s="182"/>
      <c r="BJ91" s="165"/>
      <c r="BK91" s="113"/>
      <c r="BL91" s="182"/>
      <c r="BM91" s="165"/>
      <c r="BN91" s="113"/>
      <c r="BO91" s="182"/>
      <c r="BP91" s="165"/>
      <c r="BQ91" s="113"/>
      <c r="BR91" s="182"/>
      <c r="BS91" s="187">
        <v>42061</v>
      </c>
      <c r="BT91" s="129">
        <v>42061</v>
      </c>
      <c r="BU91" s="129">
        <v>42061</v>
      </c>
      <c r="BV91" s="293"/>
      <c r="BW91" s="276" t="str">
        <f t="shared" si="97"/>
        <v/>
      </c>
      <c r="BX91" s="276" t="str">
        <f t="shared" si="64"/>
        <v/>
      </c>
      <c r="BY91" s="276" t="str">
        <f t="shared" si="65"/>
        <v/>
      </c>
      <c r="BZ91" s="278" t="str">
        <f t="shared" si="66"/>
        <v/>
      </c>
      <c r="CA91" s="156" t="str">
        <f t="shared" si="60"/>
        <v/>
      </c>
      <c r="CB91" s="155" t="str">
        <f t="shared" si="69"/>
        <v/>
      </c>
      <c r="CC91" s="156" t="str">
        <f t="shared" ca="1" si="91"/>
        <v/>
      </c>
      <c r="CD91" s="156" t="str">
        <f t="shared" si="70"/>
        <v/>
      </c>
      <c r="CE91" s="156" t="str">
        <f t="shared" si="71"/>
        <v/>
      </c>
      <c r="CF91" s="495" t="str">
        <f t="shared" si="72"/>
        <v/>
      </c>
      <c r="CG91" s="496" t="str">
        <f t="shared" si="73"/>
        <v/>
      </c>
      <c r="CH91" s="156" t="str">
        <f t="shared" si="74"/>
        <v/>
      </c>
      <c r="CI91" s="155" t="str">
        <f t="shared" si="92"/>
        <v/>
      </c>
      <c r="CJ91" s="155">
        <f t="shared" si="75"/>
        <v>42087</v>
      </c>
      <c r="CK91" s="156">
        <f t="shared" si="76"/>
        <v>3</v>
      </c>
      <c r="CL91" s="156">
        <f t="shared" si="77"/>
        <v>3</v>
      </c>
      <c r="CM91" s="156">
        <f t="shared" si="78"/>
        <v>3</v>
      </c>
      <c r="CN91" s="156">
        <f t="shared" si="79"/>
        <v>3</v>
      </c>
      <c r="CO91" s="156">
        <f t="shared" si="80"/>
        <v>3</v>
      </c>
      <c r="CP91" s="156">
        <f t="shared" si="81"/>
        <v>3</v>
      </c>
      <c r="CQ91" s="156">
        <f t="shared" si="82"/>
        <v>3</v>
      </c>
      <c r="CR91" s="156">
        <f t="shared" si="83"/>
        <v>3</v>
      </c>
      <c r="CS91" s="156">
        <f t="shared" si="84"/>
        <v>3</v>
      </c>
      <c r="CT91" s="156">
        <f t="shared" si="85"/>
        <v>3</v>
      </c>
      <c r="CU91" s="156">
        <f t="shared" si="86"/>
        <v>3</v>
      </c>
      <c r="CV91" s="156">
        <f t="shared" si="87"/>
        <v>3</v>
      </c>
      <c r="CW91" s="156">
        <f t="shared" si="88"/>
        <v>3</v>
      </c>
      <c r="CX91" s="156">
        <f t="shared" si="89"/>
        <v>5</v>
      </c>
      <c r="CY91" s="156">
        <f t="shared" si="90"/>
        <v>3</v>
      </c>
      <c r="CZ91" s="8" t="str">
        <f t="shared" si="93"/>
        <v/>
      </c>
      <c r="DA91" s="8">
        <f t="shared" si="94"/>
        <v>0</v>
      </c>
      <c r="DB91" s="8">
        <f t="shared" si="95"/>
        <v>0</v>
      </c>
    </row>
    <row r="92" spans="1:106" s="321" customFormat="1" x14ac:dyDescent="0.25">
      <c r="A92" s="382">
        <v>184</v>
      </c>
      <c r="B92" s="334">
        <v>42051</v>
      </c>
      <c r="C92" s="321">
        <v>1082308</v>
      </c>
      <c r="D92" s="321" t="s">
        <v>901</v>
      </c>
      <c r="E92" s="321" t="str">
        <f t="shared" si="58"/>
        <v/>
      </c>
      <c r="F92" s="321" t="str">
        <f t="shared" si="59"/>
        <v xml:space="preserve">COE, </v>
      </c>
      <c r="K92" s="490" t="str">
        <f t="shared" ca="1" si="67"/>
        <v/>
      </c>
      <c r="M92" s="334">
        <v>42068</v>
      </c>
      <c r="N92" s="156" t="str">
        <f t="shared" si="61"/>
        <v/>
      </c>
      <c r="O92" s="321" t="s">
        <v>302</v>
      </c>
      <c r="Q92" s="321" t="s">
        <v>882</v>
      </c>
      <c r="R92" s="321" t="s">
        <v>1564</v>
      </c>
      <c r="S92" s="156" t="str">
        <f t="shared" si="68"/>
        <v>9059609645</v>
      </c>
      <c r="T92" s="156" t="str">
        <f t="shared" si="96"/>
        <v>9479934152</v>
      </c>
      <c r="U92" s="321" t="s">
        <v>912</v>
      </c>
      <c r="V92" s="321" t="s">
        <v>881</v>
      </c>
      <c r="W92" s="321" t="s">
        <v>879</v>
      </c>
      <c r="X92" s="321" t="s">
        <v>880</v>
      </c>
      <c r="Y92" s="321" t="s">
        <v>884</v>
      </c>
      <c r="Z92" s="321" t="s">
        <v>128</v>
      </c>
      <c r="AA92" s="321" t="s">
        <v>1024</v>
      </c>
      <c r="AC92" s="321" t="s">
        <v>1025</v>
      </c>
      <c r="AD92" s="321" t="str">
        <f t="shared" si="42"/>
        <v/>
      </c>
      <c r="AE92" s="377" t="s">
        <v>1026</v>
      </c>
      <c r="AF92" s="321" t="s">
        <v>1027</v>
      </c>
      <c r="AH92" s="317" t="s">
        <v>52</v>
      </c>
      <c r="AI92" s="321" t="s">
        <v>883</v>
      </c>
      <c r="AJ92" s="156"/>
      <c r="AL92" s="321" t="s">
        <v>339</v>
      </c>
      <c r="AM92" s="321" t="s">
        <v>885</v>
      </c>
      <c r="AN92" s="334">
        <v>33133</v>
      </c>
      <c r="AO92" s="321" t="s">
        <v>916</v>
      </c>
      <c r="AP92" s="321" t="s">
        <v>917</v>
      </c>
      <c r="AQ92" s="321" t="s">
        <v>50</v>
      </c>
      <c r="AR92" s="321" t="s">
        <v>378</v>
      </c>
      <c r="AS92" s="332">
        <v>42051</v>
      </c>
      <c r="AT92" s="318">
        <v>42051</v>
      </c>
      <c r="AU92" s="318">
        <v>42051</v>
      </c>
      <c r="AV92" s="329">
        <v>42051</v>
      </c>
      <c r="AW92" s="332">
        <v>42066</v>
      </c>
      <c r="AX92" s="317" t="s">
        <v>1181</v>
      </c>
      <c r="AY92" s="317"/>
      <c r="AZ92" s="318">
        <v>42066</v>
      </c>
      <c r="BA92" s="318">
        <v>42051</v>
      </c>
      <c r="BB92" s="326"/>
      <c r="BC92" s="332">
        <v>42051</v>
      </c>
      <c r="BD92" s="326" t="s">
        <v>918</v>
      </c>
      <c r="BE92" s="332">
        <v>42069</v>
      </c>
      <c r="BF92" s="326" t="s">
        <v>1230</v>
      </c>
      <c r="BG92" s="332">
        <v>42069</v>
      </c>
      <c r="BH92" s="385" t="s">
        <v>1231</v>
      </c>
      <c r="BI92" s="329">
        <v>42069</v>
      </c>
      <c r="BJ92" s="332">
        <v>42051</v>
      </c>
      <c r="BK92" s="317"/>
      <c r="BL92" s="326"/>
      <c r="BM92" s="332">
        <v>42066</v>
      </c>
      <c r="BN92" s="317"/>
      <c r="BO92" s="326"/>
      <c r="BP92" s="332">
        <v>42066</v>
      </c>
      <c r="BQ92" s="318">
        <v>42066</v>
      </c>
      <c r="BR92" s="326"/>
      <c r="BS92" s="332">
        <v>42051</v>
      </c>
      <c r="BT92" s="318">
        <v>42051</v>
      </c>
      <c r="BU92" s="318">
        <v>42051</v>
      </c>
      <c r="BV92" s="387"/>
      <c r="BW92" s="276" t="str">
        <f t="shared" si="97"/>
        <v xml:space="preserve">1905 3/3/2015, 2305 2/16/2015, MDR 3/6/2015, </v>
      </c>
      <c r="BX92" s="276">
        <f t="shared" si="64"/>
        <v>11</v>
      </c>
      <c r="BY92" s="276">
        <f t="shared" si="65"/>
        <v>11</v>
      </c>
      <c r="BZ92" s="278">
        <f t="shared" si="66"/>
        <v>1</v>
      </c>
      <c r="CA92" s="156" t="str">
        <f t="shared" si="60"/>
        <v/>
      </c>
      <c r="CB92" s="155" t="str">
        <f t="shared" si="69"/>
        <v/>
      </c>
      <c r="CC92" s="156" t="str">
        <f t="shared" ca="1" si="91"/>
        <v/>
      </c>
      <c r="CD92" s="156" t="str">
        <f t="shared" si="70"/>
        <v/>
      </c>
      <c r="CE92" s="156" t="str">
        <f t="shared" si="71"/>
        <v/>
      </c>
      <c r="CF92" s="495" t="str">
        <f t="shared" si="72"/>
        <v/>
      </c>
      <c r="CG92" s="496" t="str">
        <f t="shared" si="73"/>
        <v/>
      </c>
      <c r="CH92" s="156" t="str">
        <f t="shared" si="74"/>
        <v/>
      </c>
      <c r="CI92" s="155" t="str">
        <f t="shared" si="92"/>
        <v/>
      </c>
      <c r="CJ92" s="155">
        <f t="shared" si="75"/>
        <v>42087</v>
      </c>
      <c r="CK92" s="156">
        <f t="shared" si="76"/>
        <v>4</v>
      </c>
      <c r="CL92" s="156">
        <f t="shared" si="77"/>
        <v>4</v>
      </c>
      <c r="CM92" s="156">
        <f t="shared" si="78"/>
        <v>4</v>
      </c>
      <c r="CN92" s="156">
        <f t="shared" si="79"/>
        <v>4</v>
      </c>
      <c r="CO92" s="156">
        <f t="shared" si="80"/>
        <v>4</v>
      </c>
      <c r="CP92" s="156">
        <f t="shared" si="81"/>
        <v>4</v>
      </c>
      <c r="CQ92" s="156">
        <f t="shared" si="82"/>
        <v>4</v>
      </c>
      <c r="CR92" s="156">
        <f t="shared" si="83"/>
        <v>4</v>
      </c>
      <c r="CS92" s="156">
        <f t="shared" si="84"/>
        <v>4</v>
      </c>
      <c r="CT92" s="156">
        <f t="shared" si="85"/>
        <v>4</v>
      </c>
      <c r="CU92" s="156">
        <f t="shared" si="86"/>
        <v>4</v>
      </c>
      <c r="CV92" s="156">
        <f t="shared" si="87"/>
        <v>4</v>
      </c>
      <c r="CW92" s="156">
        <f t="shared" si="88"/>
        <v>4</v>
      </c>
      <c r="CX92" s="156">
        <f t="shared" si="89"/>
        <v>5</v>
      </c>
      <c r="CY92" s="156">
        <f t="shared" si="90"/>
        <v>4</v>
      </c>
      <c r="CZ92" s="321">
        <f t="shared" si="93"/>
        <v>17</v>
      </c>
      <c r="DA92" s="321">
        <f t="shared" si="94"/>
        <v>1</v>
      </c>
      <c r="DB92" s="321">
        <f t="shared" si="95"/>
        <v>1</v>
      </c>
    </row>
    <row r="93" spans="1:106" s="321" customFormat="1" x14ac:dyDescent="0.25">
      <c r="A93" s="382">
        <v>184</v>
      </c>
      <c r="B93" s="334">
        <v>42051</v>
      </c>
      <c r="C93" s="321">
        <v>1082309</v>
      </c>
      <c r="D93" s="321" t="s">
        <v>902</v>
      </c>
      <c r="E93" s="321" t="str">
        <f t="shared" si="58"/>
        <v/>
      </c>
      <c r="F93" s="321" t="str">
        <f t="shared" si="59"/>
        <v/>
      </c>
      <c r="K93" s="490" t="str">
        <f t="shared" ca="1" si="67"/>
        <v/>
      </c>
      <c r="M93" s="318">
        <v>42051</v>
      </c>
      <c r="N93" s="156" t="str">
        <f t="shared" si="61"/>
        <v/>
      </c>
      <c r="O93" s="321" t="s">
        <v>302</v>
      </c>
      <c r="Q93" s="321" t="s">
        <v>889</v>
      </c>
      <c r="R93" s="321">
        <v>9178227877</v>
      </c>
      <c r="S93" s="156">
        <f t="shared" si="68"/>
        <v>9178227877</v>
      </c>
      <c r="T93" s="156" t="str">
        <f t="shared" si="96"/>
        <v/>
      </c>
      <c r="U93" s="321" t="s">
        <v>913</v>
      </c>
      <c r="V93" s="321" t="s">
        <v>888</v>
      </c>
      <c r="W93" s="321" t="s">
        <v>886</v>
      </c>
      <c r="X93" s="321" t="s">
        <v>887</v>
      </c>
      <c r="Y93" s="321" t="s">
        <v>890</v>
      </c>
      <c r="Z93" s="321" t="s">
        <v>892</v>
      </c>
      <c r="AA93" s="321" t="s">
        <v>740</v>
      </c>
      <c r="AC93" s="321" t="s">
        <v>741</v>
      </c>
      <c r="AE93" s="377"/>
      <c r="AG93" s="321" t="s">
        <v>1023</v>
      </c>
      <c r="AH93" s="317" t="s">
        <v>52</v>
      </c>
      <c r="AJ93" s="156"/>
      <c r="AN93" s="334">
        <v>30716</v>
      </c>
      <c r="AO93" s="321" t="s">
        <v>919</v>
      </c>
      <c r="AP93" s="321" t="s">
        <v>920</v>
      </c>
      <c r="AQ93" s="321" t="s">
        <v>53</v>
      </c>
      <c r="AR93" s="321" t="s">
        <v>495</v>
      </c>
      <c r="AS93" s="332">
        <v>42051</v>
      </c>
      <c r="AT93" s="318">
        <v>42051</v>
      </c>
      <c r="AU93" s="318">
        <v>42051</v>
      </c>
      <c r="AV93" s="318">
        <v>42051</v>
      </c>
      <c r="AW93" s="332">
        <v>42051</v>
      </c>
      <c r="AX93" s="318" t="s">
        <v>922</v>
      </c>
      <c r="AY93" s="317"/>
      <c r="AZ93" s="318">
        <v>42051</v>
      </c>
      <c r="BA93" s="318">
        <v>42051</v>
      </c>
      <c r="BB93" s="326"/>
      <c r="BC93" s="318">
        <v>42051</v>
      </c>
      <c r="BD93" s="326" t="s">
        <v>921</v>
      </c>
      <c r="BE93" s="318">
        <v>42051</v>
      </c>
      <c r="BF93" s="326" t="s">
        <v>923</v>
      </c>
      <c r="BG93" s="318">
        <v>42051</v>
      </c>
      <c r="BH93" s="385" t="s">
        <v>924</v>
      </c>
      <c r="BI93" s="318">
        <v>42051</v>
      </c>
      <c r="BJ93" s="332">
        <v>42051</v>
      </c>
      <c r="BK93" s="317"/>
      <c r="BL93" s="326"/>
      <c r="BM93" s="318">
        <v>42051</v>
      </c>
      <c r="BN93" s="318">
        <v>42051</v>
      </c>
      <c r="BO93" s="318">
        <v>42051</v>
      </c>
      <c r="BP93" s="332">
        <v>42051</v>
      </c>
      <c r="BQ93" s="318">
        <v>42051</v>
      </c>
      <c r="BR93" s="318">
        <v>42051</v>
      </c>
      <c r="BS93" s="332">
        <v>42051</v>
      </c>
      <c r="BT93" s="318">
        <v>42051</v>
      </c>
      <c r="BU93" s="318">
        <v>42051</v>
      </c>
      <c r="BV93" s="387"/>
      <c r="BW93" s="276" t="str">
        <f t="shared" si="97"/>
        <v xml:space="preserve">1905 2/16/2015, 2305 2/16/2015, MDR 2/16/2015, </v>
      </c>
      <c r="BX93" s="276">
        <f t="shared" si="64"/>
        <v>11</v>
      </c>
      <c r="BY93" s="276">
        <f t="shared" si="65"/>
        <v>11</v>
      </c>
      <c r="BZ93" s="278">
        <f t="shared" si="66"/>
        <v>1</v>
      </c>
      <c r="CA93" s="156" t="str">
        <f t="shared" si="60"/>
        <v/>
      </c>
      <c r="CB93" s="155" t="str">
        <f t="shared" si="69"/>
        <v/>
      </c>
      <c r="CC93" s="156" t="str">
        <f t="shared" ca="1" si="91"/>
        <v/>
      </c>
      <c r="CD93" s="156" t="str">
        <f t="shared" si="70"/>
        <v/>
      </c>
      <c r="CE93" s="156" t="str">
        <f t="shared" si="71"/>
        <v/>
      </c>
      <c r="CF93" s="495" t="str">
        <f t="shared" si="72"/>
        <v/>
      </c>
      <c r="CG93" s="496" t="str">
        <f t="shared" si="73"/>
        <v/>
      </c>
      <c r="CH93" s="156" t="str">
        <f t="shared" si="74"/>
        <v/>
      </c>
      <c r="CI93" s="155" t="str">
        <f t="shared" si="92"/>
        <v/>
      </c>
      <c r="CJ93" s="155">
        <f t="shared" si="75"/>
        <v>42087</v>
      </c>
      <c r="CK93" s="156">
        <f t="shared" si="76"/>
        <v>5</v>
      </c>
      <c r="CL93" s="156">
        <f t="shared" si="77"/>
        <v>5</v>
      </c>
      <c r="CM93" s="156">
        <f t="shared" si="78"/>
        <v>5</v>
      </c>
      <c r="CN93" s="156">
        <f t="shared" si="79"/>
        <v>5</v>
      </c>
      <c r="CO93" s="156">
        <f t="shared" si="80"/>
        <v>5</v>
      </c>
      <c r="CP93" s="156">
        <f t="shared" si="81"/>
        <v>5</v>
      </c>
      <c r="CQ93" s="156">
        <f t="shared" si="82"/>
        <v>5</v>
      </c>
      <c r="CR93" s="156">
        <f t="shared" si="83"/>
        <v>5</v>
      </c>
      <c r="CS93" s="156">
        <f t="shared" si="84"/>
        <v>5</v>
      </c>
      <c r="CT93" s="156">
        <f t="shared" si="85"/>
        <v>5</v>
      </c>
      <c r="CU93" s="156">
        <f t="shared" si="86"/>
        <v>5</v>
      </c>
      <c r="CV93" s="156">
        <f t="shared" si="87"/>
        <v>5</v>
      </c>
      <c r="CW93" s="156">
        <f t="shared" si="88"/>
        <v>5</v>
      </c>
      <c r="CX93" s="156">
        <f t="shared" si="89"/>
        <v>5</v>
      </c>
      <c r="CY93" s="156">
        <f t="shared" si="90"/>
        <v>5</v>
      </c>
      <c r="CZ93" s="321">
        <f t="shared" si="93"/>
        <v>0</v>
      </c>
      <c r="DA93" s="321">
        <f t="shared" si="94"/>
        <v>1</v>
      </c>
      <c r="DB93" s="321">
        <f t="shared" si="95"/>
        <v>1</v>
      </c>
    </row>
    <row r="94" spans="1:106" s="343" customFormat="1" ht="15.75" thickBot="1" x14ac:dyDescent="0.3">
      <c r="A94" s="391">
        <v>184</v>
      </c>
      <c r="B94" s="344">
        <v>42051</v>
      </c>
      <c r="C94" s="343">
        <v>1082310</v>
      </c>
      <c r="D94" s="343" t="s">
        <v>891</v>
      </c>
      <c r="E94" s="343" t="str">
        <f t="shared" si="58"/>
        <v/>
      </c>
      <c r="F94" s="343" t="str">
        <f t="shared" si="59"/>
        <v xml:space="preserve">MDR, TOR, COE, 2x2, </v>
      </c>
      <c r="J94" s="344">
        <v>42095</v>
      </c>
      <c r="K94" s="391" t="str">
        <f t="shared" ca="1" si="67"/>
        <v/>
      </c>
      <c r="L94" s="344">
        <v>42090</v>
      </c>
      <c r="M94" s="344">
        <v>42130</v>
      </c>
      <c r="N94" s="343" t="str">
        <f t="shared" si="61"/>
        <v/>
      </c>
      <c r="O94" s="343" t="s">
        <v>302</v>
      </c>
      <c r="S94" s="343">
        <f t="shared" si="68"/>
        <v>0</v>
      </c>
      <c r="T94" s="343" t="str">
        <f t="shared" si="96"/>
        <v/>
      </c>
      <c r="U94" s="343" t="s">
        <v>914</v>
      </c>
      <c r="V94" s="343" t="s">
        <v>903</v>
      </c>
      <c r="W94" s="343" t="s">
        <v>904</v>
      </c>
      <c r="Y94" s="343" t="s">
        <v>890</v>
      </c>
      <c r="Z94" s="343" t="s">
        <v>892</v>
      </c>
      <c r="AA94" s="343" t="s">
        <v>740</v>
      </c>
      <c r="AC94" s="343" t="s">
        <v>741</v>
      </c>
      <c r="AE94" s="555"/>
      <c r="AG94" s="343" t="s">
        <v>1023</v>
      </c>
      <c r="AH94" s="343" t="s">
        <v>52</v>
      </c>
      <c r="AN94" s="344"/>
      <c r="AO94" s="343" t="s">
        <v>1018</v>
      </c>
      <c r="AP94" s="343" t="s">
        <v>1018</v>
      </c>
      <c r="AQ94" s="343" t="s">
        <v>53</v>
      </c>
      <c r="AR94" s="343" t="s">
        <v>378</v>
      </c>
      <c r="AS94" s="356">
        <v>42104</v>
      </c>
      <c r="AT94" s="344">
        <v>42090</v>
      </c>
      <c r="AU94" s="344">
        <v>42090</v>
      </c>
      <c r="AV94" s="353">
        <v>42104</v>
      </c>
      <c r="AW94" s="356">
        <v>42125</v>
      </c>
      <c r="AX94" s="343" t="s">
        <v>2831</v>
      </c>
      <c r="AZ94" s="344">
        <v>42125</v>
      </c>
      <c r="BA94" s="344">
        <v>42104</v>
      </c>
      <c r="BB94" s="351"/>
      <c r="BC94" s="356">
        <v>42125</v>
      </c>
      <c r="BD94" s="351" t="s">
        <v>2830</v>
      </c>
      <c r="BE94" s="356">
        <v>42130</v>
      </c>
      <c r="BF94" s="351" t="s">
        <v>3064</v>
      </c>
      <c r="BG94" s="356">
        <v>42125</v>
      </c>
      <c r="BH94" s="464" t="s">
        <v>2829</v>
      </c>
      <c r="BI94" s="351"/>
      <c r="BJ94" s="356">
        <v>42104</v>
      </c>
      <c r="BL94" s="351"/>
      <c r="BM94" s="356">
        <v>42104</v>
      </c>
      <c r="BO94" s="351"/>
      <c r="BP94" s="465"/>
      <c r="BR94" s="351"/>
      <c r="BS94" s="356">
        <v>42051</v>
      </c>
      <c r="BT94" s="344">
        <v>42051</v>
      </c>
      <c r="BU94" s="344">
        <v>42051</v>
      </c>
      <c r="BV94" s="556"/>
      <c r="BW94" s="557" t="str">
        <f t="shared" si="97"/>
        <v xml:space="preserve">1905 5/1/2015, 2305 4/10/2015, </v>
      </c>
      <c r="BX94" s="557">
        <f t="shared" si="64"/>
        <v>11</v>
      </c>
      <c r="BY94" s="557">
        <f t="shared" si="65"/>
        <v>11</v>
      </c>
      <c r="BZ94" s="558">
        <f t="shared" si="66"/>
        <v>1</v>
      </c>
      <c r="CA94" s="343">
        <f t="shared" si="60"/>
        <v>184</v>
      </c>
      <c r="CB94" s="344">
        <f t="shared" si="69"/>
        <v>42051</v>
      </c>
      <c r="CC94" s="343">
        <f t="shared" ca="1" si="91"/>
        <v>14</v>
      </c>
      <c r="CD94" s="343">
        <f t="shared" si="70"/>
        <v>6</v>
      </c>
      <c r="CE94" s="343">
        <f t="shared" si="71"/>
        <v>6</v>
      </c>
      <c r="CF94" s="559">
        <f t="shared" si="72"/>
        <v>0</v>
      </c>
      <c r="CG94" s="560">
        <f t="shared" si="73"/>
        <v>1</v>
      </c>
      <c r="CH94" s="343" t="str">
        <f t="shared" si="74"/>
        <v/>
      </c>
      <c r="CI94" s="344">
        <f t="shared" si="92"/>
        <v>42090</v>
      </c>
      <c r="CJ94" s="344">
        <f t="shared" si="75"/>
        <v>42090</v>
      </c>
      <c r="CK94" s="343">
        <f t="shared" si="76"/>
        <v>6</v>
      </c>
      <c r="CL94" s="343">
        <f t="shared" si="77"/>
        <v>6</v>
      </c>
      <c r="CM94" s="343">
        <f t="shared" si="78"/>
        <v>6</v>
      </c>
      <c r="CN94" s="343">
        <f t="shared" si="79"/>
        <v>6</v>
      </c>
      <c r="CO94" s="343">
        <f t="shared" si="80"/>
        <v>6</v>
      </c>
      <c r="CP94" s="343">
        <f t="shared" si="81"/>
        <v>6</v>
      </c>
      <c r="CQ94" s="343">
        <f t="shared" si="82"/>
        <v>6</v>
      </c>
      <c r="CR94" s="343">
        <f t="shared" si="83"/>
        <v>6</v>
      </c>
      <c r="CS94" s="343">
        <f t="shared" si="84"/>
        <v>6</v>
      </c>
      <c r="CT94" s="343">
        <f t="shared" si="85"/>
        <v>6</v>
      </c>
      <c r="CU94" s="343">
        <f t="shared" si="86"/>
        <v>6</v>
      </c>
      <c r="CV94" s="343">
        <f t="shared" si="87"/>
        <v>6</v>
      </c>
      <c r="CW94" s="343">
        <f t="shared" si="88"/>
        <v>6</v>
      </c>
      <c r="CX94" s="343">
        <f t="shared" si="89"/>
        <v>5</v>
      </c>
      <c r="CY94" s="343">
        <f t="shared" si="90"/>
        <v>6</v>
      </c>
      <c r="CZ94" s="343">
        <f t="shared" si="93"/>
        <v>79</v>
      </c>
      <c r="DA94" s="343">
        <f t="shared" si="94"/>
        <v>0</v>
      </c>
      <c r="DB94" s="343">
        <f t="shared" si="95"/>
        <v>1</v>
      </c>
    </row>
    <row r="95" spans="1:106" s="298" customFormat="1" ht="15.75" thickTop="1" x14ac:dyDescent="0.25">
      <c r="A95" s="390">
        <v>185</v>
      </c>
      <c r="B95" s="299">
        <v>42058</v>
      </c>
      <c r="C95" s="298">
        <v>1082311</v>
      </c>
      <c r="D95" s="298" t="s">
        <v>1034</v>
      </c>
      <c r="E95" s="298" t="str">
        <f t="shared" si="58"/>
        <v/>
      </c>
      <c r="F95" s="298" t="str">
        <f t="shared" si="59"/>
        <v xml:space="preserve">COE, 2x2, </v>
      </c>
      <c r="K95" s="492" t="str">
        <f t="shared" ca="1" si="67"/>
        <v/>
      </c>
      <c r="M95" s="299">
        <v>42082</v>
      </c>
      <c r="N95" s="488" t="str">
        <f t="shared" si="61"/>
        <v/>
      </c>
      <c r="O95" s="298" t="s">
        <v>302</v>
      </c>
      <c r="Q95" s="298" t="s">
        <v>1031</v>
      </c>
      <c r="R95" s="298">
        <v>9178394853</v>
      </c>
      <c r="S95" s="494">
        <f t="shared" si="68"/>
        <v>9178394853</v>
      </c>
      <c r="T95" s="494" t="str">
        <f t="shared" si="96"/>
        <v/>
      </c>
      <c r="U95" s="298" t="s">
        <v>1056</v>
      </c>
      <c r="V95" s="404" t="s">
        <v>1030</v>
      </c>
      <c r="W95" s="404" t="s">
        <v>1028</v>
      </c>
      <c r="X95" s="404" t="s">
        <v>1029</v>
      </c>
      <c r="Y95" s="298" t="s">
        <v>1032</v>
      </c>
      <c r="Z95" s="298" t="s">
        <v>74</v>
      </c>
      <c r="AA95" s="298" t="s">
        <v>1087</v>
      </c>
      <c r="AC95" s="298" t="s">
        <v>1025</v>
      </c>
      <c r="AE95" s="377" t="s">
        <v>1026</v>
      </c>
      <c r="AF95" s="321" t="s">
        <v>1027</v>
      </c>
      <c r="AH95" s="298" t="s">
        <v>52</v>
      </c>
      <c r="AI95" s="298" t="s">
        <v>253</v>
      </c>
      <c r="AJ95" s="488"/>
      <c r="AL95" s="298" t="s">
        <v>339</v>
      </c>
      <c r="AM95" s="298" t="s">
        <v>1033</v>
      </c>
      <c r="AN95" s="405">
        <v>31888</v>
      </c>
      <c r="AO95" s="298" t="s">
        <v>1055</v>
      </c>
      <c r="AQ95" s="298" t="s">
        <v>50</v>
      </c>
      <c r="AR95" s="298" t="s">
        <v>53</v>
      </c>
      <c r="AS95" s="312">
        <v>42072</v>
      </c>
      <c r="AT95" s="299">
        <v>42072</v>
      </c>
      <c r="AU95" s="299">
        <v>42072</v>
      </c>
      <c r="AV95" s="309">
        <v>42072</v>
      </c>
      <c r="AW95" s="312">
        <v>42072</v>
      </c>
      <c r="AX95" s="298" t="s">
        <v>1336</v>
      </c>
      <c r="AY95" s="298" t="s">
        <v>485</v>
      </c>
      <c r="AZ95" s="299">
        <v>42072</v>
      </c>
      <c r="BA95" s="299">
        <v>42080</v>
      </c>
      <c r="BB95" s="307"/>
      <c r="BC95" s="312">
        <v>42072</v>
      </c>
      <c r="BD95" s="307" t="s">
        <v>1333</v>
      </c>
      <c r="BE95" s="312">
        <v>42072</v>
      </c>
      <c r="BF95" s="307" t="s">
        <v>1335</v>
      </c>
      <c r="BG95" s="312">
        <v>42072</v>
      </c>
      <c r="BH95" s="406" t="s">
        <v>1334</v>
      </c>
      <c r="BI95" s="309">
        <v>42072</v>
      </c>
      <c r="BJ95" s="312">
        <v>42081</v>
      </c>
      <c r="BL95" s="307"/>
      <c r="BM95" s="312">
        <v>42072</v>
      </c>
      <c r="BN95" s="299">
        <v>42072</v>
      </c>
      <c r="BO95" s="309">
        <v>42072</v>
      </c>
      <c r="BP95" s="407"/>
      <c r="BQ95" s="299">
        <v>42072</v>
      </c>
      <c r="BR95" s="307"/>
      <c r="BS95" s="312">
        <v>42054</v>
      </c>
      <c r="BT95" s="318">
        <v>42054</v>
      </c>
      <c r="BU95" s="309">
        <v>42054</v>
      </c>
      <c r="BV95" s="307"/>
      <c r="BW95" s="276" t="str">
        <f t="shared" si="97"/>
        <v xml:space="preserve">1905 3/9/2015, 2305 3/17/2015, MDR 3/9/2015, </v>
      </c>
      <c r="BX95" s="276">
        <f t="shared" si="64"/>
        <v>11</v>
      </c>
      <c r="BY95" s="276">
        <f t="shared" si="65"/>
        <v>11</v>
      </c>
      <c r="BZ95" s="278">
        <f t="shared" si="66"/>
        <v>1</v>
      </c>
      <c r="CA95" s="488" t="str">
        <f t="shared" si="60"/>
        <v/>
      </c>
      <c r="CB95" s="508" t="str">
        <f t="shared" si="69"/>
        <v/>
      </c>
      <c r="CC95" s="488" t="str">
        <f t="shared" ca="1" si="91"/>
        <v/>
      </c>
      <c r="CD95" s="488" t="str">
        <f t="shared" si="70"/>
        <v/>
      </c>
      <c r="CE95" s="488" t="str">
        <f t="shared" si="71"/>
        <v/>
      </c>
      <c r="CF95" s="509" t="str">
        <f t="shared" si="72"/>
        <v/>
      </c>
      <c r="CG95" s="510" t="str">
        <f t="shared" si="73"/>
        <v/>
      </c>
      <c r="CH95" s="488" t="str">
        <f t="shared" si="74"/>
        <v/>
      </c>
      <c r="CI95" s="508" t="str">
        <f t="shared" si="92"/>
        <v/>
      </c>
      <c r="CJ95" s="508" t="str">
        <f t="shared" si="75"/>
        <v/>
      </c>
      <c r="CK95" s="488">
        <f t="shared" si="76"/>
        <v>1</v>
      </c>
      <c r="CL95" s="488">
        <f t="shared" si="77"/>
        <v>1</v>
      </c>
      <c r="CM95" s="488">
        <f t="shared" si="78"/>
        <v>1</v>
      </c>
      <c r="CN95" s="488">
        <f t="shared" si="79"/>
        <v>1</v>
      </c>
      <c r="CO95" s="488">
        <f t="shared" si="80"/>
        <v>1</v>
      </c>
      <c r="CP95" s="488">
        <f t="shared" si="81"/>
        <v>1</v>
      </c>
      <c r="CQ95" s="488">
        <f t="shared" si="82"/>
        <v>1</v>
      </c>
      <c r="CR95" s="488">
        <f t="shared" si="83"/>
        <v>1</v>
      </c>
      <c r="CS95" s="488">
        <f t="shared" si="84"/>
        <v>1</v>
      </c>
      <c r="CT95" s="488">
        <f t="shared" si="85"/>
        <v>1</v>
      </c>
      <c r="CU95" s="488">
        <f t="shared" si="86"/>
        <v>1</v>
      </c>
      <c r="CV95" s="488">
        <f t="shared" si="87"/>
        <v>1</v>
      </c>
      <c r="CW95" s="488">
        <f t="shared" si="88"/>
        <v>1</v>
      </c>
      <c r="CX95" s="488">
        <f t="shared" si="89"/>
        <v>0</v>
      </c>
      <c r="CY95" s="488">
        <f t="shared" si="90"/>
        <v>1</v>
      </c>
      <c r="CZ95" s="298">
        <f t="shared" si="93"/>
        <v>24</v>
      </c>
      <c r="DA95" s="298">
        <f t="shared" si="94"/>
        <v>1</v>
      </c>
      <c r="DB95" s="298">
        <f t="shared" si="95"/>
        <v>1</v>
      </c>
    </row>
    <row r="96" spans="1:106" s="317" customFormat="1" x14ac:dyDescent="0.25">
      <c r="A96" s="384">
        <v>185</v>
      </c>
      <c r="B96" s="318">
        <v>42058</v>
      </c>
      <c r="C96" s="317">
        <v>1082312</v>
      </c>
      <c r="D96" s="317" t="s">
        <v>1099</v>
      </c>
      <c r="E96" s="317" t="str">
        <f t="shared" si="58"/>
        <v/>
      </c>
      <c r="F96" s="317" t="str">
        <f t="shared" si="59"/>
        <v/>
      </c>
      <c r="G96" s="317" t="s">
        <v>473</v>
      </c>
      <c r="K96" s="152" t="str">
        <f t="shared" ca="1" si="67"/>
        <v/>
      </c>
      <c r="M96" s="318">
        <v>42076</v>
      </c>
      <c r="N96" s="153" t="str">
        <f t="shared" si="61"/>
        <v/>
      </c>
      <c r="O96" s="317" t="s">
        <v>302</v>
      </c>
      <c r="R96" s="317">
        <v>9278893191</v>
      </c>
      <c r="S96" s="153">
        <f t="shared" si="68"/>
        <v>9278893191</v>
      </c>
      <c r="T96" s="153" t="str">
        <f t="shared" si="96"/>
        <v/>
      </c>
      <c r="U96" s="317" t="s">
        <v>1057</v>
      </c>
      <c r="V96" s="317" t="s">
        <v>1041</v>
      </c>
      <c r="W96" s="317" t="s">
        <v>1040</v>
      </c>
      <c r="X96" s="317" t="s">
        <v>1098</v>
      </c>
      <c r="Y96" s="317" t="s">
        <v>73</v>
      </c>
      <c r="Z96" s="317" t="s">
        <v>74</v>
      </c>
      <c r="AA96" s="317" t="str">
        <f t="shared" ref="AA96:AA107" si="98">IF(Z96="N/A","",IF(OR(Z96="Level 1",Z96="Level 0"),"Php 16,000","Php 17,000"))</f>
        <v>Php 17,000</v>
      </c>
      <c r="AC96" s="317" t="str">
        <f t="shared" ref="AC96:AC107" si="99">IF(Z96="N/A","Php 1,500","Php 1,000")</f>
        <v>Php 1,000</v>
      </c>
      <c r="AD96" s="317" t="str">
        <f t="shared" ref="AD96:AD110" si="100">IF(Z96="N/A","",IF(Z96="Level 1","Php 3,000","Php 4,000"))</f>
        <v>Php 4,000</v>
      </c>
      <c r="AH96" s="317" t="s">
        <v>52</v>
      </c>
      <c r="AI96" s="317" t="s">
        <v>253</v>
      </c>
      <c r="AJ96" s="153"/>
      <c r="AL96" s="317" t="s">
        <v>254</v>
      </c>
      <c r="AM96" s="317" t="s">
        <v>248</v>
      </c>
      <c r="AN96" s="318">
        <v>30707</v>
      </c>
      <c r="AO96" s="317" t="s">
        <v>1236</v>
      </c>
      <c r="AP96" s="317" t="s">
        <v>1237</v>
      </c>
      <c r="AQ96" s="317" t="s">
        <v>53</v>
      </c>
      <c r="AR96" s="317" t="s">
        <v>495</v>
      </c>
      <c r="AS96" s="332">
        <v>42069</v>
      </c>
      <c r="AT96" s="318">
        <v>42069</v>
      </c>
      <c r="AU96" s="318">
        <v>42069</v>
      </c>
      <c r="AV96" s="318">
        <v>42060</v>
      </c>
      <c r="AW96" s="332">
        <v>42066</v>
      </c>
      <c r="AX96" s="317" t="s">
        <v>1190</v>
      </c>
      <c r="AZ96" s="318">
        <v>42066</v>
      </c>
      <c r="BA96" s="318">
        <v>42069</v>
      </c>
      <c r="BC96" s="332">
        <v>42069</v>
      </c>
      <c r="BD96" s="317" t="s">
        <v>1235</v>
      </c>
      <c r="BE96" s="332">
        <v>42060</v>
      </c>
      <c r="BF96" s="317" t="s">
        <v>1100</v>
      </c>
      <c r="BG96" s="332">
        <v>42066</v>
      </c>
      <c r="BH96" s="385" t="s">
        <v>1191</v>
      </c>
      <c r="BI96" s="318">
        <v>42066</v>
      </c>
      <c r="BJ96" s="332">
        <v>42073</v>
      </c>
      <c r="BK96" s="318">
        <v>42066</v>
      </c>
      <c r="BM96" s="332">
        <v>42066</v>
      </c>
      <c r="BN96" s="318">
        <v>42066</v>
      </c>
      <c r="BO96" s="318">
        <v>42066</v>
      </c>
      <c r="BP96" s="332">
        <v>42073</v>
      </c>
      <c r="BQ96" s="318">
        <v>42066</v>
      </c>
      <c r="BR96" s="318">
        <v>42066</v>
      </c>
      <c r="BS96" s="332">
        <v>42059</v>
      </c>
      <c r="BT96" s="318">
        <v>42059</v>
      </c>
      <c r="BU96" s="318">
        <v>42059</v>
      </c>
      <c r="BV96" s="386"/>
      <c r="BW96" s="276" t="str">
        <f t="shared" si="97"/>
        <v xml:space="preserve">1905 3/3/2015, 2305 3/6/2015, MDR 3/3/2015, NBI receipt 3/3/2015, </v>
      </c>
      <c r="BX96" s="276">
        <f t="shared" si="64"/>
        <v>11</v>
      </c>
      <c r="BY96" s="276">
        <f t="shared" si="65"/>
        <v>11</v>
      </c>
      <c r="BZ96" s="278">
        <f t="shared" si="66"/>
        <v>1</v>
      </c>
      <c r="CA96" s="153" t="str">
        <f t="shared" si="60"/>
        <v/>
      </c>
      <c r="CB96" s="151" t="str">
        <f t="shared" si="69"/>
        <v/>
      </c>
      <c r="CC96" s="153" t="str">
        <f t="shared" ca="1" si="91"/>
        <v/>
      </c>
      <c r="CD96" s="153" t="str">
        <f t="shared" si="70"/>
        <v/>
      </c>
      <c r="CE96" s="153" t="str">
        <f t="shared" si="71"/>
        <v/>
      </c>
      <c r="CF96" s="396" t="str">
        <f t="shared" si="72"/>
        <v/>
      </c>
      <c r="CG96" s="397" t="str">
        <f t="shared" si="73"/>
        <v/>
      </c>
      <c r="CH96" s="153" t="str">
        <f t="shared" si="74"/>
        <v/>
      </c>
      <c r="CI96" s="151" t="str">
        <f t="shared" si="92"/>
        <v/>
      </c>
      <c r="CJ96" s="151" t="str">
        <f t="shared" si="75"/>
        <v/>
      </c>
      <c r="CK96" s="153">
        <f t="shared" si="76"/>
        <v>2</v>
      </c>
      <c r="CL96" s="153">
        <f t="shared" si="77"/>
        <v>2</v>
      </c>
      <c r="CM96" s="153">
        <f t="shared" si="78"/>
        <v>2</v>
      </c>
      <c r="CN96" s="153">
        <f t="shared" si="79"/>
        <v>2</v>
      </c>
      <c r="CO96" s="153">
        <f t="shared" si="80"/>
        <v>2</v>
      </c>
      <c r="CP96" s="153">
        <f t="shared" si="81"/>
        <v>2</v>
      </c>
      <c r="CQ96" s="153">
        <f t="shared" si="82"/>
        <v>2</v>
      </c>
      <c r="CR96" s="153">
        <f t="shared" si="83"/>
        <v>2</v>
      </c>
      <c r="CS96" s="153">
        <f t="shared" si="84"/>
        <v>2</v>
      </c>
      <c r="CT96" s="153">
        <f t="shared" si="85"/>
        <v>2</v>
      </c>
      <c r="CU96" s="153">
        <f t="shared" si="86"/>
        <v>2</v>
      </c>
      <c r="CV96" s="153">
        <f t="shared" si="87"/>
        <v>2</v>
      </c>
      <c r="CW96" s="153">
        <f t="shared" si="88"/>
        <v>2</v>
      </c>
      <c r="CX96" s="153">
        <f t="shared" si="89"/>
        <v>0</v>
      </c>
      <c r="CY96" s="153">
        <f t="shared" si="90"/>
        <v>2</v>
      </c>
      <c r="CZ96" s="317">
        <f t="shared" si="93"/>
        <v>18</v>
      </c>
      <c r="DA96" s="317">
        <f t="shared" si="94"/>
        <v>1</v>
      </c>
      <c r="DB96" s="317">
        <f t="shared" si="95"/>
        <v>1</v>
      </c>
    </row>
    <row r="97" spans="1:106" s="317" customFormat="1" x14ac:dyDescent="0.25">
      <c r="A97" s="384">
        <v>185</v>
      </c>
      <c r="B97" s="318">
        <v>42058</v>
      </c>
      <c r="C97" s="317">
        <v>1082313</v>
      </c>
      <c r="D97" s="317" t="s">
        <v>1052</v>
      </c>
      <c r="E97" s="317" t="str">
        <f t="shared" si="58"/>
        <v/>
      </c>
      <c r="F97" s="317" t="str">
        <f t="shared" si="59"/>
        <v xml:space="preserve">COE, </v>
      </c>
      <c r="G97" s="317" t="s">
        <v>473</v>
      </c>
      <c r="K97" s="152" t="str">
        <f t="shared" ca="1" si="67"/>
        <v/>
      </c>
      <c r="M97" s="318">
        <v>42062</v>
      </c>
      <c r="N97" s="153" t="str">
        <f t="shared" si="61"/>
        <v/>
      </c>
      <c r="O97" s="317" t="s">
        <v>302</v>
      </c>
      <c r="Q97" s="317" t="s">
        <v>1044</v>
      </c>
      <c r="R97" s="317">
        <v>9263659304</v>
      </c>
      <c r="S97" s="153">
        <f t="shared" si="68"/>
        <v>9263659304</v>
      </c>
      <c r="T97" s="153" t="str">
        <f t="shared" si="96"/>
        <v/>
      </c>
      <c r="U97" s="317" t="s">
        <v>1058</v>
      </c>
      <c r="V97" s="317" t="s">
        <v>1043</v>
      </c>
      <c r="W97" s="317" t="s">
        <v>1042</v>
      </c>
      <c r="X97" s="317" t="s">
        <v>624</v>
      </c>
      <c r="Y97" s="317" t="s">
        <v>73</v>
      </c>
      <c r="Z97" s="317" t="s">
        <v>70</v>
      </c>
      <c r="AA97" s="317" t="str">
        <f t="shared" si="98"/>
        <v>Php 16,000</v>
      </c>
      <c r="AC97" s="317" t="str">
        <f t="shared" si="99"/>
        <v>Php 1,000</v>
      </c>
      <c r="AD97" s="317" t="str">
        <f t="shared" si="100"/>
        <v>Php 3,000</v>
      </c>
      <c r="AH97" s="317" t="s">
        <v>52</v>
      </c>
      <c r="AI97" s="317" t="s">
        <v>253</v>
      </c>
      <c r="AJ97" s="153"/>
      <c r="AL97" s="317" t="s">
        <v>259</v>
      </c>
      <c r="AM97" s="317" t="s">
        <v>854</v>
      </c>
      <c r="AN97" s="318">
        <v>34298</v>
      </c>
      <c r="AO97" s="317" t="s">
        <v>1094</v>
      </c>
      <c r="AP97" s="317" t="s">
        <v>1094</v>
      </c>
      <c r="AQ97" s="317" t="s">
        <v>53</v>
      </c>
      <c r="AR97" s="317" t="s">
        <v>378</v>
      </c>
      <c r="AS97" s="332">
        <v>42060</v>
      </c>
      <c r="AT97" s="318">
        <v>42060</v>
      </c>
      <c r="AU97" s="318">
        <v>42060</v>
      </c>
      <c r="AV97" s="318">
        <v>42060</v>
      </c>
      <c r="AW97" s="332">
        <v>42061</v>
      </c>
      <c r="AX97" s="317" t="s">
        <v>1113</v>
      </c>
      <c r="AZ97" s="318">
        <v>42060</v>
      </c>
      <c r="BA97" s="318">
        <v>42060</v>
      </c>
      <c r="BC97" s="332">
        <v>42060</v>
      </c>
      <c r="BD97" s="317" t="s">
        <v>1095</v>
      </c>
      <c r="BE97" s="332">
        <v>42060</v>
      </c>
      <c r="BF97" s="317" t="s">
        <v>1097</v>
      </c>
      <c r="BG97" s="332">
        <v>42060</v>
      </c>
      <c r="BH97" s="385" t="s">
        <v>1096</v>
      </c>
      <c r="BI97" s="318">
        <v>42060</v>
      </c>
      <c r="BJ97" s="332">
        <v>42060</v>
      </c>
      <c r="BM97" s="332">
        <v>42060</v>
      </c>
      <c r="BP97" s="332">
        <v>42060</v>
      </c>
      <c r="BQ97" s="318">
        <v>42060</v>
      </c>
      <c r="BS97" s="332">
        <v>42059</v>
      </c>
      <c r="BT97" s="318">
        <v>42059</v>
      </c>
      <c r="BU97" s="318">
        <v>42059</v>
      </c>
      <c r="BV97" s="386"/>
      <c r="BW97" s="276" t="str">
        <f t="shared" si="97"/>
        <v xml:space="preserve">1905 2/25/2015, 2305 2/25/2015, MDR 2/25/2015, </v>
      </c>
      <c r="BX97" s="276">
        <f t="shared" si="64"/>
        <v>11</v>
      </c>
      <c r="BY97" s="276">
        <f t="shared" si="65"/>
        <v>11</v>
      </c>
      <c r="BZ97" s="278">
        <f t="shared" si="66"/>
        <v>1</v>
      </c>
      <c r="CA97" s="153" t="str">
        <f t="shared" si="60"/>
        <v/>
      </c>
      <c r="CB97" s="151" t="str">
        <f t="shared" si="69"/>
        <v/>
      </c>
      <c r="CC97" s="153" t="str">
        <f t="shared" ca="1" si="91"/>
        <v/>
      </c>
      <c r="CD97" s="153" t="str">
        <f t="shared" si="70"/>
        <v/>
      </c>
      <c r="CE97" s="153" t="str">
        <f t="shared" si="71"/>
        <v/>
      </c>
      <c r="CF97" s="396" t="str">
        <f t="shared" si="72"/>
        <v/>
      </c>
      <c r="CG97" s="397" t="str">
        <f t="shared" si="73"/>
        <v/>
      </c>
      <c r="CH97" s="153" t="str">
        <f t="shared" si="74"/>
        <v/>
      </c>
      <c r="CI97" s="151" t="str">
        <f t="shared" si="92"/>
        <v/>
      </c>
      <c r="CJ97" s="151" t="str">
        <f t="shared" si="75"/>
        <v/>
      </c>
      <c r="CK97" s="153">
        <f t="shared" si="76"/>
        <v>3</v>
      </c>
      <c r="CL97" s="153">
        <f t="shared" si="77"/>
        <v>3</v>
      </c>
      <c r="CM97" s="153">
        <f t="shared" si="78"/>
        <v>3</v>
      </c>
      <c r="CN97" s="153">
        <f t="shared" si="79"/>
        <v>3</v>
      </c>
      <c r="CO97" s="153">
        <f t="shared" si="80"/>
        <v>3</v>
      </c>
      <c r="CP97" s="153">
        <f t="shared" si="81"/>
        <v>3</v>
      </c>
      <c r="CQ97" s="153">
        <f t="shared" si="82"/>
        <v>3</v>
      </c>
      <c r="CR97" s="153">
        <f t="shared" si="83"/>
        <v>3</v>
      </c>
      <c r="CS97" s="153">
        <f t="shared" si="84"/>
        <v>3</v>
      </c>
      <c r="CT97" s="153">
        <f t="shared" si="85"/>
        <v>3</v>
      </c>
      <c r="CU97" s="153">
        <f t="shared" si="86"/>
        <v>3</v>
      </c>
      <c r="CV97" s="153">
        <f t="shared" si="87"/>
        <v>3</v>
      </c>
      <c r="CW97" s="153">
        <f t="shared" si="88"/>
        <v>3</v>
      </c>
      <c r="CX97" s="153">
        <f t="shared" si="89"/>
        <v>0</v>
      </c>
      <c r="CY97" s="153">
        <f t="shared" si="90"/>
        <v>3</v>
      </c>
      <c r="CZ97" s="317">
        <f t="shared" si="93"/>
        <v>4</v>
      </c>
      <c r="DA97" s="317">
        <f t="shared" si="94"/>
        <v>1</v>
      </c>
      <c r="DB97" s="317">
        <f t="shared" si="95"/>
        <v>1</v>
      </c>
    </row>
    <row r="98" spans="1:106" s="113" customFormat="1" x14ac:dyDescent="0.25">
      <c r="A98" s="132">
        <v>185</v>
      </c>
      <c r="B98" s="129">
        <v>42058</v>
      </c>
      <c r="C98" s="113">
        <v>1082314</v>
      </c>
      <c r="D98" s="113" t="s">
        <v>1053</v>
      </c>
      <c r="E98" s="113" t="str">
        <f t="shared" ref="E98:E129" si="101">IF(P98="(*_*)","",IF(BC98&lt;1,"SSS, ","")&amp;IF(BE98&lt;1,"HDMF, ","")&amp;IF(BG98&lt;1,"PHIC, ","")&amp;IF(BJ98&lt;1,"NBI, ","")&amp;IF(BM98&lt;1,"NSO, ","")&amp;IF(AS98&lt;1,"Info, ","")&amp;IF(AT98&lt;1,"AWOL, ","")&amp;IF(AU98&lt;1,"Hand, ","")&amp;IF(AV98&lt;1,"Waiver, ","")&amp;IF(AW98&lt;1,"TIN, ","")&amp;IF(AZ98&lt;1,"1905, ","")&amp;IF(BA98&lt;1,"2305, ",""))</f>
        <v/>
      </c>
      <c r="F98" s="113" t="str">
        <f t="shared" ref="F98:F129" si="102">IF(P98="(*_*)","",IF(BI98&lt;1,"MDR, ","")&amp;IF(BS98&lt;1,"JO, ","")&amp;IF(BT98&lt;1,"Contract, ","")&amp;IF(BU98&lt;1,"Confi, ","")&amp;IF(BQ98&lt;1,"TOR, ","")&amp;IF(BR98&lt;1,"COE, ","")&amp;IF(BP98&lt;1,"2x2, ",""))</f>
        <v/>
      </c>
      <c r="G98" s="113" t="s">
        <v>473</v>
      </c>
      <c r="K98" s="152" t="str">
        <f t="shared" ca="1" si="67"/>
        <v/>
      </c>
      <c r="N98" s="153" t="str">
        <f t="shared" si="61"/>
        <v/>
      </c>
      <c r="O98" s="113" t="s">
        <v>298</v>
      </c>
      <c r="P98" s="113" t="s">
        <v>689</v>
      </c>
      <c r="Q98" s="113" t="s">
        <v>1048</v>
      </c>
      <c r="R98" s="113" t="s">
        <v>1565</v>
      </c>
      <c r="S98" s="153" t="str">
        <f t="shared" si="68"/>
        <v>9157092928</v>
      </c>
      <c r="T98" s="153" t="str">
        <f t="shared" si="96"/>
        <v>9283102222</v>
      </c>
      <c r="U98" s="113" t="s">
        <v>1059</v>
      </c>
      <c r="V98" s="113" t="s">
        <v>1047</v>
      </c>
      <c r="W98" s="113" t="s">
        <v>1045</v>
      </c>
      <c r="X98" s="113" t="s">
        <v>1046</v>
      </c>
      <c r="Y98" s="113" t="s">
        <v>73</v>
      </c>
      <c r="Z98" s="113" t="s">
        <v>74</v>
      </c>
      <c r="AA98" s="113" t="str">
        <f t="shared" si="98"/>
        <v>Php 17,000</v>
      </c>
      <c r="AC98" s="113" t="str">
        <f t="shared" si="99"/>
        <v>Php 1,000</v>
      </c>
      <c r="AD98" s="113" t="str">
        <f t="shared" si="100"/>
        <v>Php 4,000</v>
      </c>
      <c r="AH98" s="113" t="s">
        <v>52</v>
      </c>
      <c r="AI98" s="113" t="s">
        <v>253</v>
      </c>
      <c r="AJ98" s="153"/>
      <c r="AL98" s="113" t="s">
        <v>265</v>
      </c>
      <c r="AM98" s="113" t="s">
        <v>854</v>
      </c>
      <c r="AN98" s="129">
        <v>31078</v>
      </c>
      <c r="AO98" s="113" t="s">
        <v>1093</v>
      </c>
      <c r="AQ98" s="113" t="s">
        <v>50</v>
      </c>
      <c r="AR98" s="113" t="s">
        <v>378</v>
      </c>
      <c r="AS98" s="187">
        <v>42060</v>
      </c>
      <c r="AT98" s="129">
        <v>42060</v>
      </c>
      <c r="AU98" s="129">
        <v>42060</v>
      </c>
      <c r="AV98" s="129">
        <v>42060</v>
      </c>
      <c r="AW98" s="187">
        <v>42066</v>
      </c>
      <c r="AX98" s="113" t="s">
        <v>1186</v>
      </c>
      <c r="BA98" s="129">
        <v>42068</v>
      </c>
      <c r="BC98" s="187">
        <v>42060</v>
      </c>
      <c r="BD98" s="113" t="s">
        <v>1092</v>
      </c>
      <c r="BE98" s="187">
        <v>42066</v>
      </c>
      <c r="BF98" s="113" t="s">
        <v>1187</v>
      </c>
      <c r="BG98" s="187">
        <v>42066</v>
      </c>
      <c r="BH98" s="274" t="s">
        <v>1185</v>
      </c>
      <c r="BI98" s="129">
        <v>42066</v>
      </c>
      <c r="BJ98" s="165"/>
      <c r="BL98" s="129">
        <v>42080</v>
      </c>
      <c r="BM98" s="165"/>
      <c r="BP98" s="187">
        <v>42066</v>
      </c>
      <c r="BS98" s="187">
        <v>42059</v>
      </c>
      <c r="BT98" s="129">
        <v>42059</v>
      </c>
      <c r="BU98" s="129">
        <v>42059</v>
      </c>
      <c r="BV98" s="293"/>
      <c r="BW98" s="276" t="str">
        <f t="shared" si="97"/>
        <v xml:space="preserve">2305 (for processing) 3/5/2015, MDR 3/3/2015, </v>
      </c>
      <c r="BX98" s="276" t="str">
        <f t="shared" si="64"/>
        <v/>
      </c>
      <c r="BY98" s="276" t="str">
        <f t="shared" si="65"/>
        <v/>
      </c>
      <c r="BZ98" s="278" t="str">
        <f t="shared" si="66"/>
        <v/>
      </c>
      <c r="CA98" s="153" t="str">
        <f t="shared" ref="CA98:CA129" si="103">IF((A98-A99)=0,"",A98)</f>
        <v/>
      </c>
      <c r="CB98" s="151" t="str">
        <f t="shared" si="69"/>
        <v/>
      </c>
      <c r="CC98" s="153" t="str">
        <f t="shared" ca="1" si="91"/>
        <v/>
      </c>
      <c r="CD98" s="153" t="str">
        <f t="shared" si="70"/>
        <v/>
      </c>
      <c r="CE98" s="153" t="str">
        <f t="shared" si="71"/>
        <v/>
      </c>
      <c r="CF98" s="396" t="str">
        <f t="shared" si="72"/>
        <v/>
      </c>
      <c r="CG98" s="397" t="str">
        <f t="shared" si="73"/>
        <v/>
      </c>
      <c r="CH98" s="153" t="str">
        <f t="shared" si="74"/>
        <v/>
      </c>
      <c r="CI98" s="151" t="str">
        <f t="shared" si="92"/>
        <v/>
      </c>
      <c r="CJ98" s="151" t="str">
        <f t="shared" si="75"/>
        <v/>
      </c>
      <c r="CK98" s="153">
        <f t="shared" si="76"/>
        <v>3</v>
      </c>
      <c r="CL98" s="153">
        <f t="shared" si="77"/>
        <v>3</v>
      </c>
      <c r="CM98" s="153">
        <f t="shared" si="78"/>
        <v>3</v>
      </c>
      <c r="CN98" s="153">
        <f t="shared" si="79"/>
        <v>3</v>
      </c>
      <c r="CO98" s="153">
        <f t="shared" si="80"/>
        <v>3</v>
      </c>
      <c r="CP98" s="153">
        <f t="shared" si="81"/>
        <v>3</v>
      </c>
      <c r="CQ98" s="153">
        <f t="shared" si="82"/>
        <v>3</v>
      </c>
      <c r="CR98" s="153">
        <f t="shared" si="83"/>
        <v>3</v>
      </c>
      <c r="CS98" s="153">
        <f t="shared" si="84"/>
        <v>3</v>
      </c>
      <c r="CT98" s="153">
        <f t="shared" si="85"/>
        <v>3</v>
      </c>
      <c r="CU98" s="153">
        <f t="shared" si="86"/>
        <v>3</v>
      </c>
      <c r="CV98" s="153">
        <f t="shared" si="87"/>
        <v>3</v>
      </c>
      <c r="CW98" s="153">
        <f t="shared" si="88"/>
        <v>3</v>
      </c>
      <c r="CX98" s="153">
        <f t="shared" si="89"/>
        <v>1</v>
      </c>
      <c r="CY98" s="153">
        <f t="shared" si="90"/>
        <v>3</v>
      </c>
      <c r="CZ98" s="113" t="str">
        <f t="shared" si="93"/>
        <v/>
      </c>
      <c r="DA98" s="113">
        <f t="shared" si="94"/>
        <v>0</v>
      </c>
      <c r="DB98" s="113">
        <f t="shared" si="95"/>
        <v>0</v>
      </c>
    </row>
    <row r="99" spans="1:106" s="213" customFormat="1" ht="15.75" thickBot="1" x14ac:dyDescent="0.3">
      <c r="A99" s="225">
        <v>185</v>
      </c>
      <c r="B99" s="220">
        <v>42058</v>
      </c>
      <c r="C99" s="213">
        <v>1082315</v>
      </c>
      <c r="D99" s="213" t="s">
        <v>1054</v>
      </c>
      <c r="E99" s="213" t="str">
        <f t="shared" si="101"/>
        <v/>
      </c>
      <c r="F99" s="213" t="str">
        <f t="shared" si="102"/>
        <v/>
      </c>
      <c r="G99" s="213" t="s">
        <v>473</v>
      </c>
      <c r="K99" s="491" t="str">
        <f t="shared" ca="1" si="67"/>
        <v/>
      </c>
      <c r="N99" s="487" t="str">
        <f t="shared" si="61"/>
        <v/>
      </c>
      <c r="O99" s="213" t="s">
        <v>298</v>
      </c>
      <c r="P99" s="213" t="s">
        <v>689</v>
      </c>
      <c r="Q99" s="213" t="s">
        <v>1051</v>
      </c>
      <c r="R99" s="213">
        <v>9157103553</v>
      </c>
      <c r="S99" s="487">
        <f t="shared" si="68"/>
        <v>9157103553</v>
      </c>
      <c r="T99" s="487" t="str">
        <f t="shared" si="96"/>
        <v/>
      </c>
      <c r="U99" s="213" t="s">
        <v>1060</v>
      </c>
      <c r="V99" s="213" t="s">
        <v>1050</v>
      </c>
      <c r="W99" s="213" t="s">
        <v>1049</v>
      </c>
      <c r="Y99" s="213" t="s">
        <v>73</v>
      </c>
      <c r="Z99" s="213" t="s">
        <v>74</v>
      </c>
      <c r="AA99" s="213" t="str">
        <f t="shared" si="98"/>
        <v>Php 17,000</v>
      </c>
      <c r="AC99" s="213" t="str">
        <f t="shared" si="99"/>
        <v>Php 1,000</v>
      </c>
      <c r="AD99" s="213" t="str">
        <f t="shared" si="100"/>
        <v>Php 4,000</v>
      </c>
      <c r="AH99" s="213" t="s">
        <v>52</v>
      </c>
      <c r="AI99" s="213" t="s">
        <v>338</v>
      </c>
      <c r="AJ99" s="487" t="s">
        <v>1137</v>
      </c>
      <c r="AL99" s="213" t="s">
        <v>265</v>
      </c>
      <c r="AM99" s="213" t="s">
        <v>854</v>
      </c>
      <c r="AN99" s="220">
        <v>33424</v>
      </c>
      <c r="AO99" s="213" t="s">
        <v>1091</v>
      </c>
      <c r="AP99" s="213" t="s">
        <v>1091</v>
      </c>
      <c r="AQ99" s="213" t="s">
        <v>53</v>
      </c>
      <c r="AR99" s="213" t="s">
        <v>378</v>
      </c>
      <c r="AS99" s="224">
        <v>42060</v>
      </c>
      <c r="AT99" s="220">
        <v>42060</v>
      </c>
      <c r="AU99" s="220">
        <v>42060</v>
      </c>
      <c r="AV99" s="223">
        <v>42060</v>
      </c>
      <c r="AW99" s="224"/>
      <c r="BB99" s="221"/>
      <c r="BC99" s="224">
        <v>42060</v>
      </c>
      <c r="BD99" s="221" t="s">
        <v>1090</v>
      </c>
      <c r="BE99" s="224">
        <v>42060</v>
      </c>
      <c r="BF99" s="221" t="s">
        <v>1088</v>
      </c>
      <c r="BG99" s="224">
        <v>42060</v>
      </c>
      <c r="BH99" s="294" t="s">
        <v>1089</v>
      </c>
      <c r="BI99" s="223">
        <v>42066</v>
      </c>
      <c r="BJ99" s="224">
        <v>42060</v>
      </c>
      <c r="BL99" s="221"/>
      <c r="BM99" s="224">
        <v>42060</v>
      </c>
      <c r="BO99" s="221"/>
      <c r="BP99" s="227"/>
      <c r="BQ99" s="220">
        <v>42060</v>
      </c>
      <c r="BR99" s="221"/>
      <c r="BS99" s="224">
        <v>42059</v>
      </c>
      <c r="BT99" s="220">
        <v>42059</v>
      </c>
      <c r="BU99" s="223">
        <v>42059</v>
      </c>
      <c r="BV99" s="221"/>
      <c r="BW99" s="520" t="str">
        <f t="shared" si="97"/>
        <v xml:space="preserve">MDR 3/3/2015, </v>
      </c>
      <c r="BX99" s="520" t="str">
        <f t="shared" ref="BX99:BX130" si="104">IF(O99="n","",COUNT(BM99,BJ99,BG99,BE99,BC99,AW99,AV99,AU99,AT99,AS99,AZ99))</f>
        <v/>
      </c>
      <c r="BY99" s="520" t="str">
        <f t="shared" si="65"/>
        <v/>
      </c>
      <c r="BZ99" s="521" t="str">
        <f t="shared" si="66"/>
        <v/>
      </c>
      <c r="CA99" s="487">
        <f t="shared" si="103"/>
        <v>185</v>
      </c>
      <c r="CB99" s="503">
        <f t="shared" si="69"/>
        <v>42058</v>
      </c>
      <c r="CC99" s="487">
        <f t="shared" ca="1" si="91"/>
        <v>13</v>
      </c>
      <c r="CD99" s="487">
        <f t="shared" si="70"/>
        <v>3</v>
      </c>
      <c r="CE99" s="487">
        <f t="shared" si="71"/>
        <v>3</v>
      </c>
      <c r="CF99" s="504">
        <f t="shared" si="72"/>
        <v>0</v>
      </c>
      <c r="CG99" s="505">
        <f t="shared" si="73"/>
        <v>1</v>
      </c>
      <c r="CH99" s="487" t="str">
        <f t="shared" si="74"/>
        <v/>
      </c>
      <c r="CI99" s="503" t="str">
        <f t="shared" si="92"/>
        <v/>
      </c>
      <c r="CJ99" s="503" t="str">
        <f t="shared" si="75"/>
        <v/>
      </c>
      <c r="CK99" s="487">
        <f t="shared" si="76"/>
        <v>3</v>
      </c>
      <c r="CL99" s="487">
        <f t="shared" si="77"/>
        <v>3</v>
      </c>
      <c r="CM99" s="487">
        <f t="shared" si="78"/>
        <v>3</v>
      </c>
      <c r="CN99" s="487">
        <f t="shared" si="79"/>
        <v>3</v>
      </c>
      <c r="CO99" s="487">
        <f t="shared" si="80"/>
        <v>3</v>
      </c>
      <c r="CP99" s="487">
        <f t="shared" si="81"/>
        <v>3</v>
      </c>
      <c r="CQ99" s="487">
        <f t="shared" si="82"/>
        <v>3</v>
      </c>
      <c r="CR99" s="487">
        <f t="shared" si="83"/>
        <v>3</v>
      </c>
      <c r="CS99" s="487">
        <f t="shared" si="84"/>
        <v>3</v>
      </c>
      <c r="CT99" s="487">
        <f t="shared" si="85"/>
        <v>3</v>
      </c>
      <c r="CU99" s="487">
        <f t="shared" si="86"/>
        <v>3</v>
      </c>
      <c r="CV99" s="487">
        <f t="shared" si="87"/>
        <v>3</v>
      </c>
      <c r="CW99" s="487">
        <f t="shared" si="88"/>
        <v>3</v>
      </c>
      <c r="CX99" s="487">
        <f t="shared" si="89"/>
        <v>2</v>
      </c>
      <c r="CY99" s="487">
        <f t="shared" si="90"/>
        <v>3</v>
      </c>
      <c r="CZ99" s="213" t="str">
        <f t="shared" si="93"/>
        <v/>
      </c>
      <c r="DA99" s="213">
        <f t="shared" si="94"/>
        <v>0</v>
      </c>
      <c r="DB99" s="213">
        <f t="shared" si="95"/>
        <v>0</v>
      </c>
    </row>
    <row r="100" spans="1:106" s="8" customFormat="1" ht="15.75" thickTop="1" x14ac:dyDescent="0.25">
      <c r="A100" s="133">
        <v>186</v>
      </c>
      <c r="B100" s="20">
        <v>42065</v>
      </c>
      <c r="C100" s="8">
        <v>1082316</v>
      </c>
      <c r="D100" s="8" t="s">
        <v>1173</v>
      </c>
      <c r="E100" s="8" t="str">
        <f t="shared" si="101"/>
        <v/>
      </c>
      <c r="F100" s="8" t="str">
        <f t="shared" si="102"/>
        <v/>
      </c>
      <c r="K100" s="490" t="str">
        <f t="shared" ca="1" si="67"/>
        <v/>
      </c>
      <c r="N100" s="156" t="str">
        <f t="shared" si="61"/>
        <v/>
      </c>
      <c r="O100" s="8" t="s">
        <v>298</v>
      </c>
      <c r="P100" s="113" t="s">
        <v>689</v>
      </c>
      <c r="Q100" s="8" t="s">
        <v>1142</v>
      </c>
      <c r="R100" s="8">
        <v>9174688804</v>
      </c>
      <c r="S100" s="156">
        <f t="shared" si="68"/>
        <v>9174688804</v>
      </c>
      <c r="T100" s="156" t="str">
        <f t="shared" si="96"/>
        <v/>
      </c>
      <c r="U100" s="8" t="s">
        <v>1193</v>
      </c>
      <c r="V100" s="8" t="s">
        <v>1141</v>
      </c>
      <c r="W100" s="8" t="s">
        <v>1139</v>
      </c>
      <c r="X100" s="8" t="s">
        <v>1140</v>
      </c>
      <c r="Y100" s="8" t="s">
        <v>1143</v>
      </c>
      <c r="Z100" s="8" t="s">
        <v>128</v>
      </c>
      <c r="AA100" s="8" t="str">
        <f t="shared" si="98"/>
        <v/>
      </c>
      <c r="AC100" s="8" t="str">
        <f t="shared" si="99"/>
        <v>Php 1,500</v>
      </c>
      <c r="AD100" s="8" t="str">
        <f t="shared" si="100"/>
        <v/>
      </c>
      <c r="AH100" s="113" t="s">
        <v>52</v>
      </c>
      <c r="AI100" s="8" t="s">
        <v>253</v>
      </c>
      <c r="AJ100" s="156"/>
      <c r="AL100" s="8" t="s">
        <v>1144</v>
      </c>
      <c r="AM100" s="8" t="s">
        <v>1145</v>
      </c>
      <c r="AN100" s="20">
        <v>31158</v>
      </c>
      <c r="AQ100" s="8" t="s">
        <v>53</v>
      </c>
      <c r="AS100" s="165"/>
      <c r="AT100" s="113"/>
      <c r="AU100" s="113"/>
      <c r="AV100" s="182"/>
      <c r="AW100" s="187"/>
      <c r="AX100" s="113"/>
      <c r="AY100" s="113"/>
      <c r="AZ100" s="113"/>
      <c r="BA100" s="113"/>
      <c r="BB100" s="182"/>
      <c r="BC100" s="165"/>
      <c r="BD100" s="182"/>
      <c r="BE100" s="165"/>
      <c r="BF100" s="182"/>
      <c r="BG100" s="165"/>
      <c r="BH100" s="274"/>
      <c r="BI100" s="182"/>
      <c r="BJ100" s="165"/>
      <c r="BK100" s="113"/>
      <c r="BL100" s="182"/>
      <c r="BM100" s="165"/>
      <c r="BN100" s="113"/>
      <c r="BO100" s="182"/>
      <c r="BP100" s="165"/>
      <c r="BQ100" s="113"/>
      <c r="BR100" s="182"/>
      <c r="BS100" s="187"/>
      <c r="BT100" s="129"/>
      <c r="BU100" s="177"/>
      <c r="BV100" s="182"/>
      <c r="BW100" s="275" t="str">
        <f t="shared" si="97"/>
        <v/>
      </c>
      <c r="BX100" s="275" t="str">
        <f t="shared" si="104"/>
        <v/>
      </c>
      <c r="BY100" s="275" t="str">
        <f t="shared" si="65"/>
        <v/>
      </c>
      <c r="BZ100" s="277" t="str">
        <f t="shared" si="66"/>
        <v/>
      </c>
      <c r="CA100" s="153" t="str">
        <f t="shared" si="103"/>
        <v/>
      </c>
      <c r="CB100" s="151" t="str">
        <f t="shared" ref="CB100:CB107" si="105">IFERROR(CA100*7+40763,"")</f>
        <v/>
      </c>
      <c r="CC100" s="156" t="str">
        <f t="shared" ca="1" si="91"/>
        <v/>
      </c>
      <c r="CD100" s="156" t="str">
        <f t="shared" si="70"/>
        <v/>
      </c>
      <c r="CE100" s="156" t="str">
        <f t="shared" si="71"/>
        <v/>
      </c>
      <c r="CF100" s="495" t="str">
        <f t="shared" si="72"/>
        <v/>
      </c>
      <c r="CG100" s="496" t="str">
        <f t="shared" si="73"/>
        <v/>
      </c>
      <c r="CH100" s="156" t="str">
        <f t="shared" si="74"/>
        <v/>
      </c>
      <c r="CI100" s="155" t="str">
        <f t="shared" si="92"/>
        <v/>
      </c>
      <c r="CJ100" s="155" t="str">
        <f t="shared" si="75"/>
        <v/>
      </c>
      <c r="CK100" s="156">
        <f t="shared" si="76"/>
        <v>0</v>
      </c>
      <c r="CL100" s="156">
        <f t="shared" si="77"/>
        <v>0</v>
      </c>
      <c r="CM100" s="156">
        <f t="shared" si="78"/>
        <v>0</v>
      </c>
      <c r="CN100" s="156">
        <f t="shared" si="79"/>
        <v>0</v>
      </c>
      <c r="CO100" s="156">
        <f t="shared" si="80"/>
        <v>0</v>
      </c>
      <c r="CP100" s="156">
        <f t="shared" si="81"/>
        <v>0</v>
      </c>
      <c r="CQ100" s="156">
        <f t="shared" si="82"/>
        <v>0</v>
      </c>
      <c r="CR100" s="156">
        <f t="shared" si="83"/>
        <v>0</v>
      </c>
      <c r="CS100" s="156">
        <f t="shared" si="84"/>
        <v>0</v>
      </c>
      <c r="CT100" s="156">
        <f t="shared" si="85"/>
        <v>0</v>
      </c>
      <c r="CU100" s="156">
        <f t="shared" si="86"/>
        <v>0</v>
      </c>
      <c r="CV100" s="156">
        <f t="shared" si="87"/>
        <v>0</v>
      </c>
      <c r="CW100" s="156">
        <f t="shared" si="88"/>
        <v>0</v>
      </c>
      <c r="CX100" s="156">
        <f t="shared" si="89"/>
        <v>1</v>
      </c>
      <c r="CY100" s="156">
        <f t="shared" si="90"/>
        <v>0</v>
      </c>
      <c r="CZ100" s="8" t="str">
        <f t="shared" si="93"/>
        <v/>
      </c>
      <c r="DA100" s="8">
        <f t="shared" si="94"/>
        <v>0</v>
      </c>
      <c r="DB100" s="8">
        <f t="shared" si="95"/>
        <v>0</v>
      </c>
    </row>
    <row r="101" spans="1:106" s="317" customFormat="1" x14ac:dyDescent="0.25">
      <c r="A101" s="384">
        <v>186</v>
      </c>
      <c r="B101" s="318">
        <v>42065</v>
      </c>
      <c r="C101" s="317">
        <v>1082317</v>
      </c>
      <c r="D101" s="317" t="s">
        <v>1174</v>
      </c>
      <c r="E101" s="317" t="str">
        <f t="shared" si="101"/>
        <v/>
      </c>
      <c r="F101" s="317" t="str">
        <f t="shared" si="102"/>
        <v xml:space="preserve">TOR, COE, </v>
      </c>
      <c r="G101" s="317" t="s">
        <v>475</v>
      </c>
      <c r="K101" s="152" t="str">
        <f t="shared" ca="1" si="67"/>
        <v/>
      </c>
      <c r="L101" s="318">
        <v>42101</v>
      </c>
      <c r="M101" s="318">
        <v>42117</v>
      </c>
      <c r="N101" s="153" t="str">
        <f t="shared" si="61"/>
        <v/>
      </c>
      <c r="O101" s="317" t="s">
        <v>302</v>
      </c>
      <c r="Q101" s="317" t="s">
        <v>1149</v>
      </c>
      <c r="R101" s="317">
        <v>9277830048</v>
      </c>
      <c r="S101" s="153">
        <f t="shared" si="68"/>
        <v>9277830048</v>
      </c>
      <c r="T101" s="153" t="str">
        <f t="shared" si="96"/>
        <v/>
      </c>
      <c r="U101" s="317" t="s">
        <v>1194</v>
      </c>
      <c r="V101" s="317" t="s">
        <v>1148</v>
      </c>
      <c r="W101" s="317" t="s">
        <v>1146</v>
      </c>
      <c r="X101" s="317" t="s">
        <v>1147</v>
      </c>
      <c r="Y101" s="317" t="s">
        <v>73</v>
      </c>
      <c r="Z101" s="317" t="s">
        <v>70</v>
      </c>
      <c r="AA101" s="317" t="str">
        <f t="shared" si="98"/>
        <v>Php 16,000</v>
      </c>
      <c r="AC101" s="317" t="str">
        <f t="shared" si="99"/>
        <v>Php 1,000</v>
      </c>
      <c r="AD101" s="317" t="str">
        <f t="shared" si="100"/>
        <v>Php 3,000</v>
      </c>
      <c r="AH101" s="317" t="s">
        <v>52</v>
      </c>
      <c r="AI101" s="317" t="s">
        <v>253</v>
      </c>
      <c r="AJ101" s="153"/>
      <c r="AL101" s="317" t="s">
        <v>259</v>
      </c>
      <c r="AM101" s="317" t="s">
        <v>854</v>
      </c>
      <c r="AN101" s="318">
        <v>33299</v>
      </c>
      <c r="AO101" s="317" t="s">
        <v>1204</v>
      </c>
      <c r="AP101" s="317" t="s">
        <v>1204</v>
      </c>
      <c r="AQ101" s="317" t="s">
        <v>50</v>
      </c>
      <c r="AR101" s="317" t="s">
        <v>378</v>
      </c>
      <c r="AS101" s="332">
        <v>42087</v>
      </c>
      <c r="AT101" s="318">
        <v>42087</v>
      </c>
      <c r="AU101" s="318">
        <v>42087</v>
      </c>
      <c r="AV101" s="318">
        <v>42115</v>
      </c>
      <c r="AW101" s="332">
        <v>42117</v>
      </c>
      <c r="AX101" s="317" t="s">
        <v>2537</v>
      </c>
      <c r="AZ101" s="317">
        <v>1</v>
      </c>
      <c r="BA101" s="318">
        <v>42090</v>
      </c>
      <c r="BC101" s="332">
        <v>42090</v>
      </c>
      <c r="BD101" s="317" t="s">
        <v>1823</v>
      </c>
      <c r="BE101" s="332">
        <v>42087</v>
      </c>
      <c r="BF101" s="317" t="s">
        <v>1721</v>
      </c>
      <c r="BG101" s="332">
        <v>42087</v>
      </c>
      <c r="BH101" s="385" t="s">
        <v>1722</v>
      </c>
      <c r="BI101" s="318">
        <v>42090</v>
      </c>
      <c r="BJ101" s="332">
        <v>42094</v>
      </c>
      <c r="BM101" s="332">
        <v>42067</v>
      </c>
      <c r="BP101" s="332">
        <v>42067</v>
      </c>
      <c r="BS101" s="332">
        <v>42067</v>
      </c>
      <c r="BT101" s="318">
        <v>42067</v>
      </c>
      <c r="BU101" s="318">
        <v>42067</v>
      </c>
      <c r="BV101" s="337"/>
      <c r="BW101" s="398" t="str">
        <f t="shared" si="97"/>
        <v xml:space="preserve">2305 3/27/2015, MDR 3/27/2015, </v>
      </c>
      <c r="BX101" s="398">
        <f t="shared" si="104"/>
        <v>11</v>
      </c>
      <c r="BY101" s="398">
        <f t="shared" si="65"/>
        <v>11</v>
      </c>
      <c r="BZ101" s="399">
        <f t="shared" ref="BZ101:BZ107" si="106">IFERROR(BX101/BY101,"")</f>
        <v>1</v>
      </c>
      <c r="CA101" s="168" t="str">
        <f t="shared" si="103"/>
        <v/>
      </c>
      <c r="CB101" s="151" t="str">
        <f t="shared" si="105"/>
        <v/>
      </c>
      <c r="CC101" s="153" t="str">
        <f t="shared" ca="1" si="91"/>
        <v/>
      </c>
      <c r="CD101" s="153" t="str">
        <f t="shared" si="70"/>
        <v/>
      </c>
      <c r="CE101" s="153" t="str">
        <f t="shared" si="71"/>
        <v/>
      </c>
      <c r="CF101" s="396" t="str">
        <f t="shared" si="72"/>
        <v/>
      </c>
      <c r="CG101" s="397" t="str">
        <f t="shared" si="73"/>
        <v/>
      </c>
      <c r="CH101" s="153" t="str">
        <f t="shared" si="74"/>
        <v/>
      </c>
      <c r="CI101" s="151" t="str">
        <f t="shared" si="92"/>
        <v/>
      </c>
      <c r="CJ101" s="151">
        <f t="shared" si="75"/>
        <v>42101</v>
      </c>
      <c r="CK101" s="153">
        <f t="shared" si="76"/>
        <v>1</v>
      </c>
      <c r="CL101" s="153">
        <f t="shared" si="77"/>
        <v>1</v>
      </c>
      <c r="CM101" s="153">
        <f t="shared" si="78"/>
        <v>1</v>
      </c>
      <c r="CN101" s="153">
        <f t="shared" si="79"/>
        <v>1</v>
      </c>
      <c r="CO101" s="153">
        <f t="shared" si="80"/>
        <v>1</v>
      </c>
      <c r="CP101" s="153">
        <f t="shared" si="81"/>
        <v>1</v>
      </c>
      <c r="CQ101" s="153">
        <f t="shared" si="82"/>
        <v>1</v>
      </c>
      <c r="CR101" s="153">
        <f t="shared" si="83"/>
        <v>1</v>
      </c>
      <c r="CS101" s="153">
        <f t="shared" si="84"/>
        <v>1</v>
      </c>
      <c r="CT101" s="153">
        <f t="shared" si="85"/>
        <v>1</v>
      </c>
      <c r="CU101" s="153">
        <f t="shared" si="86"/>
        <v>1</v>
      </c>
      <c r="CV101" s="153">
        <f t="shared" si="87"/>
        <v>1</v>
      </c>
      <c r="CW101" s="153">
        <f t="shared" si="88"/>
        <v>1</v>
      </c>
      <c r="CX101" s="153">
        <f t="shared" si="89"/>
        <v>1</v>
      </c>
      <c r="CY101" s="153">
        <f t="shared" si="90"/>
        <v>1</v>
      </c>
      <c r="CZ101" s="317">
        <f t="shared" si="93"/>
        <v>52</v>
      </c>
      <c r="DA101" s="317">
        <f t="shared" si="94"/>
        <v>0</v>
      </c>
      <c r="DB101" s="317">
        <f t="shared" si="95"/>
        <v>1</v>
      </c>
    </row>
    <row r="102" spans="1:106" s="317" customFormat="1" x14ac:dyDescent="0.25">
      <c r="A102" s="384">
        <v>186</v>
      </c>
      <c r="B102" s="318">
        <v>42065</v>
      </c>
      <c r="C102" s="317">
        <v>1082318</v>
      </c>
      <c r="D102" s="317" t="s">
        <v>2331</v>
      </c>
      <c r="E102" s="317" t="str">
        <f t="shared" si="101"/>
        <v/>
      </c>
      <c r="F102" s="317" t="str">
        <f t="shared" si="102"/>
        <v/>
      </c>
      <c r="G102" s="317" t="s">
        <v>475</v>
      </c>
      <c r="K102" s="152" t="str">
        <f t="shared" ca="1" si="67"/>
        <v/>
      </c>
      <c r="M102" s="318">
        <v>42076</v>
      </c>
      <c r="N102" s="153" t="str">
        <f t="shared" si="61"/>
        <v/>
      </c>
      <c r="O102" s="317" t="s">
        <v>302</v>
      </c>
      <c r="Q102" s="317" t="s">
        <v>1152</v>
      </c>
      <c r="R102" s="317">
        <v>9276685085</v>
      </c>
      <c r="S102" s="153">
        <f t="shared" si="68"/>
        <v>9276685085</v>
      </c>
      <c r="T102" s="153" t="str">
        <f t="shared" si="96"/>
        <v/>
      </c>
      <c r="U102" s="317" t="s">
        <v>1195</v>
      </c>
      <c r="V102" s="317" t="s">
        <v>537</v>
      </c>
      <c r="W102" s="317" t="s">
        <v>1150</v>
      </c>
      <c r="X102" s="317" t="s">
        <v>1151</v>
      </c>
      <c r="Y102" s="317" t="s">
        <v>73</v>
      </c>
      <c r="Z102" s="317" t="s">
        <v>70</v>
      </c>
      <c r="AA102" s="317" t="str">
        <f t="shared" si="98"/>
        <v>Php 16,000</v>
      </c>
      <c r="AC102" s="317" t="str">
        <f t="shared" si="99"/>
        <v>Php 1,000</v>
      </c>
      <c r="AD102" s="317" t="str">
        <f t="shared" si="100"/>
        <v>Php 3,000</v>
      </c>
      <c r="AH102" s="317" t="s">
        <v>52</v>
      </c>
      <c r="AI102" s="317" t="s">
        <v>253</v>
      </c>
      <c r="AJ102" s="153"/>
      <c r="AL102" s="317" t="s">
        <v>265</v>
      </c>
      <c r="AM102" s="317" t="s">
        <v>854</v>
      </c>
      <c r="AN102" s="318">
        <v>33734</v>
      </c>
      <c r="AO102" s="317" t="s">
        <v>1206</v>
      </c>
      <c r="AP102" s="317" t="s">
        <v>1206</v>
      </c>
      <c r="AQ102" s="317" t="s">
        <v>53</v>
      </c>
      <c r="AR102" s="317" t="s">
        <v>378</v>
      </c>
      <c r="AS102" s="332">
        <v>42074</v>
      </c>
      <c r="AT102" s="318">
        <v>42074</v>
      </c>
      <c r="AU102" s="318">
        <v>42074</v>
      </c>
      <c r="AV102" s="318">
        <v>42067</v>
      </c>
      <c r="AW102" s="332">
        <v>42074</v>
      </c>
      <c r="AX102" s="317" t="s">
        <v>1392</v>
      </c>
      <c r="AZ102" s="318">
        <v>42074</v>
      </c>
      <c r="BA102" s="318">
        <v>42074</v>
      </c>
      <c r="BC102" s="332">
        <v>42074</v>
      </c>
      <c r="BD102" s="317" t="s">
        <v>1393</v>
      </c>
      <c r="BE102" s="332">
        <v>42074</v>
      </c>
      <c r="BF102" s="317" t="s">
        <v>1394</v>
      </c>
      <c r="BG102" s="332">
        <v>42074</v>
      </c>
      <c r="BH102" s="385" t="s">
        <v>1395</v>
      </c>
      <c r="BI102" s="318">
        <v>42074</v>
      </c>
      <c r="BJ102" s="332">
        <v>42080</v>
      </c>
      <c r="BM102" s="332">
        <v>42074</v>
      </c>
      <c r="BP102" s="332">
        <v>42069</v>
      </c>
      <c r="BQ102" s="318">
        <v>42074</v>
      </c>
      <c r="BR102" s="318">
        <v>42074</v>
      </c>
      <c r="BS102" s="332">
        <v>42067</v>
      </c>
      <c r="BT102" s="318">
        <v>42067</v>
      </c>
      <c r="BU102" s="318">
        <v>42067</v>
      </c>
      <c r="BV102" s="337"/>
      <c r="BW102" s="398" t="str">
        <f t="shared" si="97"/>
        <v xml:space="preserve">1905 3/11/2015, 2305 3/11/2015, MDR 3/11/2015, </v>
      </c>
      <c r="BX102" s="398">
        <f t="shared" si="104"/>
        <v>11</v>
      </c>
      <c r="BY102" s="398">
        <f t="shared" si="65"/>
        <v>11</v>
      </c>
      <c r="BZ102" s="399">
        <f t="shared" si="106"/>
        <v>1</v>
      </c>
      <c r="CA102" s="168" t="str">
        <f t="shared" si="103"/>
        <v/>
      </c>
      <c r="CB102" s="151" t="str">
        <f t="shared" si="105"/>
        <v/>
      </c>
      <c r="CC102" s="153" t="str">
        <f t="shared" ca="1" si="91"/>
        <v/>
      </c>
      <c r="CD102" s="153" t="str">
        <f t="shared" si="70"/>
        <v/>
      </c>
      <c r="CE102" s="153" t="str">
        <f t="shared" si="71"/>
        <v/>
      </c>
      <c r="CF102" s="396" t="str">
        <f t="shared" si="72"/>
        <v/>
      </c>
      <c r="CG102" s="397" t="str">
        <f t="shared" si="73"/>
        <v/>
      </c>
      <c r="CH102" s="153" t="str">
        <f t="shared" si="74"/>
        <v/>
      </c>
      <c r="CI102" s="151" t="str">
        <f t="shared" si="92"/>
        <v/>
      </c>
      <c r="CJ102" s="151">
        <f t="shared" si="75"/>
        <v>42101</v>
      </c>
      <c r="CK102" s="153">
        <f t="shared" si="76"/>
        <v>2</v>
      </c>
      <c r="CL102" s="153">
        <f t="shared" si="77"/>
        <v>2</v>
      </c>
      <c r="CM102" s="153">
        <f t="shared" si="78"/>
        <v>2</v>
      </c>
      <c r="CN102" s="153">
        <f t="shared" si="79"/>
        <v>2</v>
      </c>
      <c r="CO102" s="153">
        <f t="shared" si="80"/>
        <v>2</v>
      </c>
      <c r="CP102" s="153">
        <f t="shared" si="81"/>
        <v>2</v>
      </c>
      <c r="CQ102" s="153">
        <f t="shared" si="82"/>
        <v>2</v>
      </c>
      <c r="CR102" s="153">
        <f t="shared" si="83"/>
        <v>2</v>
      </c>
      <c r="CS102" s="153">
        <f t="shared" si="84"/>
        <v>2</v>
      </c>
      <c r="CT102" s="153">
        <f t="shared" si="85"/>
        <v>2</v>
      </c>
      <c r="CU102" s="153">
        <f t="shared" si="86"/>
        <v>2</v>
      </c>
      <c r="CV102" s="153">
        <f t="shared" si="87"/>
        <v>2</v>
      </c>
      <c r="CW102" s="153">
        <f t="shared" si="88"/>
        <v>2</v>
      </c>
      <c r="CX102" s="153">
        <f t="shared" si="89"/>
        <v>1</v>
      </c>
      <c r="CY102" s="153">
        <f t="shared" si="90"/>
        <v>2</v>
      </c>
      <c r="CZ102" s="317">
        <f t="shared" si="93"/>
        <v>11</v>
      </c>
      <c r="DA102" s="317">
        <f t="shared" si="94"/>
        <v>1</v>
      </c>
      <c r="DB102" s="317">
        <f t="shared" si="95"/>
        <v>1</v>
      </c>
    </row>
    <row r="103" spans="1:106" s="317" customFormat="1" x14ac:dyDescent="0.25">
      <c r="A103" s="384">
        <v>186</v>
      </c>
      <c r="B103" s="318">
        <v>42065</v>
      </c>
      <c r="C103" s="317">
        <v>1082319</v>
      </c>
      <c r="D103" s="317" t="s">
        <v>1175</v>
      </c>
      <c r="E103" s="317" t="str">
        <f t="shared" si="101"/>
        <v/>
      </c>
      <c r="F103" s="317" t="str">
        <f t="shared" si="102"/>
        <v xml:space="preserve">TOR, COE, </v>
      </c>
      <c r="G103" s="317" t="s">
        <v>475</v>
      </c>
      <c r="K103" s="152" t="str">
        <f t="shared" ref="K103:K134" ca="1" si="107">IF(IF(OR(O103="c",O103="n"),"",IF(L103="",IF((TODAY()-B103)&gt;20,"Dedlyn!",(B103+18)-TODAY()),L103-TODAY()))&lt;1,"Dedlyn!",IF(OR(O103="c",O103="n"),"",IF(L103="",IF((TODAY()-B103)&gt;20,"Dedlyn!",(B103+18)-TODAY()),L103-TODAY())))</f>
        <v/>
      </c>
      <c r="L103" s="318">
        <v>42101</v>
      </c>
      <c r="M103" s="318">
        <v>42117</v>
      </c>
      <c r="N103" s="153" t="str">
        <f t="shared" si="61"/>
        <v/>
      </c>
      <c r="O103" s="317" t="s">
        <v>302</v>
      </c>
      <c r="Q103" s="317" t="s">
        <v>1156</v>
      </c>
      <c r="R103" s="317">
        <v>9232580321</v>
      </c>
      <c r="S103" s="153">
        <f t="shared" si="68"/>
        <v>9232580321</v>
      </c>
      <c r="T103" s="153" t="str">
        <f t="shared" si="96"/>
        <v/>
      </c>
      <c r="U103" s="317" t="s">
        <v>1196</v>
      </c>
      <c r="V103" s="317" t="s">
        <v>1155</v>
      </c>
      <c r="W103" s="317" t="s">
        <v>1153</v>
      </c>
      <c r="X103" s="317" t="s">
        <v>1154</v>
      </c>
      <c r="Y103" s="317" t="s">
        <v>73</v>
      </c>
      <c r="Z103" s="317" t="s">
        <v>70</v>
      </c>
      <c r="AA103" s="317" t="str">
        <f t="shared" si="98"/>
        <v>Php 16,000</v>
      </c>
      <c r="AC103" s="317" t="str">
        <f t="shared" si="99"/>
        <v>Php 1,000</v>
      </c>
      <c r="AD103" s="317" t="str">
        <f t="shared" si="100"/>
        <v>Php 3,000</v>
      </c>
      <c r="AH103" s="317" t="s">
        <v>52</v>
      </c>
      <c r="AI103" s="317" t="s">
        <v>338</v>
      </c>
      <c r="AJ103" s="153" t="s">
        <v>1180</v>
      </c>
      <c r="AL103" s="317" t="s">
        <v>571</v>
      </c>
      <c r="AM103" s="317" t="s">
        <v>248</v>
      </c>
      <c r="AN103" s="318">
        <v>33842</v>
      </c>
      <c r="AO103" s="317" t="s">
        <v>1205</v>
      </c>
      <c r="AS103" s="332">
        <v>42083</v>
      </c>
      <c r="AT103" s="318">
        <v>42083</v>
      </c>
      <c r="AU103" s="318">
        <v>42083</v>
      </c>
      <c r="AV103" s="318">
        <v>42067</v>
      </c>
      <c r="AW103" s="332">
        <v>42102</v>
      </c>
      <c r="AX103" s="317" t="s">
        <v>2028</v>
      </c>
      <c r="AZ103" s="318">
        <v>42102</v>
      </c>
      <c r="BA103" s="318">
        <v>42102</v>
      </c>
      <c r="BC103" s="332">
        <v>42102</v>
      </c>
      <c r="BD103" s="317" t="s">
        <v>2027</v>
      </c>
      <c r="BE103" s="332">
        <v>42102</v>
      </c>
      <c r="BF103" s="317" t="s">
        <v>2029</v>
      </c>
      <c r="BG103" s="332">
        <v>42083</v>
      </c>
      <c r="BH103" s="385" t="s">
        <v>1640</v>
      </c>
      <c r="BI103" s="318">
        <v>42083</v>
      </c>
      <c r="BJ103" s="332">
        <v>42102</v>
      </c>
      <c r="BM103" s="332">
        <v>42102</v>
      </c>
      <c r="BP103" s="332">
        <v>42102</v>
      </c>
      <c r="BS103" s="332">
        <v>42067</v>
      </c>
      <c r="BT103" s="318">
        <v>42067</v>
      </c>
      <c r="BU103" s="318">
        <v>42067</v>
      </c>
      <c r="BV103" s="337" t="s">
        <v>1642</v>
      </c>
      <c r="BW103" s="398" t="str">
        <f t="shared" si="97"/>
        <v>1905 4/8/2015, 2305 4/8/2015, MDR 3/20/2015, Municipal Certificate of Birth 3/20/2015</v>
      </c>
      <c r="BX103" s="398">
        <f t="shared" si="104"/>
        <v>11</v>
      </c>
      <c r="BY103" s="398">
        <f t="shared" si="65"/>
        <v>11</v>
      </c>
      <c r="BZ103" s="399">
        <f t="shared" si="106"/>
        <v>1</v>
      </c>
      <c r="CA103" s="168" t="str">
        <f t="shared" si="103"/>
        <v/>
      </c>
      <c r="CB103" s="151" t="str">
        <f t="shared" si="105"/>
        <v/>
      </c>
      <c r="CC103" s="153" t="str">
        <f t="shared" ca="1" si="91"/>
        <v/>
      </c>
      <c r="CD103" s="153" t="str">
        <f t="shared" si="70"/>
        <v/>
      </c>
      <c r="CE103" s="153" t="str">
        <f t="shared" si="71"/>
        <v/>
      </c>
      <c r="CF103" s="396" t="str">
        <f t="shared" si="72"/>
        <v/>
      </c>
      <c r="CG103" s="397" t="str">
        <f t="shared" si="73"/>
        <v/>
      </c>
      <c r="CH103" s="153" t="str">
        <f t="shared" ref="CH103:CH108" si="108">IF(CB103="","",IF(MIN(CK103:CU103)&gt;CY103,"",CONCATENATE(IF(SUM(IF(CK103&lt;CL103,1,0),IF(CK103&lt;CM103,1,0),IF(CK103&lt;CN103,1,0),IF(CK103&lt;CO103,1,0),IF(CK103&lt;CP103,1,0),IF(CK103&lt;CQ103,1,0),IF(CK103&lt;CR103,1,0),IF(CK103&lt;CS103,1,0),IF(CK103&lt;CT103,1,0),IF(CK103&lt;CU103,1,0))&gt;7,"SSS ("&amp;CY103-CK103&amp;") ",""),IF(SUM(IF(CL103&lt;CK103,1,0),IF(CL103&lt;CM103,1,0),IF(CL103&lt;CN103,1,0),IF(CL103&lt;CO103,1,0),IF(CL103&lt;CP103,1,0),IF(CL103&lt;CQ103,1,0),IF(CL103&lt;CR103,1,0),IF(CL103&lt;CS103,1,0),IF(CL103&lt;CT103,1,0),IF(CL103&lt;CU103,1,0))&gt;7,"HDMF ("&amp;CY103-CL103&amp;") ",""),IF(SUM(IF(CM103&lt;CK103,1,0),IF(CM103&lt;CL103,1,0),IF(CM103&lt;CN103,1,0),IF(CM103&lt;CO103,1,0),IF(CM103&lt;CP103,1,0),IF(CM103&lt;CQ103,1,0),IF(CM103&lt;CR103,1,0),IF(CM103&lt;CS103,1,0),IF(CM103&lt;CT103,1,0),IF(CM103&lt;CU103,1,0))&gt;7,"PHIC ("&amp;CY103-CM103&amp;") ",""),IF(SUM(IF(CN103&lt;CK103,1,0),IF(CN103&lt;CL103,1,0),IF(CN103&lt;CM103,1,0),IF(CN103&lt;CO103,1,0),IF(CN103&lt;CP103,1,0),IF(CN103&lt;CQ103,1,0),IF(CN103&lt;CR103,1,0),IF(CN103&lt;CS103,1,0),IF(CN103&lt;CT103,1,0),IF(CN103&lt;CU103,1,0))&gt;7,"NBI ("&amp;CY103-CN103&amp;") ",""),IF(SUM(IF(CO103&lt;CK103,1,0),IF(CO103&lt;CL103,1,0),IF(CO103&lt;CN103,1,0),IF(CO103&lt;CM103,1,0),IF(CO103&lt;CP103,1,0),IF(CO103&lt;CQ103,1,0),IF(CO103&lt;CR103,1,0),IF(CO103&lt;CS103,1,0),IF(CO103&lt;CT103,1,0),IF(CO103&lt;CU103,1,0))&gt;7,"NSO ("&amp;CY103-CO103&amp;") ",""),IF(SUM(IF(CP103&lt;CK103,1,0),IF(CP103&lt;CL103,1,0),IF(CP103&lt;CN103,1,0),IF(CP103&lt;CO103,1,0),IF(CP103&lt;CM103,1,0),IF(CP103&lt;CQ103,1,0),IF(CP103&lt;CR103,1,0),IF(CP103&lt;CS103,1,0),IF(CP103&lt;CT103,1,0),IF(CP103&lt;CU103,1,0))&gt;7,"Info ("&amp;CY103-CP103&amp;") ",""),IF(SUM(IF(CQ103&lt;CK103,1,0),IF(CQ103&lt;CL103,1,0),IF(CQ103&lt;CN103,1,0),IF(CQ103&lt;CO103,1,0),IF(CQ103&lt;CP103,1,0),IF(CQ103&lt;CM103,1,0),IF(CQ103&lt;CR103,1,0),IF(CQ103&lt;CS103,1,0),IF(CQ103&lt;CT103,1,0),IF(CQ103&lt;CU103,1,0))&gt;7,"AWOL ("&amp;CY103-CQ103&amp;") ",""),IF(SUM(IF(CR103&lt;CK103,1,0),IF(CR103&lt;CL103,1,0),IF(CR103&lt;CN103,1,0),IF(CR103&lt;CO103,1,0),IF(CR103&lt;CP103,1,0),IF(CR103&lt;CQ103,1,0),IF(CR103&lt;CM103,1,0),IF(CR103&lt;CS103,1,0),IF(CR103&lt;CT103,1,0),IF(CR103&lt;CU103,1,0))&gt;7,"Hand ("&amp;CY103-CR103&amp;") ",""),IF(SUM(IF(CS103&lt;CK103,1,0),IF(CS103&lt;CL103,1,0),IF(CS103&lt;CN103,1,0),IF(CS103&lt;CO103,1,0),IF(CS103&lt;CP103,1,0),IF(CS103&lt;CQ103,1,0),IF(CS103&lt;CR103,1,0),IF(CS103&lt;CM103,1,0),IF(CS103&lt;CT103,1,0),IF(CS103&lt;CU103,1,0))&gt;7,"Waiver ("&amp;CY103-CS103&amp;") ",""),IF(SUM(IF(CT103&lt;CK103,1,0),IF(CT103&lt;CL103,1,0),IF(CT103&lt;CN103,1,0),IF(CT103&lt;CO103,1,0),IF(CT103&lt;CP103,1,0),IF(CT103&lt;CQ103,1,0),IF(CT103&lt;CR103,1,0),IF(CT103&lt;CS103,1,0),IF(CT103&lt;CM103,1,0),IF(CT103&lt;CU103,1,0))&gt;7,"TIN ("&amp;CY103-CT103&amp;") ",""),IF(SUM(IF(CU103&lt;CK103,1,0),IF(CU103&lt;CL103,1,0),IF(CU103&lt;CN103,1,0),IF(CU103&lt;CO103,1,0),IF(CU103&lt;CP103,1,0),IF(CU103&lt;CQ103,1,0),IF(CU103&lt;CR103,1,0),IF(CU103&lt;CS103,1,0),IF(CU103&lt;CT103,1,0),IF(CU103&lt;CM103,1,0))&gt;7,"1905 ("&amp;CY103-CU103&amp;") ",""))))</f>
        <v/>
      </c>
      <c r="CI103" s="151" t="str">
        <f t="shared" si="92"/>
        <v/>
      </c>
      <c r="CJ103" s="151">
        <f t="shared" si="75"/>
        <v>42101</v>
      </c>
      <c r="CK103" s="153">
        <f t="shared" si="76"/>
        <v>3</v>
      </c>
      <c r="CL103" s="153">
        <f t="shared" si="77"/>
        <v>3</v>
      </c>
      <c r="CM103" s="153">
        <f t="shared" si="78"/>
        <v>3</v>
      </c>
      <c r="CN103" s="153">
        <f t="shared" si="79"/>
        <v>3</v>
      </c>
      <c r="CO103" s="153">
        <f t="shared" si="80"/>
        <v>3</v>
      </c>
      <c r="CP103" s="153">
        <f t="shared" si="81"/>
        <v>3</v>
      </c>
      <c r="CQ103" s="153">
        <f t="shared" si="82"/>
        <v>3</v>
      </c>
      <c r="CR103" s="153">
        <f t="shared" si="83"/>
        <v>3</v>
      </c>
      <c r="CS103" s="153">
        <f t="shared" si="84"/>
        <v>3</v>
      </c>
      <c r="CT103" s="153">
        <f t="shared" ref="CT103:CT134" si="109">IF(CB102="",CT102+IF(IF(O103="n",0,COUNT(AW103))=1,1,0),IF(IF(O103="n",0,COUNT(AW103))=1,1,0))</f>
        <v>3</v>
      </c>
      <c r="CU103" s="153">
        <f t="shared" ref="CU103:CU134" si="110">IF(CB102="",CU102+IF(IF(O103="n",0,COUNT(AZ103))=1,1,0),IF(IF(O103="n",0,COUNT(AZ103))=1,1,0))</f>
        <v>3</v>
      </c>
      <c r="CV103" s="153">
        <f t="shared" ref="CV103:CV134" si="111">IF(CB102="",CV102+IF(IF(O103="n",0,COUNT(BA103))=1,1,0),IF(IF(O103="n",0,COUNT(BA103))=1,1,0))</f>
        <v>3</v>
      </c>
      <c r="CW103" s="153">
        <f t="shared" si="88"/>
        <v>3</v>
      </c>
      <c r="CX103" s="153">
        <f t="shared" si="89"/>
        <v>1</v>
      </c>
      <c r="CY103" s="153">
        <f t="shared" si="90"/>
        <v>3</v>
      </c>
      <c r="CZ103" s="317">
        <f t="shared" si="93"/>
        <v>52</v>
      </c>
      <c r="DA103" s="317">
        <f t="shared" si="94"/>
        <v>0</v>
      </c>
      <c r="DB103" s="317">
        <f t="shared" si="95"/>
        <v>1</v>
      </c>
    </row>
    <row r="104" spans="1:106" s="113" customFormat="1" x14ac:dyDescent="0.25">
      <c r="A104" s="132">
        <v>186</v>
      </c>
      <c r="B104" s="129">
        <v>42072</v>
      </c>
      <c r="C104" s="113">
        <v>1082320</v>
      </c>
      <c r="D104" s="113" t="s">
        <v>1176</v>
      </c>
      <c r="E104" s="113" t="str">
        <f t="shared" si="101"/>
        <v/>
      </c>
      <c r="F104" s="113" t="str">
        <f t="shared" si="102"/>
        <v/>
      </c>
      <c r="G104" s="113" t="s">
        <v>475</v>
      </c>
      <c r="K104" s="152" t="str">
        <f t="shared" ca="1" si="107"/>
        <v/>
      </c>
      <c r="N104" s="153" t="str">
        <f t="shared" si="61"/>
        <v/>
      </c>
      <c r="O104" s="113" t="s">
        <v>298</v>
      </c>
      <c r="P104" s="113" t="s">
        <v>689</v>
      </c>
      <c r="Q104" s="113" t="s">
        <v>1160</v>
      </c>
      <c r="R104" s="113">
        <v>9275377963</v>
      </c>
      <c r="S104" s="153">
        <f t="shared" si="68"/>
        <v>9275377963</v>
      </c>
      <c r="T104" s="153" t="str">
        <f t="shared" si="96"/>
        <v/>
      </c>
      <c r="V104" s="113" t="s">
        <v>1159</v>
      </c>
      <c r="W104" s="113" t="s">
        <v>1157</v>
      </c>
      <c r="X104" s="113" t="s">
        <v>1158</v>
      </c>
      <c r="Y104" s="113" t="s">
        <v>73</v>
      </c>
      <c r="Z104" s="113" t="s">
        <v>70</v>
      </c>
      <c r="AA104" s="113" t="str">
        <f t="shared" si="98"/>
        <v>Php 16,000</v>
      </c>
      <c r="AC104" s="113" t="str">
        <f t="shared" si="99"/>
        <v>Php 1,000</v>
      </c>
      <c r="AD104" s="113" t="str">
        <f t="shared" si="100"/>
        <v>Php 3,000</v>
      </c>
      <c r="AH104" s="113" t="s">
        <v>52</v>
      </c>
      <c r="AI104" s="113" t="s">
        <v>253</v>
      </c>
      <c r="AJ104" s="153"/>
      <c r="AL104" s="113" t="s">
        <v>247</v>
      </c>
      <c r="AM104" s="113" t="s">
        <v>854</v>
      </c>
      <c r="AN104" s="129">
        <v>33063</v>
      </c>
      <c r="AS104" s="165"/>
      <c r="AW104" s="187"/>
      <c r="BC104" s="165"/>
      <c r="BE104" s="165"/>
      <c r="BG104" s="165"/>
      <c r="BH104" s="274"/>
      <c r="BJ104" s="165"/>
      <c r="BM104" s="165"/>
      <c r="BP104" s="165"/>
      <c r="BS104" s="187"/>
      <c r="BT104" s="129"/>
      <c r="BU104" s="129"/>
      <c r="BV104" s="165"/>
      <c r="BW104" s="398" t="str">
        <f t="shared" si="97"/>
        <v/>
      </c>
      <c r="BX104" s="398" t="str">
        <f t="shared" si="104"/>
        <v/>
      </c>
      <c r="BY104" s="398" t="str">
        <f t="shared" si="65"/>
        <v/>
      </c>
      <c r="BZ104" s="399" t="str">
        <f t="shared" si="106"/>
        <v/>
      </c>
      <c r="CA104" s="168" t="str">
        <f t="shared" si="103"/>
        <v/>
      </c>
      <c r="CB104" s="151" t="str">
        <f t="shared" si="105"/>
        <v/>
      </c>
      <c r="CC104" s="153" t="str">
        <f t="shared" ca="1" si="91"/>
        <v/>
      </c>
      <c r="CD104" s="153" t="str">
        <f t="shared" si="70"/>
        <v/>
      </c>
      <c r="CE104" s="153" t="str">
        <f t="shared" si="71"/>
        <v/>
      </c>
      <c r="CF104" s="396" t="str">
        <f t="shared" si="72"/>
        <v/>
      </c>
      <c r="CG104" s="397" t="str">
        <f t="shared" si="73"/>
        <v/>
      </c>
      <c r="CH104" s="153" t="str">
        <f t="shared" si="108"/>
        <v/>
      </c>
      <c r="CI104" s="151" t="str">
        <f t="shared" si="92"/>
        <v/>
      </c>
      <c r="CJ104" s="151">
        <f t="shared" si="75"/>
        <v>42101</v>
      </c>
      <c r="CK104" s="153">
        <f t="shared" si="76"/>
        <v>3</v>
      </c>
      <c r="CL104" s="153">
        <f t="shared" si="77"/>
        <v>3</v>
      </c>
      <c r="CM104" s="153">
        <f t="shared" si="78"/>
        <v>3</v>
      </c>
      <c r="CN104" s="153">
        <f t="shared" si="79"/>
        <v>3</v>
      </c>
      <c r="CO104" s="153">
        <f t="shared" si="80"/>
        <v>3</v>
      </c>
      <c r="CP104" s="153">
        <f t="shared" si="81"/>
        <v>3</v>
      </c>
      <c r="CQ104" s="153">
        <f t="shared" si="82"/>
        <v>3</v>
      </c>
      <c r="CR104" s="153">
        <f t="shared" si="83"/>
        <v>3</v>
      </c>
      <c r="CS104" s="153">
        <f t="shared" si="84"/>
        <v>3</v>
      </c>
      <c r="CT104" s="153">
        <f t="shared" si="109"/>
        <v>3</v>
      </c>
      <c r="CU104" s="153">
        <f t="shared" si="110"/>
        <v>3</v>
      </c>
      <c r="CV104" s="153">
        <f t="shared" si="111"/>
        <v>3</v>
      </c>
      <c r="CW104" s="153">
        <f t="shared" si="88"/>
        <v>3</v>
      </c>
      <c r="CX104" s="153">
        <f t="shared" si="89"/>
        <v>2</v>
      </c>
      <c r="CY104" s="153">
        <f t="shared" si="90"/>
        <v>3</v>
      </c>
      <c r="CZ104" s="113" t="str">
        <f t="shared" si="93"/>
        <v/>
      </c>
      <c r="DA104" s="113">
        <f t="shared" si="94"/>
        <v>0</v>
      </c>
      <c r="DB104" s="113">
        <f t="shared" si="95"/>
        <v>0</v>
      </c>
    </row>
    <row r="105" spans="1:106" s="113" customFormat="1" x14ac:dyDescent="0.25">
      <c r="A105" s="132">
        <v>186</v>
      </c>
      <c r="B105" s="129">
        <v>42065</v>
      </c>
      <c r="C105" s="113">
        <v>1082321</v>
      </c>
      <c r="D105" s="113" t="s">
        <v>1177</v>
      </c>
      <c r="E105" s="113" t="str">
        <f t="shared" si="101"/>
        <v/>
      </c>
      <c r="F105" s="113" t="str">
        <f t="shared" si="102"/>
        <v/>
      </c>
      <c r="G105" s="113" t="s">
        <v>475</v>
      </c>
      <c r="K105" s="152" t="str">
        <f t="shared" ca="1" si="107"/>
        <v/>
      </c>
      <c r="N105" s="153" t="str">
        <f t="shared" si="61"/>
        <v/>
      </c>
      <c r="O105" s="113" t="s">
        <v>298</v>
      </c>
      <c r="P105" s="113" t="s">
        <v>689</v>
      </c>
      <c r="Q105" s="113" t="s">
        <v>1164</v>
      </c>
      <c r="R105" s="113">
        <v>9163154846</v>
      </c>
      <c r="S105" s="153">
        <f t="shared" si="68"/>
        <v>9163154846</v>
      </c>
      <c r="T105" s="153" t="str">
        <f t="shared" si="96"/>
        <v/>
      </c>
      <c r="U105" s="113" t="s">
        <v>1197</v>
      </c>
      <c r="V105" s="113" t="s">
        <v>1163</v>
      </c>
      <c r="W105" s="113" t="s">
        <v>1161</v>
      </c>
      <c r="X105" s="113" t="s">
        <v>1162</v>
      </c>
      <c r="Y105" s="113" t="s">
        <v>73</v>
      </c>
      <c r="Z105" s="113" t="s">
        <v>74</v>
      </c>
      <c r="AA105" s="113" t="str">
        <f t="shared" si="98"/>
        <v>Php 17,000</v>
      </c>
      <c r="AC105" s="113" t="str">
        <f t="shared" si="99"/>
        <v>Php 1,000</v>
      </c>
      <c r="AD105" s="113" t="str">
        <f t="shared" si="100"/>
        <v>Php 4,000</v>
      </c>
      <c r="AH105" s="113" t="s">
        <v>52</v>
      </c>
      <c r="AI105" s="113" t="s">
        <v>253</v>
      </c>
      <c r="AJ105" s="153"/>
      <c r="AL105" s="113" t="s">
        <v>878</v>
      </c>
      <c r="AM105" s="113" t="s">
        <v>854</v>
      </c>
      <c r="AN105" s="129">
        <v>33451</v>
      </c>
      <c r="AS105" s="165"/>
      <c r="AW105" s="187"/>
      <c r="BC105" s="165"/>
      <c r="BE105" s="165"/>
      <c r="BG105" s="165"/>
      <c r="BH105" s="274"/>
      <c r="BJ105" s="165"/>
      <c r="BM105" s="165"/>
      <c r="BP105" s="165"/>
      <c r="BS105" s="187"/>
      <c r="BT105" s="129"/>
      <c r="BU105" s="129"/>
      <c r="BV105" s="165"/>
      <c r="BW105" s="398" t="str">
        <f t="shared" si="97"/>
        <v/>
      </c>
      <c r="BX105" s="398" t="str">
        <f t="shared" si="104"/>
        <v/>
      </c>
      <c r="BY105" s="398" t="str">
        <f t="shared" si="65"/>
        <v/>
      </c>
      <c r="BZ105" s="399" t="str">
        <f t="shared" si="106"/>
        <v/>
      </c>
      <c r="CA105" s="168" t="str">
        <f t="shared" si="103"/>
        <v/>
      </c>
      <c r="CB105" s="151" t="str">
        <f t="shared" si="105"/>
        <v/>
      </c>
      <c r="CC105" s="153" t="str">
        <f t="shared" ca="1" si="91"/>
        <v/>
      </c>
      <c r="CD105" s="153" t="str">
        <f t="shared" si="70"/>
        <v/>
      </c>
      <c r="CE105" s="153" t="str">
        <f t="shared" si="71"/>
        <v/>
      </c>
      <c r="CF105" s="396" t="str">
        <f t="shared" si="72"/>
        <v/>
      </c>
      <c r="CG105" s="397" t="str">
        <f t="shared" si="73"/>
        <v/>
      </c>
      <c r="CH105" s="153" t="str">
        <f t="shared" si="108"/>
        <v/>
      </c>
      <c r="CI105" s="151" t="str">
        <f t="shared" si="92"/>
        <v/>
      </c>
      <c r="CJ105" s="151">
        <f t="shared" si="75"/>
        <v>42101</v>
      </c>
      <c r="CK105" s="153">
        <f t="shared" si="76"/>
        <v>3</v>
      </c>
      <c r="CL105" s="153">
        <f t="shared" si="77"/>
        <v>3</v>
      </c>
      <c r="CM105" s="153">
        <f t="shared" si="78"/>
        <v>3</v>
      </c>
      <c r="CN105" s="153">
        <f t="shared" si="79"/>
        <v>3</v>
      </c>
      <c r="CO105" s="153">
        <f t="shared" si="80"/>
        <v>3</v>
      </c>
      <c r="CP105" s="153">
        <f t="shared" si="81"/>
        <v>3</v>
      </c>
      <c r="CQ105" s="153">
        <f t="shared" si="82"/>
        <v>3</v>
      </c>
      <c r="CR105" s="153">
        <f t="shared" si="83"/>
        <v>3</v>
      </c>
      <c r="CS105" s="153">
        <f t="shared" si="84"/>
        <v>3</v>
      </c>
      <c r="CT105" s="153">
        <f t="shared" si="109"/>
        <v>3</v>
      </c>
      <c r="CU105" s="153">
        <f t="shared" si="110"/>
        <v>3</v>
      </c>
      <c r="CV105" s="153">
        <f t="shared" si="111"/>
        <v>3</v>
      </c>
      <c r="CW105" s="153">
        <f t="shared" si="88"/>
        <v>3</v>
      </c>
      <c r="CX105" s="153">
        <f t="shared" si="89"/>
        <v>3</v>
      </c>
      <c r="CY105" s="153">
        <f t="shared" si="90"/>
        <v>3</v>
      </c>
      <c r="CZ105" s="113" t="str">
        <f t="shared" si="93"/>
        <v/>
      </c>
      <c r="DA105" s="113">
        <f t="shared" si="94"/>
        <v>0</v>
      </c>
      <c r="DB105" s="113">
        <f t="shared" si="95"/>
        <v>0</v>
      </c>
    </row>
    <row r="106" spans="1:106" s="317" customFormat="1" x14ac:dyDescent="0.25">
      <c r="A106" s="384">
        <v>186</v>
      </c>
      <c r="B106" s="318">
        <v>42065</v>
      </c>
      <c r="C106" s="317">
        <v>1082322</v>
      </c>
      <c r="D106" s="317" t="s">
        <v>1178</v>
      </c>
      <c r="E106" s="317" t="str">
        <f t="shared" si="101"/>
        <v/>
      </c>
      <c r="F106" s="317" t="str">
        <f t="shared" si="102"/>
        <v xml:space="preserve">COE, 2x2, </v>
      </c>
      <c r="G106" s="317" t="s">
        <v>475</v>
      </c>
      <c r="K106" s="152" t="str">
        <f t="shared" ca="1" si="107"/>
        <v/>
      </c>
      <c r="L106" s="318">
        <v>42101</v>
      </c>
      <c r="M106" s="318">
        <v>42102</v>
      </c>
      <c r="N106" s="153" t="str">
        <f t="shared" si="61"/>
        <v/>
      </c>
      <c r="O106" s="317" t="s">
        <v>302</v>
      </c>
      <c r="Q106" s="317" t="s">
        <v>1168</v>
      </c>
      <c r="R106" s="317">
        <v>9053534641</v>
      </c>
      <c r="S106" s="153">
        <f t="shared" si="68"/>
        <v>9053534641</v>
      </c>
      <c r="T106" s="153" t="str">
        <f t="shared" si="96"/>
        <v/>
      </c>
      <c r="U106" s="317" t="s">
        <v>1198</v>
      </c>
      <c r="V106" s="317" t="s">
        <v>1167</v>
      </c>
      <c r="W106" s="317" t="s">
        <v>1165</v>
      </c>
      <c r="X106" s="317" t="s">
        <v>1166</v>
      </c>
      <c r="Y106" s="317" t="s">
        <v>73</v>
      </c>
      <c r="Z106" s="317" t="s">
        <v>74</v>
      </c>
      <c r="AA106" s="317" t="str">
        <f t="shared" si="98"/>
        <v>Php 17,000</v>
      </c>
      <c r="AC106" s="317" t="str">
        <f t="shared" si="99"/>
        <v>Php 1,000</v>
      </c>
      <c r="AD106" s="317" t="str">
        <f t="shared" si="100"/>
        <v>Php 4,000</v>
      </c>
      <c r="AH106" s="317" t="s">
        <v>52</v>
      </c>
      <c r="AI106" s="317" t="s">
        <v>338</v>
      </c>
      <c r="AJ106" s="153"/>
      <c r="AL106" s="317" t="s">
        <v>259</v>
      </c>
      <c r="AM106" s="317" t="s">
        <v>854</v>
      </c>
      <c r="AN106" s="318">
        <v>33684</v>
      </c>
      <c r="AO106" s="317" t="s">
        <v>1202</v>
      </c>
      <c r="AP106" s="317" t="s">
        <v>1202</v>
      </c>
      <c r="AQ106" s="317" t="s">
        <v>50</v>
      </c>
      <c r="AR106" s="317" t="s">
        <v>378</v>
      </c>
      <c r="AS106" s="332">
        <v>42067</v>
      </c>
      <c r="AT106" s="318">
        <v>42067</v>
      </c>
      <c r="AU106" s="318">
        <v>42067</v>
      </c>
      <c r="AV106" s="318">
        <v>42102</v>
      </c>
      <c r="AW106" s="332">
        <v>42094</v>
      </c>
      <c r="AX106" s="317" t="s">
        <v>1928</v>
      </c>
      <c r="AZ106" s="318">
        <v>42094</v>
      </c>
      <c r="BA106" s="318">
        <v>42094</v>
      </c>
      <c r="BC106" s="332">
        <v>42067</v>
      </c>
      <c r="BD106" s="317" t="s">
        <v>1201</v>
      </c>
      <c r="BE106" s="332">
        <v>42094</v>
      </c>
      <c r="BF106" s="317" t="s">
        <v>1900</v>
      </c>
      <c r="BG106" s="332">
        <v>42094</v>
      </c>
      <c r="BH106" s="385" t="s">
        <v>1899</v>
      </c>
      <c r="BI106" s="318">
        <v>42094</v>
      </c>
      <c r="BJ106" s="332">
        <v>42102</v>
      </c>
      <c r="BM106" s="332">
        <v>42067</v>
      </c>
      <c r="BP106" s="337"/>
      <c r="BQ106" s="318">
        <v>42067</v>
      </c>
      <c r="BS106" s="332">
        <v>42067</v>
      </c>
      <c r="BT106" s="318">
        <v>42067</v>
      </c>
      <c r="BU106" s="318">
        <v>42067</v>
      </c>
      <c r="BV106" s="337"/>
      <c r="BW106" s="398" t="str">
        <f t="shared" si="97"/>
        <v xml:space="preserve">1905 3/31/2015, 2305 3/31/2015, MDR 3/31/2015, </v>
      </c>
      <c r="BX106" s="398">
        <f t="shared" si="104"/>
        <v>11</v>
      </c>
      <c r="BY106" s="398">
        <f t="shared" si="65"/>
        <v>11</v>
      </c>
      <c r="BZ106" s="399">
        <f t="shared" si="106"/>
        <v>1</v>
      </c>
      <c r="CA106" s="168" t="str">
        <f t="shared" si="103"/>
        <v/>
      </c>
      <c r="CB106" s="151" t="str">
        <f t="shared" si="105"/>
        <v/>
      </c>
      <c r="CC106" s="153" t="str">
        <f t="shared" ca="1" si="91"/>
        <v/>
      </c>
      <c r="CD106" s="153" t="str">
        <f t="shared" si="70"/>
        <v/>
      </c>
      <c r="CE106" s="153" t="str">
        <f t="shared" si="71"/>
        <v/>
      </c>
      <c r="CF106" s="396" t="str">
        <f t="shared" si="72"/>
        <v/>
      </c>
      <c r="CG106" s="397" t="str">
        <f t="shared" si="73"/>
        <v/>
      </c>
      <c r="CH106" s="153" t="str">
        <f t="shared" si="108"/>
        <v/>
      </c>
      <c r="CI106" s="151" t="str">
        <f t="shared" si="92"/>
        <v/>
      </c>
      <c r="CJ106" s="151">
        <f t="shared" si="75"/>
        <v>42101</v>
      </c>
      <c r="CK106" s="153">
        <f t="shared" si="76"/>
        <v>4</v>
      </c>
      <c r="CL106" s="153">
        <f t="shared" si="77"/>
        <v>4</v>
      </c>
      <c r="CM106" s="153">
        <f t="shared" si="78"/>
        <v>4</v>
      </c>
      <c r="CN106" s="153">
        <f t="shared" si="79"/>
        <v>4</v>
      </c>
      <c r="CO106" s="153">
        <f t="shared" si="80"/>
        <v>4</v>
      </c>
      <c r="CP106" s="153">
        <f t="shared" si="81"/>
        <v>4</v>
      </c>
      <c r="CQ106" s="153">
        <f t="shared" si="82"/>
        <v>4</v>
      </c>
      <c r="CR106" s="153">
        <f t="shared" si="83"/>
        <v>4</v>
      </c>
      <c r="CS106" s="153">
        <f t="shared" si="84"/>
        <v>4</v>
      </c>
      <c r="CT106" s="153">
        <f t="shared" si="109"/>
        <v>4</v>
      </c>
      <c r="CU106" s="153">
        <f t="shared" si="110"/>
        <v>4</v>
      </c>
      <c r="CV106" s="153">
        <f t="shared" si="111"/>
        <v>4</v>
      </c>
      <c r="CW106" s="153">
        <f t="shared" si="88"/>
        <v>4</v>
      </c>
      <c r="CX106" s="153">
        <f t="shared" si="89"/>
        <v>3</v>
      </c>
      <c r="CY106" s="153">
        <f t="shared" si="90"/>
        <v>4</v>
      </c>
      <c r="CZ106" s="317">
        <f t="shared" si="93"/>
        <v>37</v>
      </c>
      <c r="DA106" s="317">
        <f t="shared" si="94"/>
        <v>0</v>
      </c>
      <c r="DB106" s="317">
        <f t="shared" si="95"/>
        <v>1</v>
      </c>
    </row>
    <row r="107" spans="1:106" s="213" customFormat="1" ht="15.75" thickBot="1" x14ac:dyDescent="0.3">
      <c r="A107" s="225">
        <v>186</v>
      </c>
      <c r="B107" s="220">
        <v>42065</v>
      </c>
      <c r="C107" s="213">
        <v>1082323</v>
      </c>
      <c r="D107" s="213" t="s">
        <v>1179</v>
      </c>
      <c r="E107" s="213" t="str">
        <f t="shared" si="101"/>
        <v/>
      </c>
      <c r="F107" s="213" t="str">
        <f t="shared" si="102"/>
        <v/>
      </c>
      <c r="G107" s="213" t="s">
        <v>475</v>
      </c>
      <c r="K107" s="491" t="str">
        <f t="shared" ca="1" si="107"/>
        <v/>
      </c>
      <c r="N107" s="487" t="str">
        <f t="shared" si="61"/>
        <v/>
      </c>
      <c r="O107" s="213" t="s">
        <v>298</v>
      </c>
      <c r="P107" s="213" t="s">
        <v>689</v>
      </c>
      <c r="Q107" s="213" t="s">
        <v>1172</v>
      </c>
      <c r="R107" s="213">
        <v>9175571767</v>
      </c>
      <c r="S107" s="487">
        <f t="shared" si="68"/>
        <v>9175571767</v>
      </c>
      <c r="T107" s="487" t="str">
        <f t="shared" si="96"/>
        <v/>
      </c>
      <c r="U107" s="213" t="s">
        <v>1199</v>
      </c>
      <c r="V107" s="213" t="s">
        <v>1171</v>
      </c>
      <c r="W107" s="213" t="s">
        <v>1169</v>
      </c>
      <c r="X107" s="213" t="s">
        <v>1170</v>
      </c>
      <c r="Y107" s="213" t="s">
        <v>73</v>
      </c>
      <c r="Z107" s="213" t="s">
        <v>74</v>
      </c>
      <c r="AA107" s="213" t="str">
        <f t="shared" si="98"/>
        <v>Php 17,000</v>
      </c>
      <c r="AC107" s="213" t="str">
        <f t="shared" si="99"/>
        <v>Php 1,000</v>
      </c>
      <c r="AD107" s="213" t="str">
        <f t="shared" si="100"/>
        <v>Php 4,000</v>
      </c>
      <c r="AH107" s="213" t="s">
        <v>52</v>
      </c>
      <c r="AI107" s="213" t="s">
        <v>253</v>
      </c>
      <c r="AJ107" s="487"/>
      <c r="AL107" s="213" t="s">
        <v>259</v>
      </c>
      <c r="AM107" s="213" t="s">
        <v>854</v>
      </c>
      <c r="AN107" s="220">
        <v>31544</v>
      </c>
      <c r="AS107" s="227"/>
      <c r="AW107" s="224"/>
      <c r="BC107" s="227"/>
      <c r="BE107" s="227"/>
      <c r="BG107" s="227"/>
      <c r="BH107" s="294"/>
      <c r="BJ107" s="227"/>
      <c r="BM107" s="227"/>
      <c r="BP107" s="227"/>
      <c r="BS107" s="224"/>
      <c r="BT107" s="220"/>
      <c r="BU107" s="220"/>
      <c r="BV107" s="227"/>
      <c r="BW107" s="522" t="str">
        <f t="shared" si="97"/>
        <v/>
      </c>
      <c r="BX107" s="522" t="str">
        <f t="shared" si="104"/>
        <v/>
      </c>
      <c r="BY107" s="522" t="str">
        <f t="shared" si="65"/>
        <v/>
      </c>
      <c r="BZ107" s="523" t="str">
        <f t="shared" si="106"/>
        <v/>
      </c>
      <c r="CA107" s="524">
        <f t="shared" si="103"/>
        <v>186</v>
      </c>
      <c r="CB107" s="503">
        <f t="shared" si="105"/>
        <v>42065</v>
      </c>
      <c r="CC107" s="487">
        <f t="shared" ca="1" si="91"/>
        <v>12</v>
      </c>
      <c r="CD107" s="487">
        <f t="shared" si="70"/>
        <v>4</v>
      </c>
      <c r="CE107" s="487">
        <f t="shared" si="71"/>
        <v>4</v>
      </c>
      <c r="CF107" s="504">
        <f t="shared" si="72"/>
        <v>0</v>
      </c>
      <c r="CG107" s="505">
        <f t="shared" si="73"/>
        <v>1</v>
      </c>
      <c r="CH107" s="487" t="str">
        <f t="shared" si="108"/>
        <v/>
      </c>
      <c r="CI107" s="503">
        <f t="shared" si="92"/>
        <v>42101</v>
      </c>
      <c r="CJ107" s="503">
        <f t="shared" si="75"/>
        <v>42101</v>
      </c>
      <c r="CK107" s="487">
        <f t="shared" si="76"/>
        <v>4</v>
      </c>
      <c r="CL107" s="487">
        <f t="shared" si="77"/>
        <v>4</v>
      </c>
      <c r="CM107" s="487">
        <f t="shared" si="78"/>
        <v>4</v>
      </c>
      <c r="CN107" s="487">
        <f t="shared" si="79"/>
        <v>4</v>
      </c>
      <c r="CO107" s="487">
        <f t="shared" si="80"/>
        <v>4</v>
      </c>
      <c r="CP107" s="487">
        <f t="shared" si="81"/>
        <v>4</v>
      </c>
      <c r="CQ107" s="487">
        <f t="shared" si="82"/>
        <v>4</v>
      </c>
      <c r="CR107" s="487">
        <f t="shared" si="83"/>
        <v>4</v>
      </c>
      <c r="CS107" s="487">
        <f t="shared" si="84"/>
        <v>4</v>
      </c>
      <c r="CT107" s="487">
        <f t="shared" si="109"/>
        <v>4</v>
      </c>
      <c r="CU107" s="487">
        <f t="shared" si="110"/>
        <v>4</v>
      </c>
      <c r="CV107" s="487">
        <f t="shared" si="111"/>
        <v>4</v>
      </c>
      <c r="CW107" s="487">
        <f t="shared" si="88"/>
        <v>4</v>
      </c>
      <c r="CX107" s="487">
        <f t="shared" si="89"/>
        <v>4</v>
      </c>
      <c r="CY107" s="487">
        <f t="shared" si="90"/>
        <v>4</v>
      </c>
      <c r="CZ107" s="213" t="str">
        <f t="shared" si="93"/>
        <v/>
      </c>
      <c r="DA107" s="213">
        <f t="shared" si="94"/>
        <v>0</v>
      </c>
      <c r="DB107" s="213">
        <f t="shared" si="95"/>
        <v>0</v>
      </c>
    </row>
    <row r="108" spans="1:106" s="8" customFormat="1" ht="15.75" thickTop="1" x14ac:dyDescent="0.25">
      <c r="A108" s="133">
        <v>187</v>
      </c>
      <c r="B108" s="20">
        <v>42072</v>
      </c>
      <c r="C108" s="8">
        <v>1082324</v>
      </c>
      <c r="D108" s="8" t="s">
        <v>1211</v>
      </c>
      <c r="E108" s="8" t="str">
        <f t="shared" si="101"/>
        <v/>
      </c>
      <c r="F108" s="8" t="str">
        <f t="shared" si="102"/>
        <v/>
      </c>
      <c r="K108" s="490" t="str">
        <f t="shared" ca="1" si="107"/>
        <v/>
      </c>
      <c r="N108" s="156" t="str">
        <f t="shared" si="61"/>
        <v/>
      </c>
      <c r="O108" s="8" t="s">
        <v>298</v>
      </c>
      <c r="P108" s="113" t="s">
        <v>689</v>
      </c>
      <c r="Q108" s="8" t="s">
        <v>1210</v>
      </c>
      <c r="R108" s="8">
        <v>9065597596</v>
      </c>
      <c r="S108" s="156">
        <f t="shared" si="68"/>
        <v>9065597596</v>
      </c>
      <c r="T108" s="156" t="str">
        <f t="shared" si="96"/>
        <v/>
      </c>
      <c r="V108" s="8" t="s">
        <v>1209</v>
      </c>
      <c r="W108" s="8" t="s">
        <v>1207</v>
      </c>
      <c r="X108" s="8" t="s">
        <v>1208</v>
      </c>
      <c r="Y108" s="8" t="s">
        <v>73</v>
      </c>
      <c r="Z108" s="8" t="s">
        <v>74</v>
      </c>
      <c r="AH108" s="8" t="s">
        <v>52</v>
      </c>
      <c r="AI108" s="8" t="s">
        <v>253</v>
      </c>
      <c r="AJ108" s="156"/>
      <c r="AL108" s="8" t="s">
        <v>259</v>
      </c>
      <c r="AN108" s="20">
        <v>32499</v>
      </c>
      <c r="AS108" s="165"/>
      <c r="AT108" s="113"/>
      <c r="AU108" s="113"/>
      <c r="AV108" s="113"/>
      <c r="AW108" s="187"/>
      <c r="AX108" s="113"/>
      <c r="AY108" s="113"/>
      <c r="AZ108" s="113"/>
      <c r="BA108" s="113"/>
      <c r="BB108" s="113"/>
      <c r="BC108" s="165"/>
      <c r="BD108" s="113"/>
      <c r="BE108" s="165"/>
      <c r="BF108" s="113"/>
      <c r="BG108" s="165"/>
      <c r="BH108" s="274"/>
      <c r="BI108" s="113"/>
      <c r="BJ108" s="165"/>
      <c r="BK108" s="113"/>
      <c r="BL108" s="113"/>
      <c r="BM108" s="165"/>
      <c r="BN108" s="113"/>
      <c r="BO108" s="113"/>
      <c r="BP108" s="165"/>
      <c r="BQ108" s="113"/>
      <c r="BR108" s="182"/>
      <c r="BS108" s="187"/>
      <c r="BT108" s="129"/>
      <c r="BU108" s="129"/>
      <c r="BV108" s="165"/>
      <c r="BW108" s="398" t="str">
        <f t="shared" si="97"/>
        <v/>
      </c>
      <c r="BX108" s="398" t="str">
        <f t="shared" si="104"/>
        <v/>
      </c>
      <c r="BY108" s="398" t="str">
        <f t="shared" si="65"/>
        <v/>
      </c>
      <c r="BZ108" s="399" t="str">
        <f t="shared" ref="BZ108:BZ117" si="112">IFERROR(BX108/BY108,"")</f>
        <v/>
      </c>
      <c r="CA108" s="168" t="str">
        <f t="shared" si="103"/>
        <v/>
      </c>
      <c r="CB108" s="151" t="str">
        <f>IFERROR(CA108*7+40763,"")</f>
        <v/>
      </c>
      <c r="CC108" s="153" t="str">
        <f ca="1">IFERROR(ROUND(IF(CB108="","",(TODAY()-CB108)/7)+1,0),"")</f>
        <v/>
      </c>
      <c r="CD108" s="153" t="str">
        <f>IF(CG108="","",CY108)</f>
        <v/>
      </c>
      <c r="CE108" s="153" t="str">
        <f>IF(CG108="","",CW108)</f>
        <v/>
      </c>
      <c r="CF108" s="396" t="str">
        <f>IF(CG108="","",CY108-CW108)</f>
        <v/>
      </c>
      <c r="CG108" s="397" t="str">
        <f>IF(CB108="","",SUM(CK108:CU108)/((CY108)*11))</f>
        <v/>
      </c>
      <c r="CH108" s="153" t="str">
        <f t="shared" si="108"/>
        <v/>
      </c>
      <c r="CI108" s="151" t="str">
        <f t="shared" si="92"/>
        <v/>
      </c>
      <c r="CJ108" s="151" t="str">
        <f t="shared" si="75"/>
        <v/>
      </c>
      <c r="CK108" s="153">
        <f t="shared" si="76"/>
        <v>0</v>
      </c>
      <c r="CL108" s="153">
        <f t="shared" si="77"/>
        <v>0</v>
      </c>
      <c r="CM108" s="153">
        <f t="shared" si="78"/>
        <v>0</v>
      </c>
      <c r="CN108" s="153">
        <f t="shared" si="79"/>
        <v>0</v>
      </c>
      <c r="CO108" s="153">
        <f t="shared" si="80"/>
        <v>0</v>
      </c>
      <c r="CP108" s="153">
        <f t="shared" si="81"/>
        <v>0</v>
      </c>
      <c r="CQ108" s="153">
        <f t="shared" si="82"/>
        <v>0</v>
      </c>
      <c r="CR108" s="153">
        <f t="shared" si="83"/>
        <v>0</v>
      </c>
      <c r="CS108" s="153">
        <f t="shared" si="84"/>
        <v>0</v>
      </c>
      <c r="CT108" s="153">
        <f t="shared" si="109"/>
        <v>0</v>
      </c>
      <c r="CU108" s="153">
        <f t="shared" si="110"/>
        <v>0</v>
      </c>
      <c r="CV108" s="153">
        <f t="shared" si="111"/>
        <v>0</v>
      </c>
      <c r="CW108" s="153">
        <f t="shared" si="88"/>
        <v>0</v>
      </c>
      <c r="CX108" s="153">
        <f t="shared" si="89"/>
        <v>1</v>
      </c>
      <c r="CY108" s="156">
        <f t="shared" si="90"/>
        <v>0</v>
      </c>
      <c r="CZ108" s="8" t="str">
        <f t="shared" si="93"/>
        <v/>
      </c>
      <c r="DA108" s="8">
        <f t="shared" si="94"/>
        <v>0</v>
      </c>
      <c r="DB108" s="8">
        <f t="shared" si="95"/>
        <v>0</v>
      </c>
    </row>
    <row r="109" spans="1:106" s="321" customFormat="1" x14ac:dyDescent="0.25">
      <c r="A109" s="382">
        <v>187</v>
      </c>
      <c r="B109" s="334">
        <v>42072</v>
      </c>
      <c r="C109" s="321">
        <v>1082325</v>
      </c>
      <c r="D109" s="321" t="s">
        <v>1263</v>
      </c>
      <c r="E109" s="321" t="str">
        <f t="shared" si="101"/>
        <v/>
      </c>
      <c r="F109" s="321" t="str">
        <f t="shared" si="102"/>
        <v/>
      </c>
      <c r="G109" s="321" t="s">
        <v>1289</v>
      </c>
      <c r="K109" s="490" t="str">
        <f t="shared" ca="1" si="107"/>
        <v/>
      </c>
      <c r="M109" s="334">
        <v>42082</v>
      </c>
      <c r="N109" s="156" t="str">
        <f t="shared" si="61"/>
        <v/>
      </c>
      <c r="O109" s="321" t="s">
        <v>302</v>
      </c>
      <c r="Q109" s="321" t="s">
        <v>1245</v>
      </c>
      <c r="R109" s="321">
        <v>9177280903</v>
      </c>
      <c r="S109" s="156">
        <f t="shared" si="68"/>
        <v>9177280903</v>
      </c>
      <c r="T109" s="156" t="str">
        <f t="shared" si="96"/>
        <v/>
      </c>
      <c r="U109" s="321" t="s">
        <v>1366</v>
      </c>
      <c r="V109" s="321" t="s">
        <v>1244</v>
      </c>
      <c r="W109" s="321" t="s">
        <v>1242</v>
      </c>
      <c r="X109" s="321" t="s">
        <v>1243</v>
      </c>
      <c r="Y109" s="321" t="s">
        <v>1032</v>
      </c>
      <c r="Z109" s="321" t="s">
        <v>74</v>
      </c>
      <c r="AA109" s="321" t="s">
        <v>1087</v>
      </c>
      <c r="AC109" s="321" t="s">
        <v>1025</v>
      </c>
      <c r="AE109" s="321" t="s">
        <v>1026</v>
      </c>
      <c r="AF109" s="321" t="s">
        <v>1027</v>
      </c>
      <c r="AH109" s="321" t="s">
        <v>52</v>
      </c>
      <c r="AI109" s="321" t="s">
        <v>253</v>
      </c>
      <c r="AJ109" s="156"/>
      <c r="AL109" s="321" t="s">
        <v>339</v>
      </c>
      <c r="AN109" s="334">
        <v>32673</v>
      </c>
      <c r="AO109" s="321" t="s">
        <v>1359</v>
      </c>
      <c r="AQ109" s="321" t="s">
        <v>50</v>
      </c>
      <c r="AR109" s="321" t="s">
        <v>495</v>
      </c>
      <c r="AS109" s="332">
        <v>42069</v>
      </c>
      <c r="AT109" s="318">
        <v>42069</v>
      </c>
      <c r="AU109" s="318">
        <v>42069</v>
      </c>
      <c r="AV109" s="329">
        <v>42069</v>
      </c>
      <c r="AW109" s="332">
        <v>42076</v>
      </c>
      <c r="AX109" s="317" t="s">
        <v>1440</v>
      </c>
      <c r="AY109" s="317"/>
      <c r="AZ109" s="318">
        <v>42076</v>
      </c>
      <c r="BA109" s="318">
        <v>42072</v>
      </c>
      <c r="BB109" s="326"/>
      <c r="BC109" s="332">
        <v>42069</v>
      </c>
      <c r="BD109" s="317" t="s">
        <v>1358</v>
      </c>
      <c r="BE109" s="332">
        <v>42073</v>
      </c>
      <c r="BF109" s="326" t="s">
        <v>1365</v>
      </c>
      <c r="BG109" s="332">
        <v>42069</v>
      </c>
      <c r="BH109" s="385" t="s">
        <v>1357</v>
      </c>
      <c r="BI109" s="318">
        <v>42076</v>
      </c>
      <c r="BJ109" s="332">
        <v>42073</v>
      </c>
      <c r="BK109" s="317"/>
      <c r="BL109" s="317"/>
      <c r="BM109" s="332">
        <v>42069</v>
      </c>
      <c r="BN109" s="318">
        <v>42069</v>
      </c>
      <c r="BO109" s="329">
        <v>42069</v>
      </c>
      <c r="BP109" s="332">
        <v>42076</v>
      </c>
      <c r="BQ109" s="318">
        <v>42069</v>
      </c>
      <c r="BR109" s="329">
        <v>42076</v>
      </c>
      <c r="BS109" s="332">
        <v>42069</v>
      </c>
      <c r="BT109" s="318">
        <v>42069</v>
      </c>
      <c r="BU109" s="329">
        <v>42069</v>
      </c>
      <c r="BV109" s="317"/>
      <c r="BW109" s="276" t="str">
        <f t="shared" si="97"/>
        <v xml:space="preserve">1905 3/13/2015, 2305 3/9/2015, MDR 3/13/2015, </v>
      </c>
      <c r="BX109" s="276">
        <f t="shared" si="104"/>
        <v>11</v>
      </c>
      <c r="BY109" s="275">
        <f t="shared" si="65"/>
        <v>11</v>
      </c>
      <c r="BZ109" s="277">
        <f t="shared" si="112"/>
        <v>1</v>
      </c>
      <c r="CA109" s="168" t="str">
        <f t="shared" si="103"/>
        <v/>
      </c>
      <c r="CB109" s="151" t="str">
        <f t="shared" ref="CB109:CB117" si="113">IFERROR(CA109*7+40763,"")</f>
        <v/>
      </c>
      <c r="CC109" s="153" t="str">
        <f t="shared" ref="CC109:CC117" ca="1" si="114">IFERROR(ROUND(IF(CB109="","",(TODAY()-CB109)/7)+1,0),"")</f>
        <v/>
      </c>
      <c r="CD109" s="153" t="str">
        <f t="shared" ref="CD109:CD117" si="115">IF(CG109="","",CY109)</f>
        <v/>
      </c>
      <c r="CE109" s="153" t="str">
        <f t="shared" ref="CE109:CE117" si="116">IF(CG109="","",CW109)</f>
        <v/>
      </c>
      <c r="CF109" s="396" t="str">
        <f t="shared" ref="CF109:CF117" si="117">IF(CG109="","",CY109-CW109)</f>
        <v/>
      </c>
      <c r="CG109" s="397" t="str">
        <f t="shared" ref="CG109:CG117" si="118">IF(CB109="","",SUM(CK109:CU109)/((CY109)*11))</f>
        <v/>
      </c>
      <c r="CH109" s="153" t="str">
        <f t="shared" ref="CH109:CH117" si="119">IF(CB109="","",IF(MIN(CK109:CU109)&gt;CY109,"",CONCATENATE(IF(SUM(IF(CK109&lt;CL109,1,0),IF(CK109&lt;CM109,1,0),IF(CK109&lt;CN109,1,0),IF(CK109&lt;CO109,1,0),IF(CK109&lt;CP109,1,0),IF(CK109&lt;CQ109,1,0),IF(CK109&lt;CR109,1,0),IF(CK109&lt;CS109,1,0),IF(CK109&lt;CT109,1,0),IF(CK109&lt;CU109,1,0))&gt;7,"SSS ("&amp;CY109-CK109&amp;") ",""),IF(SUM(IF(CL109&lt;CK109,1,0),IF(CL109&lt;CM109,1,0),IF(CL109&lt;CN109,1,0),IF(CL109&lt;CO109,1,0),IF(CL109&lt;CP109,1,0),IF(CL109&lt;CQ109,1,0),IF(CL109&lt;CR109,1,0),IF(CL109&lt;CS109,1,0),IF(CL109&lt;CT109,1,0),IF(CL109&lt;CU109,1,0))&gt;7,"HDMF ("&amp;CY109-CL109&amp;") ",""),IF(SUM(IF(CM109&lt;CK109,1,0),IF(CM109&lt;CL109,1,0),IF(CM109&lt;CN109,1,0),IF(CM109&lt;CO109,1,0),IF(CM109&lt;CP109,1,0),IF(CM109&lt;CQ109,1,0),IF(CM109&lt;CR109,1,0),IF(CM109&lt;CS109,1,0),IF(CM109&lt;CT109,1,0),IF(CM109&lt;CU109,1,0))&gt;7,"PHIC ("&amp;CY109-CM109&amp;") ",""),IF(SUM(IF(CN109&lt;CK109,1,0),IF(CN109&lt;CL109,1,0),IF(CN109&lt;CM109,1,0),IF(CN109&lt;CO109,1,0),IF(CN109&lt;CP109,1,0),IF(CN109&lt;CQ109,1,0),IF(CN109&lt;CR109,1,0),IF(CN109&lt;CS109,1,0),IF(CN109&lt;CT109,1,0),IF(CN109&lt;CU109,1,0))&gt;7,"NBI ("&amp;CY109-CN109&amp;") ",""),IF(SUM(IF(CO109&lt;CK109,1,0),IF(CO109&lt;CL109,1,0),IF(CO109&lt;CN109,1,0),IF(CO109&lt;CM109,1,0),IF(CO109&lt;CP109,1,0),IF(CO109&lt;CQ109,1,0),IF(CO109&lt;CR109,1,0),IF(CO109&lt;CS109,1,0),IF(CO109&lt;CT109,1,0),IF(CO109&lt;CU109,1,0))&gt;7,"NSO ("&amp;CY109-CO109&amp;") ",""),IF(SUM(IF(CP109&lt;CK109,1,0),IF(CP109&lt;CL109,1,0),IF(CP109&lt;CN109,1,0),IF(CP109&lt;CO109,1,0),IF(CP109&lt;CM109,1,0),IF(CP109&lt;CQ109,1,0),IF(CP109&lt;CR109,1,0),IF(CP109&lt;CS109,1,0),IF(CP109&lt;CT109,1,0),IF(CP109&lt;CU109,1,0))&gt;7,"Info ("&amp;CY109-CP109&amp;") ",""),IF(SUM(IF(CQ109&lt;CK109,1,0),IF(CQ109&lt;CL109,1,0),IF(CQ109&lt;CN109,1,0),IF(CQ109&lt;CO109,1,0),IF(CQ109&lt;CP109,1,0),IF(CQ109&lt;CM109,1,0),IF(CQ109&lt;CR109,1,0),IF(CQ109&lt;CS109,1,0),IF(CQ109&lt;CT109,1,0),IF(CQ109&lt;CU109,1,0))&gt;7,"AWOL ("&amp;CY109-CQ109&amp;") ",""),IF(SUM(IF(CR109&lt;CK109,1,0),IF(CR109&lt;CL109,1,0),IF(CR109&lt;CN109,1,0),IF(CR109&lt;CO109,1,0),IF(CR109&lt;CP109,1,0),IF(CR109&lt;CQ109,1,0),IF(CR109&lt;CM109,1,0),IF(CR109&lt;CS109,1,0),IF(CR109&lt;CT109,1,0),IF(CR109&lt;CU109,1,0))&gt;7,"Hand ("&amp;CY109-CR109&amp;") ",""),IF(SUM(IF(CS109&lt;CK109,1,0),IF(CS109&lt;CL109,1,0),IF(CS109&lt;CN109,1,0),IF(CS109&lt;CO109,1,0),IF(CS109&lt;CP109,1,0),IF(CS109&lt;CQ109,1,0),IF(CS109&lt;CR109,1,0),IF(CS109&lt;CM109,1,0),IF(CS109&lt;CT109,1,0),IF(CS109&lt;CU109,1,0))&gt;7,"Waiver ("&amp;CY109-CS109&amp;") ",""),IF(SUM(IF(CT109&lt;CK109,1,0),IF(CT109&lt;CL109,1,0),IF(CT109&lt;CN109,1,0),IF(CT109&lt;CO109,1,0),IF(CT109&lt;CP109,1,0),IF(CT109&lt;CQ109,1,0),IF(CT109&lt;CR109,1,0),IF(CT109&lt;CS109,1,0),IF(CT109&lt;CM109,1,0),IF(CT109&lt;CU109,1,0))&gt;7,"TIN ("&amp;CY109-CT109&amp;") ",""),IF(SUM(IF(CU109&lt;CK109,1,0),IF(CU109&lt;CL109,1,0),IF(CU109&lt;CN109,1,0),IF(CU109&lt;CO109,1,0),IF(CU109&lt;CP109,1,0),IF(CU109&lt;CQ109,1,0),IF(CU109&lt;CR109,1,0),IF(CU109&lt;CS109,1,0),IF(CU109&lt;CT109,1,0),IF(CU109&lt;CM109,1,0))&gt;7,"1905 ("&amp;CY109-CU109&amp;") ",""))))</f>
        <v/>
      </c>
      <c r="CI109" s="151" t="str">
        <f t="shared" si="92"/>
        <v/>
      </c>
      <c r="CJ109" s="151" t="str">
        <f t="shared" si="75"/>
        <v/>
      </c>
      <c r="CK109" s="153">
        <f t="shared" si="76"/>
        <v>1</v>
      </c>
      <c r="CL109" s="153">
        <f t="shared" si="77"/>
        <v>1</v>
      </c>
      <c r="CM109" s="153">
        <f t="shared" si="78"/>
        <v>1</v>
      </c>
      <c r="CN109" s="153">
        <f t="shared" si="79"/>
        <v>1</v>
      </c>
      <c r="CO109" s="153">
        <f t="shared" si="80"/>
        <v>1</v>
      </c>
      <c r="CP109" s="153">
        <f t="shared" si="81"/>
        <v>1</v>
      </c>
      <c r="CQ109" s="153">
        <f t="shared" si="82"/>
        <v>1</v>
      </c>
      <c r="CR109" s="153">
        <f t="shared" si="83"/>
        <v>1</v>
      </c>
      <c r="CS109" s="153">
        <f t="shared" si="84"/>
        <v>1</v>
      </c>
      <c r="CT109" s="153">
        <f t="shared" si="109"/>
        <v>1</v>
      </c>
      <c r="CU109" s="153">
        <f t="shared" si="110"/>
        <v>1</v>
      </c>
      <c r="CV109" s="153">
        <f t="shared" si="111"/>
        <v>1</v>
      </c>
      <c r="CW109" s="153">
        <f t="shared" si="88"/>
        <v>1</v>
      </c>
      <c r="CX109" s="153">
        <f t="shared" si="89"/>
        <v>1</v>
      </c>
      <c r="CY109" s="153">
        <f t="shared" si="90"/>
        <v>1</v>
      </c>
      <c r="CZ109" s="321">
        <f t="shared" si="93"/>
        <v>10</v>
      </c>
      <c r="DA109" s="321">
        <f t="shared" si="94"/>
        <v>1</v>
      </c>
      <c r="DB109" s="321">
        <f t="shared" si="95"/>
        <v>1</v>
      </c>
    </row>
    <row r="110" spans="1:106" s="321" customFormat="1" x14ac:dyDescent="0.25">
      <c r="A110" s="382">
        <v>187</v>
      </c>
      <c r="B110" s="334">
        <v>42072</v>
      </c>
      <c r="C110" s="321">
        <v>1082326</v>
      </c>
      <c r="D110" s="321" t="s">
        <v>1264</v>
      </c>
      <c r="E110" s="321" t="str">
        <f t="shared" si="101"/>
        <v/>
      </c>
      <c r="F110" s="321" t="str">
        <f t="shared" si="102"/>
        <v xml:space="preserve">MDR, TOR, COE, 2x2, </v>
      </c>
      <c r="G110" s="321" t="s">
        <v>1289</v>
      </c>
      <c r="K110" s="490" t="str">
        <f t="shared" ca="1" si="107"/>
        <v/>
      </c>
      <c r="L110" s="334">
        <v>42104</v>
      </c>
      <c r="M110" s="334">
        <v>42117</v>
      </c>
      <c r="N110" s="156" t="str">
        <f t="shared" si="61"/>
        <v/>
      </c>
      <c r="O110" s="321" t="s">
        <v>302</v>
      </c>
      <c r="Q110" s="321" t="s">
        <v>1249</v>
      </c>
      <c r="R110" s="321">
        <v>9156203188</v>
      </c>
      <c r="S110" s="156">
        <f t="shared" si="68"/>
        <v>9156203188</v>
      </c>
      <c r="T110" s="156" t="str">
        <f t="shared" si="96"/>
        <v/>
      </c>
      <c r="U110" s="321" t="s">
        <v>1367</v>
      </c>
      <c r="V110" s="321" t="s">
        <v>1248</v>
      </c>
      <c r="W110" s="321" t="s">
        <v>1246</v>
      </c>
      <c r="X110" s="321" t="s">
        <v>1247</v>
      </c>
      <c r="Y110" s="321" t="s">
        <v>1651</v>
      </c>
      <c r="Z110" s="321" t="s">
        <v>128</v>
      </c>
      <c r="AA110" s="321" t="s">
        <v>1232</v>
      </c>
      <c r="AC110" s="321" t="s">
        <v>741</v>
      </c>
      <c r="AD110" s="321" t="str">
        <f t="shared" si="100"/>
        <v/>
      </c>
      <c r="AH110" s="321" t="s">
        <v>52</v>
      </c>
      <c r="AI110" s="321" t="s">
        <v>253</v>
      </c>
      <c r="AJ110" s="156"/>
      <c r="AL110" s="321" t="s">
        <v>1250</v>
      </c>
      <c r="AN110" s="334">
        <v>32539</v>
      </c>
      <c r="AO110" s="321" t="s">
        <v>1356</v>
      </c>
      <c r="AQ110" s="321" t="s">
        <v>53</v>
      </c>
      <c r="AR110" s="321" t="s">
        <v>378</v>
      </c>
      <c r="AS110" s="332">
        <v>42075</v>
      </c>
      <c r="AT110" s="318">
        <v>42075</v>
      </c>
      <c r="AU110" s="318">
        <v>42075</v>
      </c>
      <c r="AV110" s="329">
        <v>42074</v>
      </c>
      <c r="AW110" s="332">
        <v>42075</v>
      </c>
      <c r="AX110" s="317" t="s">
        <v>1429</v>
      </c>
      <c r="AY110" s="317"/>
      <c r="AZ110" s="318">
        <v>42104</v>
      </c>
      <c r="BA110" s="318">
        <v>42075</v>
      </c>
      <c r="BB110" s="326"/>
      <c r="BC110" s="332">
        <v>42104</v>
      </c>
      <c r="BD110" s="326" t="s">
        <v>2044</v>
      </c>
      <c r="BE110" s="332">
        <v>42075</v>
      </c>
      <c r="BF110" s="326" t="s">
        <v>1427</v>
      </c>
      <c r="BG110" s="332">
        <v>42075</v>
      </c>
      <c r="BH110" s="385" t="s">
        <v>1428</v>
      </c>
      <c r="BI110" s="326"/>
      <c r="BJ110" s="332">
        <v>42075</v>
      </c>
      <c r="BK110" s="317"/>
      <c r="BL110" s="326"/>
      <c r="BM110" s="332">
        <v>42075</v>
      </c>
      <c r="BN110" s="317"/>
      <c r="BO110" s="326"/>
      <c r="BP110" s="337"/>
      <c r="BQ110" s="317"/>
      <c r="BR110" s="326"/>
      <c r="BS110" s="332">
        <v>42069</v>
      </c>
      <c r="BT110" s="318">
        <v>42069</v>
      </c>
      <c r="BU110" s="318">
        <v>42069</v>
      </c>
      <c r="BV110" s="386"/>
      <c r="BW110" s="276" t="str">
        <f t="shared" si="97"/>
        <v xml:space="preserve">1905 4/10/2015, 2305 3/12/2015, </v>
      </c>
      <c r="BX110" s="276">
        <f t="shared" si="104"/>
        <v>11</v>
      </c>
      <c r="BY110" s="275">
        <f t="shared" si="65"/>
        <v>11</v>
      </c>
      <c r="BZ110" s="525">
        <f t="shared" si="112"/>
        <v>1</v>
      </c>
      <c r="CA110" s="168" t="str">
        <f t="shared" si="103"/>
        <v/>
      </c>
      <c r="CB110" s="151" t="str">
        <f t="shared" si="113"/>
        <v/>
      </c>
      <c r="CC110" s="153" t="str">
        <f t="shared" ca="1" si="114"/>
        <v/>
      </c>
      <c r="CD110" s="153" t="str">
        <f t="shared" si="115"/>
        <v/>
      </c>
      <c r="CE110" s="153" t="str">
        <f t="shared" si="116"/>
        <v/>
      </c>
      <c r="CF110" s="396" t="str">
        <f t="shared" si="117"/>
        <v/>
      </c>
      <c r="CG110" s="397" t="str">
        <f t="shared" si="118"/>
        <v/>
      </c>
      <c r="CH110" s="153" t="str">
        <f t="shared" si="119"/>
        <v/>
      </c>
      <c r="CI110" s="151" t="str">
        <f t="shared" si="92"/>
        <v/>
      </c>
      <c r="CJ110" s="151">
        <f t="shared" si="75"/>
        <v>42104</v>
      </c>
      <c r="CK110" s="153">
        <f t="shared" si="76"/>
        <v>2</v>
      </c>
      <c r="CL110" s="153">
        <f t="shared" si="77"/>
        <v>2</v>
      </c>
      <c r="CM110" s="153">
        <f t="shared" si="78"/>
        <v>2</v>
      </c>
      <c r="CN110" s="153">
        <f t="shared" si="79"/>
        <v>2</v>
      </c>
      <c r="CO110" s="153">
        <f t="shared" si="80"/>
        <v>2</v>
      </c>
      <c r="CP110" s="153">
        <f t="shared" si="81"/>
        <v>2</v>
      </c>
      <c r="CQ110" s="153">
        <f t="shared" si="82"/>
        <v>2</v>
      </c>
      <c r="CR110" s="153">
        <f t="shared" si="83"/>
        <v>2</v>
      </c>
      <c r="CS110" s="153">
        <f t="shared" si="84"/>
        <v>2</v>
      </c>
      <c r="CT110" s="153">
        <f t="shared" si="109"/>
        <v>2</v>
      </c>
      <c r="CU110" s="153">
        <f t="shared" si="110"/>
        <v>2</v>
      </c>
      <c r="CV110" s="153">
        <f t="shared" si="111"/>
        <v>2</v>
      </c>
      <c r="CW110" s="153">
        <f t="shared" si="88"/>
        <v>2</v>
      </c>
      <c r="CX110" s="153">
        <f t="shared" si="89"/>
        <v>1</v>
      </c>
      <c r="CY110" s="153">
        <f t="shared" si="90"/>
        <v>2</v>
      </c>
      <c r="CZ110" s="321">
        <f t="shared" si="93"/>
        <v>45</v>
      </c>
      <c r="DA110" s="321">
        <f t="shared" si="94"/>
        <v>0</v>
      </c>
      <c r="DB110" s="321">
        <f t="shared" si="95"/>
        <v>1</v>
      </c>
    </row>
    <row r="111" spans="1:106" s="321" customFormat="1" x14ac:dyDescent="0.25">
      <c r="A111" s="382">
        <v>187</v>
      </c>
      <c r="B111" s="334">
        <v>42072</v>
      </c>
      <c r="C111" s="321">
        <v>1082327</v>
      </c>
      <c r="D111" s="321" t="s">
        <v>1265</v>
      </c>
      <c r="E111" s="321" t="str">
        <f t="shared" si="101"/>
        <v/>
      </c>
      <c r="F111" s="321" t="str">
        <f t="shared" si="102"/>
        <v xml:space="preserve">COE, </v>
      </c>
      <c r="G111" s="321" t="s">
        <v>1289</v>
      </c>
      <c r="K111" s="490" t="str">
        <f t="shared" ca="1" si="107"/>
        <v/>
      </c>
      <c r="M111" s="334">
        <v>42083</v>
      </c>
      <c r="N111" s="156" t="str">
        <f t="shared" si="61"/>
        <v/>
      </c>
      <c r="O111" s="321" t="s">
        <v>302</v>
      </c>
      <c r="Q111" s="321" t="s">
        <v>1251</v>
      </c>
      <c r="R111" s="321">
        <v>9155356510</v>
      </c>
      <c r="S111" s="156">
        <f t="shared" si="68"/>
        <v>9155356510</v>
      </c>
      <c r="T111" s="156" t="str">
        <f t="shared" si="96"/>
        <v/>
      </c>
      <c r="U111" s="321" t="s">
        <v>1420</v>
      </c>
      <c r="V111" s="321" t="s">
        <v>1273</v>
      </c>
      <c r="W111" s="321" t="s">
        <v>1266</v>
      </c>
      <c r="X111" s="321" t="s">
        <v>1155</v>
      </c>
      <c r="Y111" s="321" t="s">
        <v>1262</v>
      </c>
      <c r="Z111" s="321" t="s">
        <v>70</v>
      </c>
      <c r="AA111" s="321" t="s">
        <v>1391</v>
      </c>
      <c r="AC111" s="321" t="s">
        <v>1025</v>
      </c>
      <c r="AH111" s="321" t="s">
        <v>52</v>
      </c>
      <c r="AI111" s="321" t="s">
        <v>338</v>
      </c>
      <c r="AJ111" s="156" t="s">
        <v>1291</v>
      </c>
      <c r="AL111" s="321" t="s">
        <v>1252</v>
      </c>
      <c r="AN111" s="334">
        <v>33504</v>
      </c>
      <c r="AO111" s="321" t="s">
        <v>1349</v>
      </c>
      <c r="AP111" s="321" t="s">
        <v>1349</v>
      </c>
      <c r="AQ111" s="321" t="s">
        <v>53</v>
      </c>
      <c r="AR111" s="321" t="s">
        <v>378</v>
      </c>
      <c r="AS111" s="332">
        <v>42072</v>
      </c>
      <c r="AT111" s="318">
        <v>42072</v>
      </c>
      <c r="AU111" s="318">
        <v>42072</v>
      </c>
      <c r="AV111" s="329">
        <v>42072</v>
      </c>
      <c r="AW111" s="332">
        <v>42083</v>
      </c>
      <c r="AX111" s="317" t="s">
        <v>1756</v>
      </c>
      <c r="AY111" s="318">
        <v>42083</v>
      </c>
      <c r="AZ111" s="317">
        <v>2</v>
      </c>
      <c r="BA111" s="317">
        <v>2</v>
      </c>
      <c r="BB111" s="326"/>
      <c r="BC111" s="332">
        <v>42072</v>
      </c>
      <c r="BD111" s="326" t="s">
        <v>1346</v>
      </c>
      <c r="BE111" s="332">
        <v>42090</v>
      </c>
      <c r="BF111" s="326" t="s">
        <v>1827</v>
      </c>
      <c r="BG111" s="332">
        <v>42089</v>
      </c>
      <c r="BH111" s="385" t="s">
        <v>1766</v>
      </c>
      <c r="BI111" s="329">
        <v>42089</v>
      </c>
      <c r="BJ111" s="332">
        <v>42072</v>
      </c>
      <c r="BK111" s="317"/>
      <c r="BL111" s="326"/>
      <c r="BM111" s="332">
        <v>42072</v>
      </c>
      <c r="BN111" s="317"/>
      <c r="BO111" s="326"/>
      <c r="BP111" s="332">
        <v>42072</v>
      </c>
      <c r="BQ111" s="318">
        <v>42072</v>
      </c>
      <c r="BR111" s="326"/>
      <c r="BS111" s="332">
        <v>42073</v>
      </c>
      <c r="BT111" s="318">
        <v>42073</v>
      </c>
      <c r="BU111" s="329">
        <v>42073</v>
      </c>
      <c r="BV111" s="326"/>
      <c r="BW111" s="275" t="str">
        <f t="shared" si="97"/>
        <v xml:space="preserve">MDR 3/26/2015, </v>
      </c>
      <c r="BX111" s="275">
        <f t="shared" si="104"/>
        <v>11</v>
      </c>
      <c r="BY111" s="275">
        <f t="shared" si="65"/>
        <v>11</v>
      </c>
      <c r="BZ111" s="525">
        <f t="shared" si="112"/>
        <v>1</v>
      </c>
      <c r="CA111" s="168" t="str">
        <f t="shared" si="103"/>
        <v/>
      </c>
      <c r="CB111" s="151" t="str">
        <f t="shared" si="113"/>
        <v/>
      </c>
      <c r="CC111" s="153" t="str">
        <f t="shared" ca="1" si="114"/>
        <v/>
      </c>
      <c r="CD111" s="153" t="str">
        <f t="shared" si="115"/>
        <v/>
      </c>
      <c r="CE111" s="153" t="str">
        <f t="shared" si="116"/>
        <v/>
      </c>
      <c r="CF111" s="396" t="str">
        <f t="shared" si="117"/>
        <v/>
      </c>
      <c r="CG111" s="397" t="str">
        <f t="shared" si="118"/>
        <v/>
      </c>
      <c r="CH111" s="153" t="str">
        <f t="shared" si="119"/>
        <v/>
      </c>
      <c r="CI111" s="151" t="str">
        <f t="shared" si="92"/>
        <v/>
      </c>
      <c r="CJ111" s="151">
        <f t="shared" si="75"/>
        <v>42104</v>
      </c>
      <c r="CK111" s="153">
        <f t="shared" si="76"/>
        <v>3</v>
      </c>
      <c r="CL111" s="153">
        <f t="shared" si="77"/>
        <v>3</v>
      </c>
      <c r="CM111" s="153">
        <f t="shared" si="78"/>
        <v>3</v>
      </c>
      <c r="CN111" s="153">
        <f t="shared" si="79"/>
        <v>3</v>
      </c>
      <c r="CO111" s="153">
        <f t="shared" si="80"/>
        <v>3</v>
      </c>
      <c r="CP111" s="153">
        <f t="shared" si="81"/>
        <v>3</v>
      </c>
      <c r="CQ111" s="153">
        <f t="shared" si="82"/>
        <v>3</v>
      </c>
      <c r="CR111" s="153">
        <f t="shared" si="83"/>
        <v>3</v>
      </c>
      <c r="CS111" s="153">
        <f t="shared" si="84"/>
        <v>3</v>
      </c>
      <c r="CT111" s="153">
        <f t="shared" si="109"/>
        <v>3</v>
      </c>
      <c r="CU111" s="153">
        <f t="shared" si="110"/>
        <v>3</v>
      </c>
      <c r="CV111" s="153">
        <f t="shared" si="111"/>
        <v>3</v>
      </c>
      <c r="CW111" s="153">
        <f t="shared" si="88"/>
        <v>3</v>
      </c>
      <c r="CX111" s="153">
        <f t="shared" si="89"/>
        <v>1</v>
      </c>
      <c r="CY111" s="156">
        <f t="shared" si="90"/>
        <v>3</v>
      </c>
      <c r="CZ111" s="321">
        <f t="shared" si="93"/>
        <v>11</v>
      </c>
      <c r="DA111" s="321">
        <f t="shared" si="94"/>
        <v>1</v>
      </c>
      <c r="DB111" s="321">
        <f t="shared" si="95"/>
        <v>1</v>
      </c>
    </row>
    <row r="112" spans="1:106" s="321" customFormat="1" x14ac:dyDescent="0.25">
      <c r="A112" s="382">
        <v>187</v>
      </c>
      <c r="B112" s="334">
        <v>42072</v>
      </c>
      <c r="C112" s="321">
        <v>1082328</v>
      </c>
      <c r="D112" s="321" t="s">
        <v>1267</v>
      </c>
      <c r="E112" s="321" t="str">
        <f t="shared" si="101"/>
        <v/>
      </c>
      <c r="F112" s="321" t="str">
        <f t="shared" si="102"/>
        <v xml:space="preserve">COE, 2x2, </v>
      </c>
      <c r="G112" s="321" t="s">
        <v>1289</v>
      </c>
      <c r="K112" s="490" t="str">
        <f t="shared" ca="1" si="107"/>
        <v/>
      </c>
      <c r="M112" s="334">
        <v>42102</v>
      </c>
      <c r="N112" s="156" t="str">
        <f t="shared" si="61"/>
        <v/>
      </c>
      <c r="O112" s="321" t="s">
        <v>302</v>
      </c>
      <c r="Q112" s="321" t="s">
        <v>1253</v>
      </c>
      <c r="R112" s="321">
        <v>9163558762</v>
      </c>
      <c r="S112" s="156">
        <f t="shared" si="68"/>
        <v>9163558762</v>
      </c>
      <c r="T112" s="156" t="str">
        <f t="shared" si="96"/>
        <v/>
      </c>
      <c r="U112" s="321" t="s">
        <v>1421</v>
      </c>
      <c r="V112" s="321" t="s">
        <v>1274</v>
      </c>
      <c r="W112" s="321" t="s">
        <v>1280</v>
      </c>
      <c r="X112" s="321" t="s">
        <v>1281</v>
      </c>
      <c r="Y112" s="321" t="s">
        <v>1262</v>
      </c>
      <c r="Z112" s="321" t="s">
        <v>70</v>
      </c>
      <c r="AA112" s="321" t="s">
        <v>1391</v>
      </c>
      <c r="AC112" s="321" t="s">
        <v>1025</v>
      </c>
      <c r="AH112" s="321" t="s">
        <v>52</v>
      </c>
      <c r="AI112" s="321" t="s">
        <v>338</v>
      </c>
      <c r="AJ112" s="156" t="s">
        <v>1292</v>
      </c>
      <c r="AL112" s="321" t="s">
        <v>1252</v>
      </c>
      <c r="AN112" s="334">
        <v>33948</v>
      </c>
      <c r="AO112" s="321" t="s">
        <v>1398</v>
      </c>
      <c r="AP112" s="321" t="s">
        <v>1381</v>
      </c>
      <c r="AQ112" s="321" t="s">
        <v>50</v>
      </c>
      <c r="AR112" s="321" t="s">
        <v>378</v>
      </c>
      <c r="AS112" s="332">
        <v>42074</v>
      </c>
      <c r="AT112" s="318">
        <v>42074</v>
      </c>
      <c r="AU112" s="318">
        <v>42074</v>
      </c>
      <c r="AV112" s="329">
        <v>42074</v>
      </c>
      <c r="AW112" s="332">
        <v>42086</v>
      </c>
      <c r="AX112" s="317" t="s">
        <v>1708</v>
      </c>
      <c r="AY112" s="317"/>
      <c r="AZ112" s="318">
        <v>42086</v>
      </c>
      <c r="BA112" s="318">
        <v>42074</v>
      </c>
      <c r="BB112" s="326"/>
      <c r="BC112" s="332">
        <v>42074</v>
      </c>
      <c r="BD112" s="326" t="s">
        <v>1399</v>
      </c>
      <c r="BE112" s="332">
        <v>42074</v>
      </c>
      <c r="BF112" s="326" t="s">
        <v>1400</v>
      </c>
      <c r="BG112" s="332">
        <v>42074</v>
      </c>
      <c r="BH112" s="385" t="s">
        <v>2781</v>
      </c>
      <c r="BI112" s="329">
        <v>42090</v>
      </c>
      <c r="BJ112" s="332">
        <v>42094</v>
      </c>
      <c r="BK112" s="318">
        <v>42090</v>
      </c>
      <c r="BL112" s="329">
        <v>42094</v>
      </c>
      <c r="BM112" s="332">
        <v>42074</v>
      </c>
      <c r="BN112" s="317"/>
      <c r="BO112" s="326"/>
      <c r="BP112" s="337"/>
      <c r="BQ112" s="318">
        <v>42074</v>
      </c>
      <c r="BR112" s="326"/>
      <c r="BS112" s="332">
        <v>42073</v>
      </c>
      <c r="BT112" s="318">
        <v>42073</v>
      </c>
      <c r="BU112" s="329">
        <v>42073</v>
      </c>
      <c r="BV112" s="326"/>
      <c r="BW112" s="275" t="str">
        <f t="shared" si="97"/>
        <v xml:space="preserve">1905 3/23/2015, 2305 3/11/2015, MDR 3/27/2015, NBI receipt 3/27/2015, </v>
      </c>
      <c r="BX112" s="275">
        <f t="shared" si="104"/>
        <v>11</v>
      </c>
      <c r="BY112" s="275">
        <f t="shared" si="65"/>
        <v>11</v>
      </c>
      <c r="BZ112" s="277">
        <f t="shared" si="112"/>
        <v>1</v>
      </c>
      <c r="CA112" s="168" t="str">
        <f t="shared" si="103"/>
        <v/>
      </c>
      <c r="CB112" s="151" t="str">
        <f t="shared" si="113"/>
        <v/>
      </c>
      <c r="CC112" s="153" t="str">
        <f t="shared" ca="1" si="114"/>
        <v/>
      </c>
      <c r="CD112" s="153" t="str">
        <f t="shared" si="115"/>
        <v/>
      </c>
      <c r="CE112" s="153" t="str">
        <f t="shared" si="116"/>
        <v/>
      </c>
      <c r="CF112" s="396" t="str">
        <f t="shared" si="117"/>
        <v/>
      </c>
      <c r="CG112" s="397" t="str">
        <f t="shared" si="118"/>
        <v/>
      </c>
      <c r="CH112" s="153" t="str">
        <f t="shared" si="119"/>
        <v/>
      </c>
      <c r="CI112" s="151" t="str">
        <f t="shared" si="92"/>
        <v/>
      </c>
      <c r="CJ112" s="151">
        <f t="shared" si="75"/>
        <v>42104</v>
      </c>
      <c r="CK112" s="153">
        <f t="shared" si="76"/>
        <v>4</v>
      </c>
      <c r="CL112" s="153">
        <f t="shared" si="77"/>
        <v>4</v>
      </c>
      <c r="CM112" s="153">
        <f t="shared" si="78"/>
        <v>4</v>
      </c>
      <c r="CN112" s="153">
        <f t="shared" si="79"/>
        <v>4</v>
      </c>
      <c r="CO112" s="153">
        <f t="shared" si="80"/>
        <v>4</v>
      </c>
      <c r="CP112" s="153">
        <f t="shared" si="81"/>
        <v>4</v>
      </c>
      <c r="CQ112" s="153">
        <f t="shared" si="82"/>
        <v>4</v>
      </c>
      <c r="CR112" s="153">
        <f t="shared" si="83"/>
        <v>4</v>
      </c>
      <c r="CS112" s="153">
        <f t="shared" si="84"/>
        <v>4</v>
      </c>
      <c r="CT112" s="153">
        <f t="shared" si="109"/>
        <v>4</v>
      </c>
      <c r="CU112" s="153">
        <f t="shared" si="110"/>
        <v>4</v>
      </c>
      <c r="CV112" s="153">
        <f t="shared" si="111"/>
        <v>4</v>
      </c>
      <c r="CW112" s="153">
        <f t="shared" si="88"/>
        <v>4</v>
      </c>
      <c r="CX112" s="153">
        <f t="shared" si="89"/>
        <v>1</v>
      </c>
      <c r="CY112" s="156">
        <f t="shared" si="90"/>
        <v>4</v>
      </c>
      <c r="CZ112" s="321">
        <f t="shared" si="93"/>
        <v>30</v>
      </c>
      <c r="DA112" s="321">
        <f t="shared" si="94"/>
        <v>1</v>
      </c>
      <c r="DB112" s="321">
        <f t="shared" si="95"/>
        <v>1</v>
      </c>
    </row>
    <row r="113" spans="1:106" s="321" customFormat="1" x14ac:dyDescent="0.25">
      <c r="A113" s="382">
        <v>187</v>
      </c>
      <c r="B113" s="334">
        <v>42072</v>
      </c>
      <c r="C113" s="321">
        <v>1082329</v>
      </c>
      <c r="D113" s="321" t="s">
        <v>1268</v>
      </c>
      <c r="E113" s="321" t="str">
        <f t="shared" si="101"/>
        <v/>
      </c>
      <c r="F113" s="321" t="str">
        <f t="shared" si="102"/>
        <v xml:space="preserve">COE, 2x2, </v>
      </c>
      <c r="G113" s="321" t="s">
        <v>1289</v>
      </c>
      <c r="K113" s="490" t="str">
        <f t="shared" ca="1" si="107"/>
        <v/>
      </c>
      <c r="M113" s="334">
        <v>42076</v>
      </c>
      <c r="N113" s="156" t="str">
        <f t="shared" si="61"/>
        <v/>
      </c>
      <c r="O113" s="321" t="s">
        <v>302</v>
      </c>
      <c r="Q113" s="321" t="s">
        <v>1254</v>
      </c>
      <c r="R113" s="321">
        <v>9264943439</v>
      </c>
      <c r="S113" s="156">
        <f t="shared" si="68"/>
        <v>9264943439</v>
      </c>
      <c r="T113" s="156" t="str">
        <f t="shared" si="96"/>
        <v/>
      </c>
      <c r="U113" s="321" t="s">
        <v>1422</v>
      </c>
      <c r="V113" s="321" t="s">
        <v>1275</v>
      </c>
      <c r="W113" s="321" t="s">
        <v>1282</v>
      </c>
      <c r="X113" s="321" t="s">
        <v>1283</v>
      </c>
      <c r="Y113" s="321" t="s">
        <v>1262</v>
      </c>
      <c r="Z113" s="321" t="s">
        <v>70</v>
      </c>
      <c r="AA113" s="321" t="s">
        <v>1391</v>
      </c>
      <c r="AC113" s="321" t="s">
        <v>1025</v>
      </c>
      <c r="AH113" s="321" t="s">
        <v>52</v>
      </c>
      <c r="AI113" s="321" t="s">
        <v>338</v>
      </c>
      <c r="AJ113" s="156" t="s">
        <v>1293</v>
      </c>
      <c r="AL113" s="321" t="s">
        <v>1252</v>
      </c>
      <c r="AN113" s="334">
        <v>40552</v>
      </c>
      <c r="AO113" s="321" t="s">
        <v>1355</v>
      </c>
      <c r="AQ113" s="321" t="s">
        <v>50</v>
      </c>
      <c r="AR113" s="321" t="s">
        <v>378</v>
      </c>
      <c r="AS113" s="332">
        <v>42072</v>
      </c>
      <c r="AT113" s="318">
        <v>42072</v>
      </c>
      <c r="AU113" s="318">
        <v>42072</v>
      </c>
      <c r="AV113" s="329">
        <v>42072</v>
      </c>
      <c r="AW113" s="332">
        <v>42073</v>
      </c>
      <c r="AX113" s="317" t="s">
        <v>1378</v>
      </c>
      <c r="AY113" s="318">
        <v>42076</v>
      </c>
      <c r="AZ113" s="317">
        <v>2</v>
      </c>
      <c r="BA113" s="317">
        <v>2</v>
      </c>
      <c r="BB113" s="326"/>
      <c r="BC113" s="332">
        <v>42081</v>
      </c>
      <c r="BD113" s="326" t="s">
        <v>1577</v>
      </c>
      <c r="BE113" s="332">
        <v>42076</v>
      </c>
      <c r="BF113" s="326" t="s">
        <v>1438</v>
      </c>
      <c r="BG113" s="332">
        <v>42076</v>
      </c>
      <c r="BH113" s="385" t="s">
        <v>1439</v>
      </c>
      <c r="BI113" s="329">
        <v>42076</v>
      </c>
      <c r="BJ113" s="332">
        <v>42094</v>
      </c>
      <c r="BK113" s="318">
        <v>42088</v>
      </c>
      <c r="BL113" s="329">
        <v>42094</v>
      </c>
      <c r="BM113" s="332">
        <v>42072</v>
      </c>
      <c r="BN113" s="317"/>
      <c r="BO113" s="326"/>
      <c r="BP113" s="337"/>
      <c r="BQ113" s="318">
        <v>42072</v>
      </c>
      <c r="BR113" s="326"/>
      <c r="BS113" s="332">
        <v>42073</v>
      </c>
      <c r="BT113" s="318">
        <v>42073</v>
      </c>
      <c r="BU113" s="329">
        <v>42073</v>
      </c>
      <c r="BV113" s="326"/>
      <c r="BW113" s="275" t="str">
        <f t="shared" si="97"/>
        <v xml:space="preserve">MDR 3/13/2015, NBI receipt 3/25/2015, </v>
      </c>
      <c r="BX113" s="275">
        <f t="shared" si="104"/>
        <v>11</v>
      </c>
      <c r="BY113" s="275">
        <f t="shared" si="65"/>
        <v>11</v>
      </c>
      <c r="BZ113" s="277">
        <f t="shared" si="112"/>
        <v>1</v>
      </c>
      <c r="CA113" s="168" t="str">
        <f t="shared" si="103"/>
        <v/>
      </c>
      <c r="CB113" s="151" t="str">
        <f t="shared" si="113"/>
        <v/>
      </c>
      <c r="CC113" s="153" t="str">
        <f t="shared" ca="1" si="114"/>
        <v/>
      </c>
      <c r="CD113" s="153" t="str">
        <f t="shared" si="115"/>
        <v/>
      </c>
      <c r="CE113" s="153" t="str">
        <f t="shared" si="116"/>
        <v/>
      </c>
      <c r="CF113" s="396" t="str">
        <f t="shared" si="117"/>
        <v/>
      </c>
      <c r="CG113" s="397" t="str">
        <f t="shared" si="118"/>
        <v/>
      </c>
      <c r="CH113" s="153" t="str">
        <f t="shared" si="119"/>
        <v/>
      </c>
      <c r="CI113" s="151" t="str">
        <f t="shared" si="92"/>
        <v/>
      </c>
      <c r="CJ113" s="151">
        <f t="shared" si="75"/>
        <v>42104</v>
      </c>
      <c r="CK113" s="153">
        <f t="shared" si="76"/>
        <v>5</v>
      </c>
      <c r="CL113" s="153">
        <f t="shared" si="77"/>
        <v>5</v>
      </c>
      <c r="CM113" s="153">
        <f t="shared" si="78"/>
        <v>5</v>
      </c>
      <c r="CN113" s="153">
        <f t="shared" si="79"/>
        <v>5</v>
      </c>
      <c r="CO113" s="153">
        <f t="shared" si="80"/>
        <v>5</v>
      </c>
      <c r="CP113" s="153">
        <f t="shared" si="81"/>
        <v>5</v>
      </c>
      <c r="CQ113" s="153">
        <f t="shared" si="82"/>
        <v>5</v>
      </c>
      <c r="CR113" s="153">
        <f t="shared" si="83"/>
        <v>5</v>
      </c>
      <c r="CS113" s="153">
        <f t="shared" si="84"/>
        <v>5</v>
      </c>
      <c r="CT113" s="153">
        <f t="shared" si="109"/>
        <v>5</v>
      </c>
      <c r="CU113" s="153">
        <f t="shared" si="110"/>
        <v>5</v>
      </c>
      <c r="CV113" s="153">
        <f t="shared" si="111"/>
        <v>5</v>
      </c>
      <c r="CW113" s="153">
        <f t="shared" si="88"/>
        <v>5</v>
      </c>
      <c r="CX113" s="153">
        <f t="shared" si="89"/>
        <v>1</v>
      </c>
      <c r="CY113" s="156">
        <f t="shared" si="90"/>
        <v>5</v>
      </c>
      <c r="CZ113" s="321">
        <f t="shared" si="93"/>
        <v>4</v>
      </c>
      <c r="DA113" s="321">
        <f t="shared" si="94"/>
        <v>1</v>
      </c>
      <c r="DB113" s="321">
        <f t="shared" si="95"/>
        <v>1</v>
      </c>
    </row>
    <row r="114" spans="1:106" s="321" customFormat="1" x14ac:dyDescent="0.25">
      <c r="A114" s="382">
        <v>187</v>
      </c>
      <c r="B114" s="334">
        <v>42072</v>
      </c>
      <c r="C114" s="321">
        <v>1082330</v>
      </c>
      <c r="D114" s="321" t="s">
        <v>1269</v>
      </c>
      <c r="E114" s="321" t="str">
        <f t="shared" si="101"/>
        <v/>
      </c>
      <c r="F114" s="321" t="str">
        <f t="shared" si="102"/>
        <v xml:space="preserve">COE, </v>
      </c>
      <c r="G114" s="321" t="s">
        <v>1289</v>
      </c>
      <c r="K114" s="490" t="str">
        <f t="shared" ca="1" si="107"/>
        <v/>
      </c>
      <c r="M114" s="334">
        <v>42083</v>
      </c>
      <c r="N114" s="156" t="str">
        <f t="shared" si="61"/>
        <v/>
      </c>
      <c r="O114" s="321" t="s">
        <v>302</v>
      </c>
      <c r="Q114" s="321" t="s">
        <v>1255</v>
      </c>
      <c r="R114" s="321">
        <v>9151934666</v>
      </c>
      <c r="S114" s="156">
        <f t="shared" si="68"/>
        <v>9151934666</v>
      </c>
      <c r="T114" s="156" t="str">
        <f t="shared" si="96"/>
        <v/>
      </c>
      <c r="U114" s="321" t="s">
        <v>1423</v>
      </c>
      <c r="V114" s="321" t="s">
        <v>1276</v>
      </c>
      <c r="W114" s="321" t="s">
        <v>1284</v>
      </c>
      <c r="X114" s="321" t="s">
        <v>1285</v>
      </c>
      <c r="Y114" s="321" t="s">
        <v>1262</v>
      </c>
      <c r="Z114" s="321" t="s">
        <v>70</v>
      </c>
      <c r="AA114" s="321" t="s">
        <v>1391</v>
      </c>
      <c r="AC114" s="321" t="s">
        <v>1025</v>
      </c>
      <c r="AH114" s="321" t="s">
        <v>52</v>
      </c>
      <c r="AI114" s="321" t="s">
        <v>338</v>
      </c>
      <c r="AJ114" s="156" t="s">
        <v>1294</v>
      </c>
      <c r="AL114" s="321" t="s">
        <v>1252</v>
      </c>
      <c r="AN114" s="334">
        <v>33324</v>
      </c>
      <c r="AO114" s="321" t="s">
        <v>1351</v>
      </c>
      <c r="AP114" s="321" t="s">
        <v>1351</v>
      </c>
      <c r="AQ114" s="321" t="s">
        <v>50</v>
      </c>
      <c r="AR114" s="321" t="s">
        <v>378</v>
      </c>
      <c r="AS114" s="332">
        <v>42072</v>
      </c>
      <c r="AT114" s="318">
        <v>42072</v>
      </c>
      <c r="AU114" s="318">
        <v>42072</v>
      </c>
      <c r="AV114" s="329">
        <v>42072</v>
      </c>
      <c r="AW114" s="332">
        <v>42074</v>
      </c>
      <c r="AX114" s="317" t="s">
        <v>1413</v>
      </c>
      <c r="AY114" s="318">
        <v>42083</v>
      </c>
      <c r="AZ114" s="317">
        <v>2</v>
      </c>
      <c r="BA114" s="317">
        <v>2</v>
      </c>
      <c r="BB114" s="326"/>
      <c r="BC114" s="332">
        <v>42072</v>
      </c>
      <c r="BD114" s="326" t="s">
        <v>1347</v>
      </c>
      <c r="BE114" s="332">
        <v>42082</v>
      </c>
      <c r="BF114" s="326" t="s">
        <v>1617</v>
      </c>
      <c r="BG114" s="332">
        <v>42090</v>
      </c>
      <c r="BH114" s="385" t="s">
        <v>1794</v>
      </c>
      <c r="BI114" s="329">
        <v>42090</v>
      </c>
      <c r="BJ114" s="332">
        <v>42072</v>
      </c>
      <c r="BK114" s="317"/>
      <c r="BL114" s="326"/>
      <c r="BM114" s="332">
        <v>42072</v>
      </c>
      <c r="BN114" s="317"/>
      <c r="BO114" s="326"/>
      <c r="BP114" s="332">
        <v>42083</v>
      </c>
      <c r="BQ114" s="318">
        <v>42083</v>
      </c>
      <c r="BR114" s="326"/>
      <c r="BS114" s="332">
        <v>42073</v>
      </c>
      <c r="BT114" s="318">
        <v>42073</v>
      </c>
      <c r="BU114" s="329">
        <v>42073</v>
      </c>
      <c r="BV114" s="326"/>
      <c r="BW114" s="275" t="str">
        <f t="shared" si="97"/>
        <v xml:space="preserve">MDR 3/27/2015, </v>
      </c>
      <c r="BX114" s="275">
        <f t="shared" si="104"/>
        <v>11</v>
      </c>
      <c r="BY114" s="275">
        <f t="shared" si="65"/>
        <v>11</v>
      </c>
      <c r="BZ114" s="277">
        <f t="shared" si="112"/>
        <v>1</v>
      </c>
      <c r="CA114" s="168" t="str">
        <f t="shared" si="103"/>
        <v/>
      </c>
      <c r="CB114" s="151" t="str">
        <f t="shared" si="113"/>
        <v/>
      </c>
      <c r="CC114" s="153" t="str">
        <f t="shared" ca="1" si="114"/>
        <v/>
      </c>
      <c r="CD114" s="153" t="str">
        <f t="shared" si="115"/>
        <v/>
      </c>
      <c r="CE114" s="153" t="str">
        <f t="shared" si="116"/>
        <v/>
      </c>
      <c r="CF114" s="396" t="str">
        <f t="shared" si="117"/>
        <v/>
      </c>
      <c r="CG114" s="397" t="str">
        <f t="shared" si="118"/>
        <v/>
      </c>
      <c r="CH114" s="153" t="str">
        <f t="shared" si="119"/>
        <v/>
      </c>
      <c r="CI114" s="151" t="str">
        <f t="shared" si="92"/>
        <v/>
      </c>
      <c r="CJ114" s="151">
        <f t="shared" si="75"/>
        <v>42104</v>
      </c>
      <c r="CK114" s="153">
        <f t="shared" si="76"/>
        <v>6</v>
      </c>
      <c r="CL114" s="153">
        <f t="shared" si="77"/>
        <v>6</v>
      </c>
      <c r="CM114" s="153">
        <f t="shared" si="78"/>
        <v>6</v>
      </c>
      <c r="CN114" s="153">
        <f t="shared" si="79"/>
        <v>6</v>
      </c>
      <c r="CO114" s="153">
        <f t="shared" si="80"/>
        <v>6</v>
      </c>
      <c r="CP114" s="153">
        <f t="shared" si="81"/>
        <v>6</v>
      </c>
      <c r="CQ114" s="153">
        <f t="shared" si="82"/>
        <v>6</v>
      </c>
      <c r="CR114" s="153">
        <f t="shared" si="83"/>
        <v>6</v>
      </c>
      <c r="CS114" s="153">
        <f t="shared" si="84"/>
        <v>6</v>
      </c>
      <c r="CT114" s="153">
        <f t="shared" si="109"/>
        <v>6</v>
      </c>
      <c r="CU114" s="153">
        <f t="shared" si="110"/>
        <v>6</v>
      </c>
      <c r="CV114" s="153">
        <f t="shared" si="111"/>
        <v>6</v>
      </c>
      <c r="CW114" s="153">
        <f t="shared" si="88"/>
        <v>6</v>
      </c>
      <c r="CX114" s="153">
        <f t="shared" si="89"/>
        <v>1</v>
      </c>
      <c r="CY114" s="156">
        <f t="shared" si="90"/>
        <v>6</v>
      </c>
      <c r="CZ114" s="321">
        <f t="shared" si="93"/>
        <v>11</v>
      </c>
      <c r="DA114" s="321">
        <f t="shared" si="94"/>
        <v>1</v>
      </c>
      <c r="DB114" s="321">
        <f t="shared" si="95"/>
        <v>1</v>
      </c>
    </row>
    <row r="115" spans="1:106" s="321" customFormat="1" x14ac:dyDescent="0.25">
      <c r="A115" s="382">
        <v>187</v>
      </c>
      <c r="B115" s="334">
        <v>42072</v>
      </c>
      <c r="C115" s="321">
        <v>1082331</v>
      </c>
      <c r="D115" s="321" t="s">
        <v>1270</v>
      </c>
      <c r="E115" s="321" t="str">
        <f t="shared" si="101"/>
        <v/>
      </c>
      <c r="F115" s="321" t="str">
        <f t="shared" si="102"/>
        <v xml:space="preserve">COE, </v>
      </c>
      <c r="G115" s="321" t="s">
        <v>1289</v>
      </c>
      <c r="K115" s="490" t="str">
        <f t="shared" ca="1" si="107"/>
        <v/>
      </c>
      <c r="M115" s="334">
        <v>42076</v>
      </c>
      <c r="N115" s="156" t="str">
        <f t="shared" si="61"/>
        <v/>
      </c>
      <c r="O115" s="321" t="s">
        <v>302</v>
      </c>
      <c r="Q115" s="321" t="s">
        <v>1256</v>
      </c>
      <c r="R115" s="321">
        <v>9059244355</v>
      </c>
      <c r="S115" s="156">
        <f t="shared" si="68"/>
        <v>9059244355</v>
      </c>
      <c r="T115" s="156" t="str">
        <f t="shared" si="96"/>
        <v/>
      </c>
      <c r="U115" s="321" t="s">
        <v>1424</v>
      </c>
      <c r="V115" s="321" t="s">
        <v>1277</v>
      </c>
      <c r="W115" s="321" t="s">
        <v>1242</v>
      </c>
      <c r="X115" s="321" t="s">
        <v>1286</v>
      </c>
      <c r="Y115" s="321" t="s">
        <v>1262</v>
      </c>
      <c r="Z115" s="321" t="s">
        <v>70</v>
      </c>
      <c r="AA115" s="321" t="s">
        <v>1391</v>
      </c>
      <c r="AC115" s="321" t="s">
        <v>1025</v>
      </c>
      <c r="AH115" s="321" t="s">
        <v>52</v>
      </c>
      <c r="AI115" s="321" t="s">
        <v>1257</v>
      </c>
      <c r="AJ115" s="156"/>
      <c r="AL115" s="321" t="s">
        <v>1252</v>
      </c>
      <c r="AN115" s="334">
        <v>34045</v>
      </c>
      <c r="AO115" s="321" t="s">
        <v>1350</v>
      </c>
      <c r="AP115" s="321" t="s">
        <v>1350</v>
      </c>
      <c r="AQ115" s="321" t="s">
        <v>50</v>
      </c>
      <c r="AR115" s="321" t="s">
        <v>378</v>
      </c>
      <c r="AS115" s="332">
        <v>42072</v>
      </c>
      <c r="AT115" s="318">
        <v>42072</v>
      </c>
      <c r="AU115" s="318">
        <v>42072</v>
      </c>
      <c r="AV115" s="329">
        <v>42072</v>
      </c>
      <c r="AW115" s="332">
        <v>42074</v>
      </c>
      <c r="AX115" s="317" t="s">
        <v>1402</v>
      </c>
      <c r="AY115" s="317"/>
      <c r="AZ115" s="317">
        <v>3</v>
      </c>
      <c r="BA115" s="318">
        <v>42072</v>
      </c>
      <c r="BB115" s="326"/>
      <c r="BC115" s="332">
        <v>42074</v>
      </c>
      <c r="BD115" s="326" t="s">
        <v>1401</v>
      </c>
      <c r="BE115" s="332">
        <v>42082</v>
      </c>
      <c r="BF115" s="326" t="s">
        <v>1616</v>
      </c>
      <c r="BG115" s="332">
        <v>42090</v>
      </c>
      <c r="BH115" s="385" t="s">
        <v>1822</v>
      </c>
      <c r="BI115" s="329">
        <v>42090</v>
      </c>
      <c r="BJ115" s="332">
        <v>42074</v>
      </c>
      <c r="BK115" s="317"/>
      <c r="BL115" s="326"/>
      <c r="BM115" s="332">
        <v>42074</v>
      </c>
      <c r="BN115" s="317"/>
      <c r="BO115" s="326"/>
      <c r="BP115" s="332">
        <v>42072</v>
      </c>
      <c r="BQ115" s="318">
        <v>42074</v>
      </c>
      <c r="BR115" s="326"/>
      <c r="BS115" s="332">
        <v>42073</v>
      </c>
      <c r="BT115" s="318">
        <v>42073</v>
      </c>
      <c r="BU115" s="329">
        <v>42073</v>
      </c>
      <c r="BV115" s="326"/>
      <c r="BW115" s="275" t="str">
        <f t="shared" si="97"/>
        <v xml:space="preserve">2305 3/9/2015, MDR 3/27/2015, </v>
      </c>
      <c r="BX115" s="275">
        <f t="shared" si="104"/>
        <v>11</v>
      </c>
      <c r="BY115" s="275">
        <f t="shared" si="65"/>
        <v>11</v>
      </c>
      <c r="BZ115" s="277">
        <f t="shared" si="112"/>
        <v>1</v>
      </c>
      <c r="CA115" s="168" t="str">
        <f t="shared" si="103"/>
        <v/>
      </c>
      <c r="CB115" s="151" t="str">
        <f t="shared" si="113"/>
        <v/>
      </c>
      <c r="CC115" s="153" t="str">
        <f t="shared" ca="1" si="114"/>
        <v/>
      </c>
      <c r="CD115" s="153" t="str">
        <f t="shared" si="115"/>
        <v/>
      </c>
      <c r="CE115" s="153" t="str">
        <f t="shared" si="116"/>
        <v/>
      </c>
      <c r="CF115" s="396" t="str">
        <f t="shared" si="117"/>
        <v/>
      </c>
      <c r="CG115" s="397" t="str">
        <f t="shared" si="118"/>
        <v/>
      </c>
      <c r="CH115" s="153" t="str">
        <f t="shared" si="119"/>
        <v/>
      </c>
      <c r="CI115" s="151" t="str">
        <f t="shared" si="92"/>
        <v/>
      </c>
      <c r="CJ115" s="151">
        <f t="shared" si="75"/>
        <v>42104</v>
      </c>
      <c r="CK115" s="153">
        <f t="shared" si="76"/>
        <v>7</v>
      </c>
      <c r="CL115" s="153">
        <f t="shared" si="77"/>
        <v>7</v>
      </c>
      <c r="CM115" s="153">
        <f t="shared" si="78"/>
        <v>7</v>
      </c>
      <c r="CN115" s="153">
        <f t="shared" si="79"/>
        <v>7</v>
      </c>
      <c r="CO115" s="153">
        <f t="shared" si="80"/>
        <v>7</v>
      </c>
      <c r="CP115" s="153">
        <f t="shared" si="81"/>
        <v>7</v>
      </c>
      <c r="CQ115" s="153">
        <f t="shared" si="82"/>
        <v>7</v>
      </c>
      <c r="CR115" s="153">
        <f t="shared" si="83"/>
        <v>7</v>
      </c>
      <c r="CS115" s="153">
        <f t="shared" si="84"/>
        <v>7</v>
      </c>
      <c r="CT115" s="153">
        <f t="shared" si="109"/>
        <v>7</v>
      </c>
      <c r="CU115" s="153">
        <f t="shared" si="110"/>
        <v>7</v>
      </c>
      <c r="CV115" s="153">
        <f t="shared" si="111"/>
        <v>7</v>
      </c>
      <c r="CW115" s="153">
        <f t="shared" si="88"/>
        <v>7</v>
      </c>
      <c r="CX115" s="153">
        <f t="shared" si="89"/>
        <v>1</v>
      </c>
      <c r="CY115" s="156">
        <f t="shared" si="90"/>
        <v>7</v>
      </c>
      <c r="CZ115" s="321">
        <f t="shared" si="93"/>
        <v>4</v>
      </c>
      <c r="DA115" s="321">
        <f t="shared" si="94"/>
        <v>1</v>
      </c>
      <c r="DB115" s="321">
        <f t="shared" si="95"/>
        <v>1</v>
      </c>
    </row>
    <row r="116" spans="1:106" s="321" customFormat="1" x14ac:dyDescent="0.25">
      <c r="A116" s="382">
        <v>187</v>
      </c>
      <c r="B116" s="334">
        <v>42072</v>
      </c>
      <c r="C116" s="321">
        <v>1082332</v>
      </c>
      <c r="D116" s="321" t="s">
        <v>1271</v>
      </c>
      <c r="E116" s="321" t="str">
        <f t="shared" si="101"/>
        <v/>
      </c>
      <c r="F116" s="321" t="str">
        <f t="shared" si="102"/>
        <v xml:space="preserve">COE, </v>
      </c>
      <c r="G116" s="321" t="s">
        <v>1289</v>
      </c>
      <c r="K116" s="490" t="str">
        <f t="shared" ca="1" si="107"/>
        <v/>
      </c>
      <c r="M116" s="334">
        <v>42102</v>
      </c>
      <c r="N116" s="156" t="str">
        <f t="shared" si="61"/>
        <v/>
      </c>
      <c r="O116" s="321" t="s">
        <v>302</v>
      </c>
      <c r="Q116" s="321" t="s">
        <v>1258</v>
      </c>
      <c r="R116" s="321">
        <v>9065846093</v>
      </c>
      <c r="S116" s="156">
        <f t="shared" si="68"/>
        <v>9065846093</v>
      </c>
      <c r="T116" s="156" t="str">
        <f t="shared" si="96"/>
        <v/>
      </c>
      <c r="U116" s="321" t="s">
        <v>1425</v>
      </c>
      <c r="V116" s="321" t="s">
        <v>1278</v>
      </c>
      <c r="W116" s="321" t="s">
        <v>1287</v>
      </c>
      <c r="X116" s="321" t="s">
        <v>1288</v>
      </c>
      <c r="Y116" s="321" t="s">
        <v>1262</v>
      </c>
      <c r="Z116" s="321" t="s">
        <v>70</v>
      </c>
      <c r="AA116" s="321" t="s">
        <v>1391</v>
      </c>
      <c r="AC116" s="321" t="s">
        <v>1025</v>
      </c>
      <c r="AH116" s="321" t="s">
        <v>52</v>
      </c>
      <c r="AI116" s="321" t="s">
        <v>338</v>
      </c>
      <c r="AJ116" s="156" t="s">
        <v>1295</v>
      </c>
      <c r="AL116" s="321" t="s">
        <v>1252</v>
      </c>
      <c r="AN116" s="334">
        <v>34528</v>
      </c>
      <c r="AO116" s="321" t="s">
        <v>1354</v>
      </c>
      <c r="AQ116" s="321" t="s">
        <v>50</v>
      </c>
      <c r="AR116" s="321" t="s">
        <v>378</v>
      </c>
      <c r="AS116" s="332">
        <v>42072</v>
      </c>
      <c r="AT116" s="318">
        <v>42072</v>
      </c>
      <c r="AU116" s="318">
        <v>42072</v>
      </c>
      <c r="AV116" s="329">
        <v>42072</v>
      </c>
      <c r="AW116" s="332">
        <v>42082</v>
      </c>
      <c r="AX116" s="317" t="s">
        <v>1639</v>
      </c>
      <c r="AY116" s="317"/>
      <c r="AZ116" s="318">
        <v>42082</v>
      </c>
      <c r="BA116" s="318">
        <v>42072</v>
      </c>
      <c r="BB116" s="326"/>
      <c r="BC116" s="332">
        <v>42072</v>
      </c>
      <c r="BD116" s="326" t="s">
        <v>1348</v>
      </c>
      <c r="BE116" s="332">
        <v>42074</v>
      </c>
      <c r="BF116" s="326" t="s">
        <v>1396</v>
      </c>
      <c r="BG116" s="332">
        <v>42073</v>
      </c>
      <c r="BH116" s="385" t="s">
        <v>1380</v>
      </c>
      <c r="BI116" s="329">
        <v>42073</v>
      </c>
      <c r="BJ116" s="332">
        <v>42072</v>
      </c>
      <c r="BK116" s="317"/>
      <c r="BL116" s="326"/>
      <c r="BM116" s="332">
        <v>42072</v>
      </c>
      <c r="BN116" s="317"/>
      <c r="BO116" s="326"/>
      <c r="BP116" s="332">
        <v>42072</v>
      </c>
      <c r="BQ116" s="318">
        <v>42136</v>
      </c>
      <c r="BR116" s="326"/>
      <c r="BS116" s="332">
        <v>42073</v>
      </c>
      <c r="BT116" s="318">
        <v>42073</v>
      </c>
      <c r="BU116" s="329">
        <v>42073</v>
      </c>
      <c r="BV116" s="326"/>
      <c r="BW116" s="275" t="str">
        <f t="shared" si="97"/>
        <v xml:space="preserve">1905 3/19/2015, 2305 3/9/2015, MDR 3/10/2015, </v>
      </c>
      <c r="BX116" s="275">
        <f t="shared" si="104"/>
        <v>11</v>
      </c>
      <c r="BY116" s="275">
        <f t="shared" si="65"/>
        <v>11</v>
      </c>
      <c r="BZ116" s="277">
        <f t="shared" si="112"/>
        <v>1</v>
      </c>
      <c r="CA116" s="168" t="str">
        <f t="shared" si="103"/>
        <v/>
      </c>
      <c r="CB116" s="151" t="str">
        <f t="shared" si="113"/>
        <v/>
      </c>
      <c r="CC116" s="153" t="str">
        <f t="shared" ca="1" si="114"/>
        <v/>
      </c>
      <c r="CD116" s="153" t="str">
        <f t="shared" si="115"/>
        <v/>
      </c>
      <c r="CE116" s="153" t="str">
        <f t="shared" si="116"/>
        <v/>
      </c>
      <c r="CF116" s="396" t="str">
        <f t="shared" si="117"/>
        <v/>
      </c>
      <c r="CG116" s="397" t="str">
        <f t="shared" si="118"/>
        <v/>
      </c>
      <c r="CH116" s="153" t="str">
        <f t="shared" si="119"/>
        <v/>
      </c>
      <c r="CI116" s="151" t="str">
        <f t="shared" si="92"/>
        <v/>
      </c>
      <c r="CJ116" s="151">
        <f t="shared" si="75"/>
        <v>42104</v>
      </c>
      <c r="CK116" s="153">
        <f t="shared" si="76"/>
        <v>8</v>
      </c>
      <c r="CL116" s="153">
        <f t="shared" si="77"/>
        <v>8</v>
      </c>
      <c r="CM116" s="153">
        <f t="shared" si="78"/>
        <v>8</v>
      </c>
      <c r="CN116" s="153">
        <f t="shared" si="79"/>
        <v>8</v>
      </c>
      <c r="CO116" s="153">
        <f t="shared" si="80"/>
        <v>8</v>
      </c>
      <c r="CP116" s="153">
        <f t="shared" si="81"/>
        <v>8</v>
      </c>
      <c r="CQ116" s="153">
        <f t="shared" si="82"/>
        <v>8</v>
      </c>
      <c r="CR116" s="153">
        <f t="shared" si="83"/>
        <v>8</v>
      </c>
      <c r="CS116" s="153">
        <f t="shared" si="84"/>
        <v>8</v>
      </c>
      <c r="CT116" s="153">
        <f t="shared" si="109"/>
        <v>8</v>
      </c>
      <c r="CU116" s="153">
        <f t="shared" si="110"/>
        <v>8</v>
      </c>
      <c r="CV116" s="153">
        <f t="shared" si="111"/>
        <v>8</v>
      </c>
      <c r="CW116" s="153">
        <f t="shared" si="88"/>
        <v>8</v>
      </c>
      <c r="CX116" s="153">
        <f t="shared" si="89"/>
        <v>1</v>
      </c>
      <c r="CY116" s="156">
        <f t="shared" si="90"/>
        <v>8</v>
      </c>
      <c r="CZ116" s="321">
        <f t="shared" si="93"/>
        <v>30</v>
      </c>
      <c r="DA116" s="321">
        <f t="shared" si="94"/>
        <v>1</v>
      </c>
      <c r="DB116" s="321">
        <f t="shared" si="95"/>
        <v>1</v>
      </c>
    </row>
    <row r="117" spans="1:106" s="317" customFormat="1" x14ac:dyDescent="0.25">
      <c r="A117" s="384">
        <v>187</v>
      </c>
      <c r="B117" s="318">
        <v>42072</v>
      </c>
      <c r="C117" s="317">
        <v>1082333</v>
      </c>
      <c r="D117" s="317" t="s">
        <v>1272</v>
      </c>
      <c r="E117" s="317" t="str">
        <f t="shared" si="101"/>
        <v/>
      </c>
      <c r="F117" s="317" t="str">
        <f t="shared" si="102"/>
        <v xml:space="preserve">COE, </v>
      </c>
      <c r="G117" s="321" t="s">
        <v>1289</v>
      </c>
      <c r="H117" s="321"/>
      <c r="I117" s="321"/>
      <c r="J117" s="321"/>
      <c r="K117" s="152" t="str">
        <f t="shared" ca="1" si="107"/>
        <v/>
      </c>
      <c r="L117" s="318">
        <v>42104</v>
      </c>
      <c r="M117" s="318">
        <v>42102</v>
      </c>
      <c r="N117" s="153" t="str">
        <f t="shared" si="61"/>
        <v/>
      </c>
      <c r="O117" s="317" t="s">
        <v>302</v>
      </c>
      <c r="Q117" s="317" t="s">
        <v>1260</v>
      </c>
      <c r="R117" s="317">
        <v>9261415185</v>
      </c>
      <c r="S117" s="153">
        <f t="shared" si="68"/>
        <v>9261415185</v>
      </c>
      <c r="T117" s="153" t="str">
        <f t="shared" si="96"/>
        <v/>
      </c>
      <c r="U117" s="317" t="s">
        <v>1426</v>
      </c>
      <c r="V117" s="317" t="s">
        <v>1279</v>
      </c>
      <c r="W117" s="317" t="s">
        <v>1289</v>
      </c>
      <c r="X117" s="317" t="s">
        <v>1290</v>
      </c>
      <c r="Y117" s="317" t="s">
        <v>1262</v>
      </c>
      <c r="Z117" s="317" t="s">
        <v>70</v>
      </c>
      <c r="AA117" s="317" t="s">
        <v>1391</v>
      </c>
      <c r="AC117" s="317" t="s">
        <v>1025</v>
      </c>
      <c r="AH117" s="317" t="s">
        <v>52</v>
      </c>
      <c r="AI117" s="317" t="s">
        <v>1259</v>
      </c>
      <c r="AJ117" s="153" t="str">
        <f>IF(IFERROR(SEARCH("ERP",AI117),0)&gt;0,SUBSTITUTE(AI117,"ERP - ",""),"")</f>
        <v>Czarina Reyes</v>
      </c>
      <c r="AL117" s="317" t="s">
        <v>1252</v>
      </c>
      <c r="AN117" s="318">
        <v>34178</v>
      </c>
      <c r="AO117" s="317" t="s">
        <v>1352</v>
      </c>
      <c r="AP117" s="317" t="s">
        <v>1353</v>
      </c>
      <c r="AQ117" s="317" t="s">
        <v>50</v>
      </c>
      <c r="AR117" s="317" t="s">
        <v>378</v>
      </c>
      <c r="AS117" s="332">
        <v>42072</v>
      </c>
      <c r="AT117" s="318">
        <v>42072</v>
      </c>
      <c r="AU117" s="318">
        <v>42072</v>
      </c>
      <c r="AV117" s="329">
        <v>42072</v>
      </c>
      <c r="AW117" s="332">
        <v>42089</v>
      </c>
      <c r="AX117" s="317" t="s">
        <v>1767</v>
      </c>
      <c r="AZ117" s="318">
        <v>42089</v>
      </c>
      <c r="BA117" s="318">
        <v>42072</v>
      </c>
      <c r="BB117" s="326"/>
      <c r="BC117" s="332">
        <v>42110</v>
      </c>
      <c r="BD117" s="326" t="s">
        <v>1347</v>
      </c>
      <c r="BE117" s="332">
        <v>42074</v>
      </c>
      <c r="BF117" s="326" t="s">
        <v>1397</v>
      </c>
      <c r="BG117" s="332">
        <v>42073</v>
      </c>
      <c r="BH117" s="385" t="s">
        <v>1379</v>
      </c>
      <c r="BI117" s="329">
        <v>42073</v>
      </c>
      <c r="BJ117" s="332">
        <v>42072</v>
      </c>
      <c r="BL117" s="326"/>
      <c r="BM117" s="332">
        <v>42072</v>
      </c>
      <c r="BO117" s="326"/>
      <c r="BP117" s="332">
        <v>42072</v>
      </c>
      <c r="BQ117" s="318">
        <v>42073</v>
      </c>
      <c r="BR117" s="326"/>
      <c r="BS117" s="332">
        <v>42073</v>
      </c>
      <c r="BT117" s="318">
        <v>42073</v>
      </c>
      <c r="BU117" s="329">
        <v>42073</v>
      </c>
      <c r="BV117" s="326"/>
      <c r="BW117" s="275" t="str">
        <f t="shared" si="97"/>
        <v xml:space="preserve">1905 3/26/2015, 2305 3/9/2015, MDR 3/10/2015, </v>
      </c>
      <c r="BX117" s="275">
        <f t="shared" si="104"/>
        <v>11</v>
      </c>
      <c r="BY117" s="275">
        <f t="shared" si="65"/>
        <v>11</v>
      </c>
      <c r="BZ117" s="277">
        <f t="shared" si="112"/>
        <v>1</v>
      </c>
      <c r="CA117" s="168" t="str">
        <f t="shared" si="103"/>
        <v/>
      </c>
      <c r="CB117" s="151" t="str">
        <f t="shared" si="113"/>
        <v/>
      </c>
      <c r="CC117" s="153" t="str">
        <f t="shared" ca="1" si="114"/>
        <v/>
      </c>
      <c r="CD117" s="153" t="str">
        <f t="shared" si="115"/>
        <v/>
      </c>
      <c r="CE117" s="153" t="str">
        <f t="shared" si="116"/>
        <v/>
      </c>
      <c r="CF117" s="396" t="str">
        <f t="shared" si="117"/>
        <v/>
      </c>
      <c r="CG117" s="397" t="str">
        <f t="shared" si="118"/>
        <v/>
      </c>
      <c r="CH117" s="153" t="str">
        <f t="shared" si="119"/>
        <v/>
      </c>
      <c r="CI117" s="151" t="str">
        <f t="shared" si="92"/>
        <v/>
      </c>
      <c r="CJ117" s="151">
        <f t="shared" si="75"/>
        <v>42104</v>
      </c>
      <c r="CK117" s="153">
        <f t="shared" si="76"/>
        <v>9</v>
      </c>
      <c r="CL117" s="153">
        <f t="shared" si="77"/>
        <v>9</v>
      </c>
      <c r="CM117" s="153">
        <f t="shared" si="78"/>
        <v>9</v>
      </c>
      <c r="CN117" s="153">
        <f t="shared" si="79"/>
        <v>9</v>
      </c>
      <c r="CO117" s="153">
        <f t="shared" si="80"/>
        <v>9</v>
      </c>
      <c r="CP117" s="153">
        <f t="shared" si="81"/>
        <v>9</v>
      </c>
      <c r="CQ117" s="153">
        <f t="shared" si="82"/>
        <v>9</v>
      </c>
      <c r="CR117" s="153">
        <f t="shared" si="83"/>
        <v>9</v>
      </c>
      <c r="CS117" s="153">
        <f t="shared" si="84"/>
        <v>9</v>
      </c>
      <c r="CT117" s="153">
        <f t="shared" si="109"/>
        <v>9</v>
      </c>
      <c r="CU117" s="153">
        <f t="shared" si="110"/>
        <v>9</v>
      </c>
      <c r="CV117" s="153">
        <f t="shared" si="111"/>
        <v>9</v>
      </c>
      <c r="CW117" s="153">
        <f t="shared" si="88"/>
        <v>9</v>
      </c>
      <c r="CX117" s="153">
        <f t="shared" si="89"/>
        <v>1</v>
      </c>
      <c r="CY117" s="153">
        <f t="shared" si="90"/>
        <v>9</v>
      </c>
      <c r="CZ117" s="317">
        <f t="shared" si="93"/>
        <v>30</v>
      </c>
      <c r="DA117" s="317">
        <f t="shared" si="94"/>
        <v>1</v>
      </c>
      <c r="DB117" s="317">
        <f t="shared" si="95"/>
        <v>1</v>
      </c>
    </row>
    <row r="118" spans="1:106" s="113" customFormat="1" x14ac:dyDescent="0.25">
      <c r="A118" s="132">
        <v>187</v>
      </c>
      <c r="B118" s="129">
        <v>42072</v>
      </c>
      <c r="C118" s="113">
        <v>1082334</v>
      </c>
      <c r="D118" s="113" t="s">
        <v>1337</v>
      </c>
      <c r="E118" s="113" t="str">
        <f t="shared" si="101"/>
        <v/>
      </c>
      <c r="F118" s="113" t="str">
        <f t="shared" si="102"/>
        <v/>
      </c>
      <c r="G118" s="113" t="s">
        <v>474</v>
      </c>
      <c r="K118" s="152" t="str">
        <f t="shared" ca="1" si="107"/>
        <v/>
      </c>
      <c r="N118" s="153" t="str">
        <f t="shared" si="61"/>
        <v/>
      </c>
      <c r="O118" s="113" t="s">
        <v>298</v>
      </c>
      <c r="P118" s="113" t="s">
        <v>689</v>
      </c>
      <c r="Q118" s="113" t="s">
        <v>1299</v>
      </c>
      <c r="R118" s="113">
        <v>9176317640</v>
      </c>
      <c r="S118" s="153">
        <f t="shared" si="68"/>
        <v>9176317640</v>
      </c>
      <c r="T118" s="153" t="str">
        <f t="shared" si="96"/>
        <v/>
      </c>
      <c r="U118" s="8" t="s">
        <v>1368</v>
      </c>
      <c r="V118" s="113" t="s">
        <v>1298</v>
      </c>
      <c r="W118" s="113" t="s">
        <v>1296</v>
      </c>
      <c r="X118" s="113" t="s">
        <v>1297</v>
      </c>
      <c r="Y118" s="113" t="s">
        <v>73</v>
      </c>
      <c r="Z118" s="113" t="s">
        <v>74</v>
      </c>
      <c r="AA118" s="113" t="s">
        <v>1232</v>
      </c>
      <c r="AC118" s="113" t="s">
        <v>741</v>
      </c>
      <c r="AD118" s="113" t="s">
        <v>1234</v>
      </c>
      <c r="AH118" s="113" t="s">
        <v>52</v>
      </c>
      <c r="AI118" s="113" t="s">
        <v>253</v>
      </c>
      <c r="AJ118" s="153" t="str">
        <f t="shared" ref="AJ118:AJ158" si="120">IF(IFERROR(SEARCH("ERP",AI118),0)&gt;0,SUBSTITUTE(AI118,"ERP - ",""),"")</f>
        <v/>
      </c>
      <c r="AL118" s="113" t="s">
        <v>254</v>
      </c>
      <c r="AN118" s="129">
        <v>32325</v>
      </c>
      <c r="AO118" s="113" t="s">
        <v>1382</v>
      </c>
      <c r="AP118" s="113" t="s">
        <v>1382</v>
      </c>
      <c r="AQ118" s="113" t="s">
        <v>53</v>
      </c>
      <c r="AR118" s="113" t="s">
        <v>378</v>
      </c>
      <c r="AS118" s="187">
        <v>42074</v>
      </c>
      <c r="AT118" s="129">
        <v>42074</v>
      </c>
      <c r="AU118" s="129">
        <v>42070</v>
      </c>
      <c r="AV118" s="129">
        <v>42074</v>
      </c>
      <c r="AW118" s="187"/>
      <c r="BC118" s="187">
        <v>42074</v>
      </c>
      <c r="BD118" s="113" t="s">
        <v>1414</v>
      </c>
      <c r="BE118" s="165"/>
      <c r="BG118" s="165"/>
      <c r="BH118" s="274"/>
      <c r="BJ118" s="165"/>
      <c r="BM118" s="165"/>
      <c r="BP118" s="165"/>
      <c r="BQ118" s="129">
        <v>42074</v>
      </c>
      <c r="BS118" s="187">
        <v>42072</v>
      </c>
      <c r="BT118" s="129">
        <v>42072</v>
      </c>
      <c r="BU118" s="129">
        <v>42072</v>
      </c>
      <c r="BV118" s="293"/>
      <c r="BW118" s="275" t="str">
        <f t="shared" si="97"/>
        <v/>
      </c>
      <c r="BX118" s="275" t="str">
        <f t="shared" si="104"/>
        <v/>
      </c>
      <c r="BY118" s="275" t="str">
        <f t="shared" si="65"/>
        <v/>
      </c>
      <c r="BZ118" s="277" t="str">
        <f t="shared" ref="BZ118:BZ124" si="121">IFERROR(BX118/BY118,"")</f>
        <v/>
      </c>
      <c r="CA118" s="168" t="str">
        <f t="shared" si="103"/>
        <v/>
      </c>
      <c r="CB118" s="151" t="str">
        <f t="shared" ref="CB118:CB124" si="122">IFERROR(CA118*7+40763,"")</f>
        <v/>
      </c>
      <c r="CC118" s="153" t="str">
        <f t="shared" ref="CC118:CC124" ca="1" si="123">IFERROR(ROUND(IF(CB118="","",(TODAY()-CB118)/7)+1,0),"")</f>
        <v/>
      </c>
      <c r="CD118" s="153" t="str">
        <f t="shared" ref="CD118:CD124" si="124">IF(CG118="","",CY118)</f>
        <v/>
      </c>
      <c r="CE118" s="153" t="str">
        <f t="shared" ref="CE118:CE124" si="125">IF(CG118="","",CW118)</f>
        <v/>
      </c>
      <c r="CF118" s="396" t="str">
        <f t="shared" ref="CF118:CF124" si="126">IF(CG118="","",CY118-CW118)</f>
        <v/>
      </c>
      <c r="CG118" s="397" t="str">
        <f t="shared" ref="CG118:CG124" si="127">IF(CB118="","",SUM(CK118:CU118)/((CY118)*11))</f>
        <v/>
      </c>
      <c r="CH118" s="153" t="str">
        <f t="shared" ref="CH118:CH124" si="128">IF(CB118="","",IF(MIN(CK118:CU118)&gt;CY118,"",CONCATENATE(IF(SUM(IF(CK118&lt;CL118,1,0),IF(CK118&lt;CM118,1,0),IF(CK118&lt;CN118,1,0),IF(CK118&lt;CO118,1,0),IF(CK118&lt;CP118,1,0),IF(CK118&lt;CQ118,1,0),IF(CK118&lt;CR118,1,0),IF(CK118&lt;CS118,1,0),IF(CK118&lt;CT118,1,0),IF(CK118&lt;CU118,1,0))&gt;7,"SSS ("&amp;CY118-CK118&amp;") ",""),IF(SUM(IF(CL118&lt;CK118,1,0),IF(CL118&lt;CM118,1,0),IF(CL118&lt;CN118,1,0),IF(CL118&lt;CO118,1,0),IF(CL118&lt;CP118,1,0),IF(CL118&lt;CQ118,1,0),IF(CL118&lt;CR118,1,0),IF(CL118&lt;CS118,1,0),IF(CL118&lt;CT118,1,0),IF(CL118&lt;CU118,1,0))&gt;7,"HDMF ("&amp;CY118-CL118&amp;") ",""),IF(SUM(IF(CM118&lt;CK118,1,0),IF(CM118&lt;CL118,1,0),IF(CM118&lt;CN118,1,0),IF(CM118&lt;CO118,1,0),IF(CM118&lt;CP118,1,0),IF(CM118&lt;CQ118,1,0),IF(CM118&lt;CR118,1,0),IF(CM118&lt;CS118,1,0),IF(CM118&lt;CT118,1,0),IF(CM118&lt;CU118,1,0))&gt;7,"PHIC ("&amp;CY118-CM118&amp;") ",""),IF(SUM(IF(CN118&lt;CK118,1,0),IF(CN118&lt;CL118,1,0),IF(CN118&lt;CM118,1,0),IF(CN118&lt;CO118,1,0),IF(CN118&lt;CP118,1,0),IF(CN118&lt;CQ118,1,0),IF(CN118&lt;CR118,1,0),IF(CN118&lt;CS118,1,0),IF(CN118&lt;CT118,1,0),IF(CN118&lt;CU118,1,0))&gt;7,"NBI ("&amp;CY118-CN118&amp;") ",""),IF(SUM(IF(CO118&lt;CK118,1,0),IF(CO118&lt;CL118,1,0),IF(CO118&lt;CN118,1,0),IF(CO118&lt;CM118,1,0),IF(CO118&lt;CP118,1,0),IF(CO118&lt;CQ118,1,0),IF(CO118&lt;CR118,1,0),IF(CO118&lt;CS118,1,0),IF(CO118&lt;CT118,1,0),IF(CO118&lt;CU118,1,0))&gt;7,"NSO ("&amp;CY118-CO118&amp;") ",""),IF(SUM(IF(CP118&lt;CK118,1,0),IF(CP118&lt;CL118,1,0),IF(CP118&lt;CN118,1,0),IF(CP118&lt;CO118,1,0),IF(CP118&lt;CM118,1,0),IF(CP118&lt;CQ118,1,0),IF(CP118&lt;CR118,1,0),IF(CP118&lt;CS118,1,0),IF(CP118&lt;CT118,1,0),IF(CP118&lt;CU118,1,0))&gt;7,"Info ("&amp;CY118-CP118&amp;") ",""),IF(SUM(IF(CQ118&lt;CK118,1,0),IF(CQ118&lt;CL118,1,0),IF(CQ118&lt;CN118,1,0),IF(CQ118&lt;CO118,1,0),IF(CQ118&lt;CP118,1,0),IF(CQ118&lt;CM118,1,0),IF(CQ118&lt;CR118,1,0),IF(CQ118&lt;CS118,1,0),IF(CQ118&lt;CT118,1,0),IF(CQ118&lt;CU118,1,0))&gt;7,"AWOL ("&amp;CY118-CQ118&amp;") ",""),IF(SUM(IF(CR118&lt;CK118,1,0),IF(CR118&lt;CL118,1,0),IF(CR118&lt;CN118,1,0),IF(CR118&lt;CO118,1,0),IF(CR118&lt;CP118,1,0),IF(CR118&lt;CQ118,1,0),IF(CR118&lt;CM118,1,0),IF(CR118&lt;CS118,1,0),IF(CR118&lt;CT118,1,0),IF(CR118&lt;CU118,1,0))&gt;7,"Hand ("&amp;CY118-CR118&amp;") ",""),IF(SUM(IF(CS118&lt;CK118,1,0),IF(CS118&lt;CL118,1,0),IF(CS118&lt;CN118,1,0),IF(CS118&lt;CO118,1,0),IF(CS118&lt;CP118,1,0),IF(CS118&lt;CQ118,1,0),IF(CS118&lt;CR118,1,0),IF(CS118&lt;CM118,1,0),IF(CS118&lt;CT118,1,0),IF(CS118&lt;CU118,1,0))&gt;7,"Waiver ("&amp;CY118-CS118&amp;") ",""),IF(SUM(IF(CT118&lt;CK118,1,0),IF(CT118&lt;CL118,1,0),IF(CT118&lt;CN118,1,0),IF(CT118&lt;CO118,1,0),IF(CT118&lt;CP118,1,0),IF(CT118&lt;CQ118,1,0),IF(CT118&lt;CR118,1,0),IF(CT118&lt;CS118,1,0),IF(CT118&lt;CM118,1,0),IF(CT118&lt;CU118,1,0))&gt;7,"TIN ("&amp;CY118-CT118&amp;") ",""),IF(SUM(IF(CU118&lt;CK118,1,0),IF(CU118&lt;CL118,1,0),IF(CU118&lt;CN118,1,0),IF(CU118&lt;CO118,1,0),IF(CU118&lt;CP118,1,0),IF(CU118&lt;CQ118,1,0),IF(CU118&lt;CR118,1,0),IF(CU118&lt;CS118,1,0),IF(CU118&lt;CT118,1,0),IF(CU118&lt;CM118,1,0))&gt;7,"1905 ("&amp;CY118-CU118&amp;") ",""))))</f>
        <v/>
      </c>
      <c r="CI118" s="151" t="str">
        <f t="shared" si="92"/>
        <v/>
      </c>
      <c r="CJ118" s="151">
        <f t="shared" si="75"/>
        <v>42104</v>
      </c>
      <c r="CK118" s="153">
        <f t="shared" si="76"/>
        <v>9</v>
      </c>
      <c r="CL118" s="153">
        <f t="shared" si="77"/>
        <v>9</v>
      </c>
      <c r="CM118" s="153">
        <f t="shared" si="78"/>
        <v>9</v>
      </c>
      <c r="CN118" s="153">
        <f t="shared" si="79"/>
        <v>9</v>
      </c>
      <c r="CO118" s="153">
        <f t="shared" si="80"/>
        <v>9</v>
      </c>
      <c r="CP118" s="153">
        <f t="shared" si="81"/>
        <v>9</v>
      </c>
      <c r="CQ118" s="153">
        <f t="shared" si="82"/>
        <v>9</v>
      </c>
      <c r="CR118" s="153">
        <f t="shared" si="83"/>
        <v>9</v>
      </c>
      <c r="CS118" s="153">
        <f t="shared" si="84"/>
        <v>9</v>
      </c>
      <c r="CT118" s="153">
        <f t="shared" si="109"/>
        <v>9</v>
      </c>
      <c r="CU118" s="153">
        <f t="shared" si="110"/>
        <v>9</v>
      </c>
      <c r="CV118" s="153">
        <f t="shared" si="111"/>
        <v>9</v>
      </c>
      <c r="CW118" s="153">
        <f t="shared" si="88"/>
        <v>9</v>
      </c>
      <c r="CX118" s="153">
        <f t="shared" si="89"/>
        <v>2</v>
      </c>
      <c r="CY118" s="153">
        <f t="shared" si="90"/>
        <v>9</v>
      </c>
      <c r="CZ118" s="113" t="str">
        <f t="shared" si="93"/>
        <v/>
      </c>
      <c r="DA118" s="113">
        <f t="shared" si="94"/>
        <v>0</v>
      </c>
      <c r="DB118" s="113">
        <f t="shared" si="95"/>
        <v>0</v>
      </c>
    </row>
    <row r="119" spans="1:106" s="8" customFormat="1" x14ac:dyDescent="0.25">
      <c r="A119" s="132">
        <v>187</v>
      </c>
      <c r="B119" s="129">
        <v>42072</v>
      </c>
      <c r="C119" s="8">
        <v>1082335</v>
      </c>
      <c r="D119" s="8" t="s">
        <v>1338</v>
      </c>
      <c r="E119" s="8" t="str">
        <f t="shared" si="101"/>
        <v/>
      </c>
      <c r="F119" s="8" t="str">
        <f t="shared" si="102"/>
        <v/>
      </c>
      <c r="G119" s="113" t="s">
        <v>474</v>
      </c>
      <c r="H119" s="113"/>
      <c r="I119" s="113"/>
      <c r="J119" s="113"/>
      <c r="K119" s="152" t="str">
        <f t="shared" ca="1" si="107"/>
        <v/>
      </c>
      <c r="L119" s="20">
        <v>42104</v>
      </c>
      <c r="N119" s="153" t="str">
        <f t="shared" si="61"/>
        <v/>
      </c>
      <c r="O119" s="113" t="s">
        <v>298</v>
      </c>
      <c r="P119" s="113" t="s">
        <v>689</v>
      </c>
      <c r="Q119" s="8" t="s">
        <v>1303</v>
      </c>
      <c r="R119" s="8" t="s">
        <v>1566</v>
      </c>
      <c r="S119" s="156" t="str">
        <f t="shared" si="68"/>
        <v>9307497790</v>
      </c>
      <c r="T119" s="156" t="str">
        <f t="shared" si="96"/>
        <v>9275857454</v>
      </c>
      <c r="U119" s="8" t="s">
        <v>1369</v>
      </c>
      <c r="V119" s="8" t="s">
        <v>1302</v>
      </c>
      <c r="W119" s="8" t="s">
        <v>1300</v>
      </c>
      <c r="X119" s="8" t="s">
        <v>1301</v>
      </c>
      <c r="Y119" s="8" t="s">
        <v>73</v>
      </c>
      <c r="Z119" s="8" t="s">
        <v>70</v>
      </c>
      <c r="AA119" s="8" t="s">
        <v>1233</v>
      </c>
      <c r="AC119" s="8" t="s">
        <v>741</v>
      </c>
      <c r="AD119" s="8" t="s">
        <v>1038</v>
      </c>
      <c r="AH119" s="113" t="s">
        <v>52</v>
      </c>
      <c r="AI119" s="8" t="s">
        <v>1304</v>
      </c>
      <c r="AJ119" s="153" t="str">
        <f t="shared" si="120"/>
        <v>Christine Dela Cruz</v>
      </c>
      <c r="AL119" s="8" t="s">
        <v>254</v>
      </c>
      <c r="AN119" s="20">
        <v>32453</v>
      </c>
      <c r="AO119" s="8" t="s">
        <v>1383</v>
      </c>
      <c r="AP119" s="8" t="s">
        <v>1383</v>
      </c>
      <c r="AQ119" s="8" t="s">
        <v>53</v>
      </c>
      <c r="AR119" s="8" t="s">
        <v>495</v>
      </c>
      <c r="AS119" s="187">
        <v>42074</v>
      </c>
      <c r="AT119" s="129">
        <v>42074</v>
      </c>
      <c r="AU119" s="129">
        <v>42070</v>
      </c>
      <c r="AV119" s="177">
        <v>42075</v>
      </c>
      <c r="AW119" s="187"/>
      <c r="AX119" s="113"/>
      <c r="AY119" s="113"/>
      <c r="AZ119" s="113"/>
      <c r="BA119" s="113"/>
      <c r="BB119" s="182"/>
      <c r="BC119" s="165"/>
      <c r="BD119" s="182"/>
      <c r="BE119" s="187">
        <v>42074</v>
      </c>
      <c r="BF119" s="182" t="s">
        <v>1409</v>
      </c>
      <c r="BG119" s="187">
        <v>42074</v>
      </c>
      <c r="BH119" s="274" t="s">
        <v>1410</v>
      </c>
      <c r="BI119" s="182"/>
      <c r="BJ119" s="165"/>
      <c r="BK119" s="113"/>
      <c r="BL119" s="182"/>
      <c r="BM119" s="165"/>
      <c r="BN119" s="129">
        <v>42080</v>
      </c>
      <c r="BO119" s="177">
        <v>42074</v>
      </c>
      <c r="BP119" s="165"/>
      <c r="BQ119" s="129">
        <v>42074</v>
      </c>
      <c r="BR119" s="177">
        <v>42074</v>
      </c>
      <c r="BS119" s="187">
        <v>42072</v>
      </c>
      <c r="BT119" s="129">
        <v>42072</v>
      </c>
      <c r="BU119" s="177">
        <v>42072</v>
      </c>
      <c r="BV119" s="182"/>
      <c r="BW119" s="275" t="str">
        <f t="shared" si="97"/>
        <v/>
      </c>
      <c r="BX119" s="275" t="str">
        <f t="shared" si="104"/>
        <v/>
      </c>
      <c r="BY119" s="275" t="str">
        <f t="shared" si="65"/>
        <v/>
      </c>
      <c r="BZ119" s="277" t="str">
        <f t="shared" si="121"/>
        <v/>
      </c>
      <c r="CA119" s="168" t="str">
        <f t="shared" si="103"/>
        <v/>
      </c>
      <c r="CB119" s="151" t="str">
        <f t="shared" si="122"/>
        <v/>
      </c>
      <c r="CC119" s="153" t="str">
        <f t="shared" ca="1" si="123"/>
        <v/>
      </c>
      <c r="CD119" s="153" t="str">
        <f t="shared" si="124"/>
        <v/>
      </c>
      <c r="CE119" s="153" t="str">
        <f t="shared" si="125"/>
        <v/>
      </c>
      <c r="CF119" s="396" t="str">
        <f t="shared" si="126"/>
        <v/>
      </c>
      <c r="CG119" s="397" t="str">
        <f t="shared" si="127"/>
        <v/>
      </c>
      <c r="CH119" s="153" t="str">
        <f t="shared" si="128"/>
        <v/>
      </c>
      <c r="CI119" s="151" t="str">
        <f t="shared" si="92"/>
        <v/>
      </c>
      <c r="CJ119" s="151">
        <f t="shared" si="75"/>
        <v>42104</v>
      </c>
      <c r="CK119" s="153">
        <f t="shared" si="76"/>
        <v>9</v>
      </c>
      <c r="CL119" s="153">
        <f t="shared" si="77"/>
        <v>9</v>
      </c>
      <c r="CM119" s="153">
        <f t="shared" si="78"/>
        <v>9</v>
      </c>
      <c r="CN119" s="153">
        <f t="shared" si="79"/>
        <v>9</v>
      </c>
      <c r="CO119" s="153">
        <f t="shared" si="80"/>
        <v>9</v>
      </c>
      <c r="CP119" s="153">
        <f t="shared" si="81"/>
        <v>9</v>
      </c>
      <c r="CQ119" s="153">
        <f t="shared" si="82"/>
        <v>9</v>
      </c>
      <c r="CR119" s="153">
        <f t="shared" si="83"/>
        <v>9</v>
      </c>
      <c r="CS119" s="153">
        <f t="shared" si="84"/>
        <v>9</v>
      </c>
      <c r="CT119" s="153">
        <f t="shared" si="109"/>
        <v>9</v>
      </c>
      <c r="CU119" s="153">
        <f t="shared" si="110"/>
        <v>9</v>
      </c>
      <c r="CV119" s="153">
        <f t="shared" si="111"/>
        <v>9</v>
      </c>
      <c r="CW119" s="153">
        <f t="shared" si="88"/>
        <v>9</v>
      </c>
      <c r="CX119" s="153">
        <f t="shared" si="89"/>
        <v>3</v>
      </c>
      <c r="CY119" s="156">
        <f t="shared" si="90"/>
        <v>9</v>
      </c>
      <c r="CZ119" s="8" t="str">
        <f t="shared" si="93"/>
        <v/>
      </c>
      <c r="DA119" s="8">
        <f t="shared" si="94"/>
        <v>0</v>
      </c>
      <c r="DB119" s="8">
        <f t="shared" si="95"/>
        <v>0</v>
      </c>
    </row>
    <row r="120" spans="1:106" s="8" customFormat="1" x14ac:dyDescent="0.25">
      <c r="A120" s="132">
        <v>187</v>
      </c>
      <c r="B120" s="129">
        <v>42072</v>
      </c>
      <c r="C120" s="8">
        <v>1082336</v>
      </c>
      <c r="D120" s="8" t="s">
        <v>1339</v>
      </c>
      <c r="E120" s="8" t="str">
        <f t="shared" si="101"/>
        <v/>
      </c>
      <c r="F120" s="8" t="str">
        <f t="shared" si="102"/>
        <v/>
      </c>
      <c r="G120" s="113" t="s">
        <v>474</v>
      </c>
      <c r="H120" s="113"/>
      <c r="I120" s="113"/>
      <c r="J120" s="113"/>
      <c r="K120" s="152" t="str">
        <f t="shared" ca="1" si="107"/>
        <v/>
      </c>
      <c r="L120" s="20">
        <v>42104</v>
      </c>
      <c r="N120" s="153" t="str">
        <f t="shared" si="61"/>
        <v/>
      </c>
      <c r="O120" s="113" t="s">
        <v>298</v>
      </c>
      <c r="P120" s="113" t="s">
        <v>689</v>
      </c>
      <c r="Q120" s="8" t="s">
        <v>1308</v>
      </c>
      <c r="R120" s="8">
        <v>9056802816</v>
      </c>
      <c r="S120" s="156">
        <f t="shared" si="68"/>
        <v>9056802816</v>
      </c>
      <c r="T120" s="156" t="str">
        <f t="shared" si="96"/>
        <v/>
      </c>
      <c r="U120" s="8" t="s">
        <v>1370</v>
      </c>
      <c r="V120" s="8" t="s">
        <v>1307</v>
      </c>
      <c r="W120" s="8" t="s">
        <v>1305</v>
      </c>
      <c r="X120" s="8" t="s">
        <v>1306</v>
      </c>
      <c r="Y120" s="8" t="s">
        <v>73</v>
      </c>
      <c r="Z120" s="8" t="s">
        <v>70</v>
      </c>
      <c r="AA120" s="8" t="s">
        <v>1233</v>
      </c>
      <c r="AC120" s="8" t="s">
        <v>741</v>
      </c>
      <c r="AD120" s="8" t="s">
        <v>1038</v>
      </c>
      <c r="AH120" s="113" t="s">
        <v>52</v>
      </c>
      <c r="AI120" s="8" t="s">
        <v>253</v>
      </c>
      <c r="AJ120" s="153" t="str">
        <f t="shared" si="120"/>
        <v/>
      </c>
      <c r="AL120" s="8" t="s">
        <v>247</v>
      </c>
      <c r="AN120" s="20">
        <v>33008</v>
      </c>
      <c r="AO120" s="8" t="s">
        <v>1384</v>
      </c>
      <c r="AP120" s="8" t="s">
        <v>1415</v>
      </c>
      <c r="AS120" s="187">
        <v>42074</v>
      </c>
      <c r="AT120" s="129">
        <v>42074</v>
      </c>
      <c r="AU120" s="129">
        <v>42074</v>
      </c>
      <c r="AV120" s="177">
        <v>42074</v>
      </c>
      <c r="AW120" s="187"/>
      <c r="AX120" s="113"/>
      <c r="AY120" s="113"/>
      <c r="AZ120" s="113"/>
      <c r="BA120" s="113"/>
      <c r="BB120" s="182"/>
      <c r="BC120" s="187">
        <v>42074</v>
      </c>
      <c r="BD120" s="182" t="s">
        <v>1404</v>
      </c>
      <c r="BE120" s="165"/>
      <c r="BF120" s="182"/>
      <c r="BG120" s="165"/>
      <c r="BH120" s="274"/>
      <c r="BI120" s="182"/>
      <c r="BJ120" s="165"/>
      <c r="BK120" s="113"/>
      <c r="BL120" s="182"/>
      <c r="BM120" s="165"/>
      <c r="BN120" s="113"/>
      <c r="BO120" s="182"/>
      <c r="BP120" s="165"/>
      <c r="BQ120" s="113"/>
      <c r="BR120" s="182"/>
      <c r="BS120" s="187">
        <v>42072</v>
      </c>
      <c r="BT120" s="129">
        <v>42072</v>
      </c>
      <c r="BU120" s="177">
        <v>42072</v>
      </c>
      <c r="BV120" s="182"/>
      <c r="BW120" s="275" t="str">
        <f t="shared" si="97"/>
        <v/>
      </c>
      <c r="BX120" s="275" t="str">
        <f t="shared" si="104"/>
        <v/>
      </c>
      <c r="BY120" s="275" t="str">
        <f t="shared" si="65"/>
        <v/>
      </c>
      <c r="BZ120" s="277" t="str">
        <f t="shared" si="121"/>
        <v/>
      </c>
      <c r="CA120" s="168" t="str">
        <f t="shared" si="103"/>
        <v/>
      </c>
      <c r="CB120" s="151" t="str">
        <f t="shared" si="122"/>
        <v/>
      </c>
      <c r="CC120" s="153" t="str">
        <f t="shared" ca="1" si="123"/>
        <v/>
      </c>
      <c r="CD120" s="153" t="str">
        <f t="shared" si="124"/>
        <v/>
      </c>
      <c r="CE120" s="153" t="str">
        <f t="shared" si="125"/>
        <v/>
      </c>
      <c r="CF120" s="396" t="str">
        <f t="shared" si="126"/>
        <v/>
      </c>
      <c r="CG120" s="397" t="str">
        <f t="shared" si="127"/>
        <v/>
      </c>
      <c r="CH120" s="153" t="str">
        <f t="shared" si="128"/>
        <v/>
      </c>
      <c r="CI120" s="151" t="str">
        <f t="shared" si="92"/>
        <v/>
      </c>
      <c r="CJ120" s="151">
        <f t="shared" si="75"/>
        <v>42104</v>
      </c>
      <c r="CK120" s="153">
        <f t="shared" si="76"/>
        <v>9</v>
      </c>
      <c r="CL120" s="153">
        <f t="shared" si="77"/>
        <v>9</v>
      </c>
      <c r="CM120" s="153">
        <f t="shared" si="78"/>
        <v>9</v>
      </c>
      <c r="CN120" s="153">
        <f t="shared" si="79"/>
        <v>9</v>
      </c>
      <c r="CO120" s="153">
        <f t="shared" si="80"/>
        <v>9</v>
      </c>
      <c r="CP120" s="153">
        <f t="shared" si="81"/>
        <v>9</v>
      </c>
      <c r="CQ120" s="153">
        <f t="shared" si="82"/>
        <v>9</v>
      </c>
      <c r="CR120" s="153">
        <f t="shared" si="83"/>
        <v>9</v>
      </c>
      <c r="CS120" s="153">
        <f t="shared" si="84"/>
        <v>9</v>
      </c>
      <c r="CT120" s="153">
        <f t="shared" si="109"/>
        <v>9</v>
      </c>
      <c r="CU120" s="153">
        <f t="shared" si="110"/>
        <v>9</v>
      </c>
      <c r="CV120" s="153">
        <f t="shared" si="111"/>
        <v>9</v>
      </c>
      <c r="CW120" s="153">
        <f t="shared" si="88"/>
        <v>9</v>
      </c>
      <c r="CX120" s="153">
        <f t="shared" si="89"/>
        <v>4</v>
      </c>
      <c r="CY120" s="156">
        <f t="shared" si="90"/>
        <v>9</v>
      </c>
      <c r="CZ120" s="8" t="str">
        <f t="shared" si="93"/>
        <v/>
      </c>
      <c r="DA120" s="8">
        <f t="shared" si="94"/>
        <v>0</v>
      </c>
      <c r="DB120" s="8">
        <f t="shared" si="95"/>
        <v>0</v>
      </c>
    </row>
    <row r="121" spans="1:106" s="156" customFormat="1" x14ac:dyDescent="0.25">
      <c r="A121" s="152">
        <v>187</v>
      </c>
      <c r="B121" s="151">
        <v>42072</v>
      </c>
      <c r="C121" s="156">
        <v>1082337</v>
      </c>
      <c r="D121" s="156" t="s">
        <v>1340</v>
      </c>
      <c r="E121" s="156" t="str">
        <f t="shared" si="101"/>
        <v xml:space="preserve">NBI, </v>
      </c>
      <c r="F121" s="156" t="str">
        <f t="shared" si="102"/>
        <v xml:space="preserve">COE, 2x2, </v>
      </c>
      <c r="G121" s="153" t="s">
        <v>474</v>
      </c>
      <c r="H121" s="153"/>
      <c r="I121" s="153"/>
      <c r="J121" s="153"/>
      <c r="K121" s="152" t="str">
        <f t="shared" ca="1" si="107"/>
        <v>Dedlyn!</v>
      </c>
      <c r="L121" s="155">
        <v>42104</v>
      </c>
      <c r="M121" s="155">
        <v>42082</v>
      </c>
      <c r="N121" s="153" t="str">
        <f t="shared" si="61"/>
        <v/>
      </c>
      <c r="O121" s="153" t="s">
        <v>301</v>
      </c>
      <c r="Q121" s="156" t="s">
        <v>1311</v>
      </c>
      <c r="R121" s="156">
        <v>9365728069</v>
      </c>
      <c r="S121" s="156">
        <f t="shared" si="68"/>
        <v>9365728069</v>
      </c>
      <c r="T121" s="156" t="str">
        <f t="shared" si="96"/>
        <v/>
      </c>
      <c r="U121" s="156" t="s">
        <v>1371</v>
      </c>
      <c r="V121" s="156" t="s">
        <v>1289</v>
      </c>
      <c r="W121" s="156" t="s">
        <v>1309</v>
      </c>
      <c r="X121" s="156" t="s">
        <v>1310</v>
      </c>
      <c r="Y121" s="156" t="s">
        <v>73</v>
      </c>
      <c r="Z121" s="156" t="s">
        <v>70</v>
      </c>
      <c r="AA121" s="156" t="s">
        <v>1233</v>
      </c>
      <c r="AC121" s="156" t="s">
        <v>741</v>
      </c>
      <c r="AD121" s="156" t="s">
        <v>1038</v>
      </c>
      <c r="AH121" s="153" t="s">
        <v>52</v>
      </c>
      <c r="AI121" s="156" t="s">
        <v>253</v>
      </c>
      <c r="AJ121" s="153" t="str">
        <f t="shared" si="120"/>
        <v/>
      </c>
      <c r="AL121" s="156" t="s">
        <v>259</v>
      </c>
      <c r="AN121" s="155">
        <v>33941</v>
      </c>
      <c r="AO121" s="156" t="s">
        <v>1385</v>
      </c>
      <c r="AP121" s="156" t="s">
        <v>1385</v>
      </c>
      <c r="AQ121" s="156" t="s">
        <v>53</v>
      </c>
      <c r="AR121" s="156" t="s">
        <v>378</v>
      </c>
      <c r="AS121" s="171">
        <v>42079</v>
      </c>
      <c r="AT121" s="151">
        <v>42081</v>
      </c>
      <c r="AU121" s="151">
        <v>42070</v>
      </c>
      <c r="AV121" s="180">
        <v>42075</v>
      </c>
      <c r="AW121" s="171">
        <v>42072</v>
      </c>
      <c r="AX121" s="153" t="s">
        <v>1605</v>
      </c>
      <c r="AY121" s="153"/>
      <c r="AZ121" s="151">
        <v>42072</v>
      </c>
      <c r="BA121" s="151">
        <v>42072</v>
      </c>
      <c r="BB121" s="183"/>
      <c r="BC121" s="171">
        <v>42075</v>
      </c>
      <c r="BD121" s="183" t="s">
        <v>1418</v>
      </c>
      <c r="BE121" s="171">
        <v>42082</v>
      </c>
      <c r="BF121" s="183" t="s">
        <v>1614</v>
      </c>
      <c r="BG121" s="171">
        <v>42081</v>
      </c>
      <c r="BH121" s="154" t="s">
        <v>1592</v>
      </c>
      <c r="BI121" s="180">
        <v>42081</v>
      </c>
      <c r="BJ121" s="168"/>
      <c r="BK121" s="151">
        <v>42079</v>
      </c>
      <c r="BL121" s="180">
        <v>42111</v>
      </c>
      <c r="BM121" s="171">
        <v>42079</v>
      </c>
      <c r="BN121" s="153"/>
      <c r="BO121" s="183"/>
      <c r="BP121" s="168"/>
      <c r="BQ121" s="151">
        <v>42079</v>
      </c>
      <c r="BR121" s="183"/>
      <c r="BS121" s="171">
        <v>42072</v>
      </c>
      <c r="BT121" s="151">
        <v>42072</v>
      </c>
      <c r="BU121" s="180">
        <v>42072</v>
      </c>
      <c r="BV121" s="183"/>
      <c r="BW121" s="275" t="str">
        <f t="shared" ref="BW121:BW152" si="129">IF(AZ121&gt;3,"1905 ","")&amp;IF(AND(M121="",AZ121&gt;3)=TRUE,"(for processing) ","")&amp;IF(AZ121&lt;4,"",MONTH(AZ121)&amp;"/"&amp;DAY(AZ121)&amp;"/"&amp;YEAR(AZ121)&amp;", ")&amp;IF(BA121&gt;3,"2305 ","")&amp;IF(AND(M121="",BA121&gt;3)=TRUE,"(for processing) ","")&amp;IF(BA121&lt;4,"",MONTH(BA121)&amp;"/"&amp;DAY(BA121)&amp;"/"&amp;YEAR(BA121)&amp;", ")&amp;IF(BI121&gt;0,"MDR ","")&amp;IF(BI121=0,"",MONTH(BI121)&amp;"/"&amp;DAY(BI121)&amp;"/"&amp;YEAR(BI121)&amp;", ")&amp;IF(BK121&gt;0,"NBI receipt "&amp;MONTH(BK121)&amp;"/"&amp;DAY(BK121)&amp;"/"&amp;YEAR(BK121)&amp;", ","") &amp;BV121</f>
        <v xml:space="preserve">1905 3/9/2015, 2305 3/9/2015, MDR 3/18/2015, NBI receipt 3/16/2015, </v>
      </c>
      <c r="BX121" s="275">
        <f t="shared" si="104"/>
        <v>10</v>
      </c>
      <c r="BY121" s="275">
        <f t="shared" si="65"/>
        <v>11</v>
      </c>
      <c r="BZ121" s="277">
        <f t="shared" si="121"/>
        <v>0.90909090909090906</v>
      </c>
      <c r="CA121" s="168" t="str">
        <f t="shared" si="103"/>
        <v/>
      </c>
      <c r="CB121" s="151" t="str">
        <f t="shared" si="122"/>
        <v/>
      </c>
      <c r="CC121" s="153" t="str">
        <f t="shared" ca="1" si="123"/>
        <v/>
      </c>
      <c r="CD121" s="153" t="str">
        <f t="shared" si="124"/>
        <v/>
      </c>
      <c r="CE121" s="153" t="str">
        <f t="shared" si="125"/>
        <v/>
      </c>
      <c r="CF121" s="396" t="str">
        <f t="shared" si="126"/>
        <v/>
      </c>
      <c r="CG121" s="397" t="str">
        <f t="shared" si="127"/>
        <v/>
      </c>
      <c r="CH121" s="153" t="str">
        <f t="shared" si="128"/>
        <v/>
      </c>
      <c r="CI121" s="151" t="str">
        <f t="shared" si="92"/>
        <v/>
      </c>
      <c r="CJ121" s="151">
        <f t="shared" si="75"/>
        <v>42104</v>
      </c>
      <c r="CK121" s="153">
        <f t="shared" si="76"/>
        <v>10</v>
      </c>
      <c r="CL121" s="153">
        <f t="shared" si="77"/>
        <v>10</v>
      </c>
      <c r="CM121" s="153">
        <f t="shared" si="78"/>
        <v>10</v>
      </c>
      <c r="CN121" s="153">
        <f t="shared" si="79"/>
        <v>9</v>
      </c>
      <c r="CO121" s="153">
        <f t="shared" si="80"/>
        <v>10</v>
      </c>
      <c r="CP121" s="153">
        <f t="shared" si="81"/>
        <v>10</v>
      </c>
      <c r="CQ121" s="153">
        <f t="shared" si="82"/>
        <v>10</v>
      </c>
      <c r="CR121" s="153">
        <f t="shared" si="83"/>
        <v>10</v>
      </c>
      <c r="CS121" s="153">
        <f t="shared" si="84"/>
        <v>10</v>
      </c>
      <c r="CT121" s="153">
        <f t="shared" si="109"/>
        <v>10</v>
      </c>
      <c r="CU121" s="153">
        <f t="shared" si="110"/>
        <v>10</v>
      </c>
      <c r="CV121" s="153">
        <f t="shared" si="111"/>
        <v>10</v>
      </c>
      <c r="CW121" s="153">
        <f t="shared" si="88"/>
        <v>9</v>
      </c>
      <c r="CX121" s="153">
        <f t="shared" si="89"/>
        <v>4</v>
      </c>
      <c r="CY121" s="156">
        <f t="shared" si="90"/>
        <v>10</v>
      </c>
      <c r="CZ121" s="156">
        <f t="shared" si="93"/>
        <v>10</v>
      </c>
      <c r="DA121" s="156">
        <f t="shared" si="94"/>
        <v>0</v>
      </c>
      <c r="DB121" s="156">
        <f t="shared" si="95"/>
        <v>1</v>
      </c>
    </row>
    <row r="122" spans="1:106" s="321" customFormat="1" x14ac:dyDescent="0.25">
      <c r="A122" s="384">
        <v>187</v>
      </c>
      <c r="B122" s="318">
        <v>42072</v>
      </c>
      <c r="C122" s="321">
        <v>1082338</v>
      </c>
      <c r="D122" s="321" t="s">
        <v>1341</v>
      </c>
      <c r="E122" s="321" t="str">
        <f t="shared" si="101"/>
        <v/>
      </c>
      <c r="F122" s="321" t="str">
        <f t="shared" si="102"/>
        <v/>
      </c>
      <c r="G122" s="317" t="s">
        <v>474</v>
      </c>
      <c r="H122" s="317"/>
      <c r="I122" s="317"/>
      <c r="J122" s="317"/>
      <c r="K122" s="152" t="str">
        <f t="shared" ca="1" si="107"/>
        <v/>
      </c>
      <c r="M122" s="334">
        <v>42082</v>
      </c>
      <c r="N122" s="153" t="str">
        <f t="shared" si="61"/>
        <v/>
      </c>
      <c r="O122" s="317" t="s">
        <v>302</v>
      </c>
      <c r="Q122" s="321" t="s">
        <v>1315</v>
      </c>
      <c r="R122" s="321">
        <v>9278821566</v>
      </c>
      <c r="S122" s="156">
        <f t="shared" si="68"/>
        <v>9278821566</v>
      </c>
      <c r="T122" s="156" t="str">
        <f t="shared" si="96"/>
        <v/>
      </c>
      <c r="U122" s="321" t="s">
        <v>1372</v>
      </c>
      <c r="V122" s="321" t="s">
        <v>1314</v>
      </c>
      <c r="W122" s="321" t="s">
        <v>1312</v>
      </c>
      <c r="X122" s="321" t="s">
        <v>1313</v>
      </c>
      <c r="Y122" s="321" t="s">
        <v>73</v>
      </c>
      <c r="Z122" s="321" t="s">
        <v>70</v>
      </c>
      <c r="AA122" s="321" t="s">
        <v>1233</v>
      </c>
      <c r="AC122" s="321" t="s">
        <v>741</v>
      </c>
      <c r="AD122" s="321" t="s">
        <v>1038</v>
      </c>
      <c r="AH122" s="317" t="s">
        <v>52</v>
      </c>
      <c r="AI122" s="321" t="s">
        <v>253</v>
      </c>
      <c r="AJ122" s="153" t="str">
        <f t="shared" si="120"/>
        <v/>
      </c>
      <c r="AL122" s="321" t="s">
        <v>265</v>
      </c>
      <c r="AN122" s="334">
        <v>33650</v>
      </c>
      <c r="AO122" s="321" t="s">
        <v>1386</v>
      </c>
      <c r="AP122" s="321" t="s">
        <v>1386</v>
      </c>
      <c r="AQ122" s="321" t="s">
        <v>50</v>
      </c>
      <c r="AR122" s="321" t="s">
        <v>378</v>
      </c>
      <c r="AS122" s="332">
        <v>42074</v>
      </c>
      <c r="AT122" s="318">
        <v>42074</v>
      </c>
      <c r="AU122" s="318">
        <v>42070</v>
      </c>
      <c r="AV122" s="329">
        <v>42074</v>
      </c>
      <c r="AW122" s="332">
        <v>42082</v>
      </c>
      <c r="AX122" s="317" t="s">
        <v>1619</v>
      </c>
      <c r="AY122" s="317"/>
      <c r="AZ122" s="317">
        <v>1</v>
      </c>
      <c r="BA122" s="318">
        <v>42076</v>
      </c>
      <c r="BB122" s="326"/>
      <c r="BC122" s="332">
        <v>42074</v>
      </c>
      <c r="BD122" s="326" t="s">
        <v>1411</v>
      </c>
      <c r="BE122" s="332">
        <v>42076</v>
      </c>
      <c r="BF122" s="326" t="s">
        <v>1437</v>
      </c>
      <c r="BG122" s="332">
        <v>42074</v>
      </c>
      <c r="BH122" s="385" t="s">
        <v>1412</v>
      </c>
      <c r="BI122" s="329">
        <v>42082</v>
      </c>
      <c r="BJ122" s="332">
        <v>42091</v>
      </c>
      <c r="BK122" s="317"/>
      <c r="BL122" s="326"/>
      <c r="BM122" s="332">
        <v>42074</v>
      </c>
      <c r="BN122" s="317"/>
      <c r="BO122" s="329">
        <v>42076</v>
      </c>
      <c r="BP122" s="332">
        <v>42101</v>
      </c>
      <c r="BQ122" s="318">
        <v>42074</v>
      </c>
      <c r="BR122" s="329">
        <v>42082</v>
      </c>
      <c r="BS122" s="332">
        <v>42072</v>
      </c>
      <c r="BT122" s="318">
        <v>42072</v>
      </c>
      <c r="BU122" s="329">
        <v>42072</v>
      </c>
      <c r="BV122" s="326" t="s">
        <v>1555</v>
      </c>
      <c r="BW122" s="275" t="str">
        <f t="shared" si="129"/>
        <v>2305 3/13/2015, MDR 3/19/2015, 2316 (2014) - 3/17/2015</v>
      </c>
      <c r="BX122" s="275">
        <f t="shared" si="104"/>
        <v>11</v>
      </c>
      <c r="BY122" s="275">
        <f t="shared" si="65"/>
        <v>11</v>
      </c>
      <c r="BZ122" s="277">
        <f t="shared" si="121"/>
        <v>1</v>
      </c>
      <c r="CA122" s="168" t="str">
        <f t="shared" si="103"/>
        <v/>
      </c>
      <c r="CB122" s="151" t="str">
        <f t="shared" si="122"/>
        <v/>
      </c>
      <c r="CC122" s="153" t="str">
        <f t="shared" ca="1" si="123"/>
        <v/>
      </c>
      <c r="CD122" s="153" t="str">
        <f t="shared" si="124"/>
        <v/>
      </c>
      <c r="CE122" s="153" t="str">
        <f t="shared" si="125"/>
        <v/>
      </c>
      <c r="CF122" s="396" t="str">
        <f t="shared" si="126"/>
        <v/>
      </c>
      <c r="CG122" s="397" t="str">
        <f t="shared" si="127"/>
        <v/>
      </c>
      <c r="CH122" s="153" t="str">
        <f t="shared" si="128"/>
        <v/>
      </c>
      <c r="CI122" s="151" t="str">
        <f t="shared" si="92"/>
        <v/>
      </c>
      <c r="CJ122" s="151">
        <f t="shared" si="75"/>
        <v>42104</v>
      </c>
      <c r="CK122" s="153">
        <f t="shared" si="76"/>
        <v>11</v>
      </c>
      <c r="CL122" s="153">
        <f t="shared" si="77"/>
        <v>11</v>
      </c>
      <c r="CM122" s="153">
        <f t="shared" si="78"/>
        <v>11</v>
      </c>
      <c r="CN122" s="153">
        <f t="shared" si="79"/>
        <v>10</v>
      </c>
      <c r="CO122" s="153">
        <f t="shared" si="80"/>
        <v>11</v>
      </c>
      <c r="CP122" s="153">
        <f t="shared" si="81"/>
        <v>11</v>
      </c>
      <c r="CQ122" s="153">
        <f t="shared" si="82"/>
        <v>11</v>
      </c>
      <c r="CR122" s="153">
        <f t="shared" si="83"/>
        <v>11</v>
      </c>
      <c r="CS122" s="153">
        <f t="shared" si="84"/>
        <v>11</v>
      </c>
      <c r="CT122" s="153">
        <f t="shared" si="109"/>
        <v>11</v>
      </c>
      <c r="CU122" s="153">
        <f t="shared" si="110"/>
        <v>11</v>
      </c>
      <c r="CV122" s="153">
        <f t="shared" si="111"/>
        <v>11</v>
      </c>
      <c r="CW122" s="153">
        <f t="shared" si="88"/>
        <v>10</v>
      </c>
      <c r="CX122" s="153">
        <f t="shared" si="89"/>
        <v>4</v>
      </c>
      <c r="CY122" s="156">
        <f t="shared" si="90"/>
        <v>11</v>
      </c>
      <c r="CZ122" s="321">
        <f t="shared" si="93"/>
        <v>10</v>
      </c>
      <c r="DA122" s="321">
        <f t="shared" si="94"/>
        <v>1</v>
      </c>
      <c r="DB122" s="321">
        <f t="shared" si="95"/>
        <v>1</v>
      </c>
    </row>
    <row r="123" spans="1:106" s="321" customFormat="1" x14ac:dyDescent="0.25">
      <c r="A123" s="384">
        <v>187</v>
      </c>
      <c r="B123" s="318">
        <v>42072</v>
      </c>
      <c r="C123" s="321">
        <v>1082339</v>
      </c>
      <c r="D123" s="321" t="s">
        <v>1342</v>
      </c>
      <c r="E123" s="321" t="str">
        <f t="shared" si="101"/>
        <v/>
      </c>
      <c r="F123" s="321" t="str">
        <f t="shared" si="102"/>
        <v xml:space="preserve">TOR, COE, </v>
      </c>
      <c r="G123" s="317" t="s">
        <v>474</v>
      </c>
      <c r="H123" s="317"/>
      <c r="I123" s="317"/>
      <c r="J123" s="317"/>
      <c r="K123" s="152" t="str">
        <f t="shared" ca="1" si="107"/>
        <v/>
      </c>
      <c r="L123" s="334">
        <v>42104</v>
      </c>
      <c r="M123" s="334">
        <v>42082</v>
      </c>
      <c r="N123" s="153" t="str">
        <f t="shared" si="61"/>
        <v/>
      </c>
      <c r="O123" s="317" t="s">
        <v>302</v>
      </c>
      <c r="Q123" s="321" t="s">
        <v>1319</v>
      </c>
      <c r="R123" s="321">
        <v>9166489119</v>
      </c>
      <c r="S123" s="156">
        <f t="shared" si="68"/>
        <v>9166489119</v>
      </c>
      <c r="T123" s="156" t="str">
        <f t="shared" si="96"/>
        <v/>
      </c>
      <c r="U123" s="321" t="s">
        <v>1373</v>
      </c>
      <c r="V123" s="321" t="s">
        <v>1318</v>
      </c>
      <c r="W123" s="321" t="s">
        <v>1316</v>
      </c>
      <c r="X123" s="321" t="s">
        <v>1317</v>
      </c>
      <c r="Y123" s="321" t="s">
        <v>73</v>
      </c>
      <c r="Z123" s="321" t="s">
        <v>74</v>
      </c>
      <c r="AA123" s="321" t="s">
        <v>1232</v>
      </c>
      <c r="AC123" s="321" t="s">
        <v>741</v>
      </c>
      <c r="AD123" s="321" t="s">
        <v>1234</v>
      </c>
      <c r="AH123" s="317" t="s">
        <v>52</v>
      </c>
      <c r="AI123" s="321" t="s">
        <v>253</v>
      </c>
      <c r="AJ123" s="153" t="str">
        <f t="shared" si="120"/>
        <v/>
      </c>
      <c r="AL123" s="321" t="s">
        <v>259</v>
      </c>
      <c r="AN123" s="334">
        <v>31380</v>
      </c>
      <c r="AO123" s="321" t="s">
        <v>1387</v>
      </c>
      <c r="AQ123" s="321" t="s">
        <v>53</v>
      </c>
      <c r="AR123" s="321" t="s">
        <v>378</v>
      </c>
      <c r="AS123" s="332">
        <v>42101</v>
      </c>
      <c r="AT123" s="318">
        <v>42080</v>
      </c>
      <c r="AU123" s="318">
        <v>42070</v>
      </c>
      <c r="AV123" s="329">
        <v>42074</v>
      </c>
      <c r="AW123" s="332">
        <v>42074</v>
      </c>
      <c r="AX123" s="317" t="s">
        <v>1407</v>
      </c>
      <c r="AY123" s="317"/>
      <c r="AZ123" s="318">
        <v>42080</v>
      </c>
      <c r="BA123" s="318">
        <v>42076</v>
      </c>
      <c r="BB123" s="326"/>
      <c r="BC123" s="332">
        <v>42075</v>
      </c>
      <c r="BD123" s="326" t="s">
        <v>1419</v>
      </c>
      <c r="BE123" s="332">
        <v>42074</v>
      </c>
      <c r="BF123" s="326" t="s">
        <v>1408</v>
      </c>
      <c r="BG123" s="332">
        <v>42080</v>
      </c>
      <c r="BH123" s="385" t="s">
        <v>1554</v>
      </c>
      <c r="BI123" s="329">
        <v>42080</v>
      </c>
      <c r="BJ123" s="332">
        <v>42074</v>
      </c>
      <c r="BK123" s="317"/>
      <c r="BL123" s="326"/>
      <c r="BM123" s="332">
        <v>42074</v>
      </c>
      <c r="BN123" s="317"/>
      <c r="BO123" s="326"/>
      <c r="BP123" s="332">
        <v>42101</v>
      </c>
      <c r="BQ123" s="317"/>
      <c r="BR123" s="326"/>
      <c r="BS123" s="332">
        <v>42072</v>
      </c>
      <c r="BT123" s="318">
        <v>42072</v>
      </c>
      <c r="BU123" s="329">
        <v>42072</v>
      </c>
      <c r="BV123" s="326"/>
      <c r="BW123" s="275" t="str">
        <f t="shared" si="129"/>
        <v xml:space="preserve">1905 3/17/2015, 2305 3/13/2015, MDR 3/17/2015, </v>
      </c>
      <c r="BX123" s="275">
        <f t="shared" si="104"/>
        <v>11</v>
      </c>
      <c r="BY123" s="275">
        <f t="shared" si="65"/>
        <v>11</v>
      </c>
      <c r="BZ123" s="277">
        <f t="shared" si="121"/>
        <v>1</v>
      </c>
      <c r="CA123" s="168" t="str">
        <f t="shared" si="103"/>
        <v/>
      </c>
      <c r="CB123" s="151" t="str">
        <f t="shared" si="122"/>
        <v/>
      </c>
      <c r="CC123" s="153" t="str">
        <f t="shared" ca="1" si="123"/>
        <v/>
      </c>
      <c r="CD123" s="153" t="str">
        <f t="shared" si="124"/>
        <v/>
      </c>
      <c r="CE123" s="153" t="str">
        <f t="shared" si="125"/>
        <v/>
      </c>
      <c r="CF123" s="396" t="str">
        <f t="shared" si="126"/>
        <v/>
      </c>
      <c r="CG123" s="397" t="str">
        <f t="shared" si="127"/>
        <v/>
      </c>
      <c r="CH123" s="153" t="str">
        <f t="shared" si="128"/>
        <v/>
      </c>
      <c r="CI123" s="151" t="str">
        <f t="shared" si="92"/>
        <v/>
      </c>
      <c r="CJ123" s="151">
        <f t="shared" si="75"/>
        <v>42104</v>
      </c>
      <c r="CK123" s="153">
        <f t="shared" si="76"/>
        <v>12</v>
      </c>
      <c r="CL123" s="153">
        <f t="shared" si="77"/>
        <v>12</v>
      </c>
      <c r="CM123" s="153">
        <f t="shared" si="78"/>
        <v>12</v>
      </c>
      <c r="CN123" s="153">
        <f t="shared" si="79"/>
        <v>11</v>
      </c>
      <c r="CO123" s="153">
        <f t="shared" si="80"/>
        <v>12</v>
      </c>
      <c r="CP123" s="153">
        <f t="shared" si="81"/>
        <v>12</v>
      </c>
      <c r="CQ123" s="153">
        <f t="shared" si="82"/>
        <v>12</v>
      </c>
      <c r="CR123" s="153">
        <f t="shared" si="83"/>
        <v>12</v>
      </c>
      <c r="CS123" s="153">
        <f t="shared" si="84"/>
        <v>12</v>
      </c>
      <c r="CT123" s="153">
        <f t="shared" si="109"/>
        <v>12</v>
      </c>
      <c r="CU123" s="153">
        <f t="shared" si="110"/>
        <v>12</v>
      </c>
      <c r="CV123" s="153">
        <f t="shared" si="111"/>
        <v>12</v>
      </c>
      <c r="CW123" s="153">
        <f t="shared" si="88"/>
        <v>11</v>
      </c>
      <c r="CX123" s="153">
        <f t="shared" si="89"/>
        <v>4</v>
      </c>
      <c r="CY123" s="156">
        <f t="shared" si="90"/>
        <v>12</v>
      </c>
      <c r="CZ123" s="321">
        <f t="shared" si="93"/>
        <v>10</v>
      </c>
      <c r="DA123" s="321">
        <f t="shared" si="94"/>
        <v>1</v>
      </c>
      <c r="DB123" s="321">
        <f t="shared" si="95"/>
        <v>1</v>
      </c>
    </row>
    <row r="124" spans="1:106" s="8" customFormat="1" x14ac:dyDescent="0.25">
      <c r="A124" s="132">
        <v>187</v>
      </c>
      <c r="B124" s="129">
        <v>42072</v>
      </c>
      <c r="C124" s="8">
        <v>1082340</v>
      </c>
      <c r="D124" s="8" t="s">
        <v>1343</v>
      </c>
      <c r="E124" s="8" t="str">
        <f t="shared" si="101"/>
        <v/>
      </c>
      <c r="F124" s="8" t="str">
        <f t="shared" si="102"/>
        <v/>
      </c>
      <c r="G124" s="113" t="s">
        <v>474</v>
      </c>
      <c r="H124" s="113"/>
      <c r="I124" s="113"/>
      <c r="J124" s="113"/>
      <c r="K124" s="152" t="str">
        <f t="shared" ca="1" si="107"/>
        <v/>
      </c>
      <c r="L124" s="20">
        <v>42104</v>
      </c>
      <c r="N124" s="153" t="str">
        <f t="shared" si="61"/>
        <v/>
      </c>
      <c r="O124" s="113" t="s">
        <v>298</v>
      </c>
      <c r="P124" s="113" t="s">
        <v>689</v>
      </c>
      <c r="Q124" s="8" t="s">
        <v>1323</v>
      </c>
      <c r="R124" s="8">
        <v>9266586290</v>
      </c>
      <c r="S124" s="156">
        <f t="shared" si="68"/>
        <v>9266586290</v>
      </c>
      <c r="T124" s="156" t="str">
        <f t="shared" si="96"/>
        <v/>
      </c>
      <c r="U124" s="113" t="s">
        <v>1374</v>
      </c>
      <c r="V124" s="8" t="s">
        <v>1322</v>
      </c>
      <c r="W124" s="8" t="s">
        <v>1320</v>
      </c>
      <c r="X124" s="8" t="s">
        <v>1321</v>
      </c>
      <c r="Y124" s="8" t="s">
        <v>73</v>
      </c>
      <c r="Z124" s="8" t="s">
        <v>74</v>
      </c>
      <c r="AA124" s="8" t="s">
        <v>1232</v>
      </c>
      <c r="AC124" s="8" t="s">
        <v>741</v>
      </c>
      <c r="AD124" s="8" t="s">
        <v>1234</v>
      </c>
      <c r="AH124" s="113" t="s">
        <v>52</v>
      </c>
      <c r="AI124" s="8" t="s">
        <v>1324</v>
      </c>
      <c r="AJ124" s="153" t="str">
        <f t="shared" si="120"/>
        <v>Christopher Gaela</v>
      </c>
      <c r="AL124" s="8" t="s">
        <v>265</v>
      </c>
      <c r="AN124" s="20">
        <v>31458</v>
      </c>
      <c r="AO124" s="8" t="s">
        <v>1388</v>
      </c>
      <c r="AP124" s="8" t="s">
        <v>1388</v>
      </c>
      <c r="AQ124" s="8" t="s">
        <v>50</v>
      </c>
      <c r="AR124" s="8" t="s">
        <v>378</v>
      </c>
      <c r="AS124" s="187">
        <v>42087</v>
      </c>
      <c r="AT124" s="129">
        <v>42087</v>
      </c>
      <c r="AU124" s="129">
        <v>42070</v>
      </c>
      <c r="AV124" s="182"/>
      <c r="AW124" s="187"/>
      <c r="AX124" s="113"/>
      <c r="AY124" s="113"/>
      <c r="AZ124" s="113"/>
      <c r="BA124" s="113"/>
      <c r="BB124" s="182"/>
      <c r="BC124" s="187">
        <v>42074</v>
      </c>
      <c r="BD124" s="182" t="s">
        <v>1405</v>
      </c>
      <c r="BE124" s="187">
        <v>42074</v>
      </c>
      <c r="BF124" s="182" t="s">
        <v>1406</v>
      </c>
      <c r="BG124" s="187">
        <v>42087</v>
      </c>
      <c r="BH124" s="274" t="s">
        <v>1746</v>
      </c>
      <c r="BI124" s="182"/>
      <c r="BJ124" s="165"/>
      <c r="BK124" s="113"/>
      <c r="BL124" s="182"/>
      <c r="BM124" s="187">
        <v>42087</v>
      </c>
      <c r="BN124" s="113"/>
      <c r="BO124" s="182"/>
      <c r="BP124" s="165"/>
      <c r="BQ124" s="113"/>
      <c r="BR124" s="182"/>
      <c r="BS124" s="187">
        <v>42072</v>
      </c>
      <c r="BT124" s="129">
        <v>42072</v>
      </c>
      <c r="BU124" s="177">
        <v>42072</v>
      </c>
      <c r="BV124" s="182"/>
      <c r="BW124" s="275" t="str">
        <f t="shared" si="129"/>
        <v/>
      </c>
      <c r="BX124" s="275" t="str">
        <f t="shared" si="104"/>
        <v/>
      </c>
      <c r="BY124" s="275" t="str">
        <f t="shared" si="65"/>
        <v/>
      </c>
      <c r="BZ124" s="277" t="str">
        <f t="shared" si="121"/>
        <v/>
      </c>
      <c r="CA124" s="168" t="str">
        <f t="shared" si="103"/>
        <v/>
      </c>
      <c r="CB124" s="151" t="str">
        <f t="shared" si="122"/>
        <v/>
      </c>
      <c r="CC124" s="153" t="str">
        <f t="shared" ca="1" si="123"/>
        <v/>
      </c>
      <c r="CD124" s="153" t="str">
        <f t="shared" si="124"/>
        <v/>
      </c>
      <c r="CE124" s="153" t="str">
        <f t="shared" si="125"/>
        <v/>
      </c>
      <c r="CF124" s="396" t="str">
        <f t="shared" si="126"/>
        <v/>
      </c>
      <c r="CG124" s="397" t="str">
        <f t="shared" si="127"/>
        <v/>
      </c>
      <c r="CH124" s="153" t="str">
        <f t="shared" si="128"/>
        <v/>
      </c>
      <c r="CI124" s="151" t="str">
        <f t="shared" si="92"/>
        <v/>
      </c>
      <c r="CJ124" s="151">
        <f t="shared" si="75"/>
        <v>42104</v>
      </c>
      <c r="CK124" s="153">
        <f t="shared" si="76"/>
        <v>12</v>
      </c>
      <c r="CL124" s="153">
        <f t="shared" si="77"/>
        <v>12</v>
      </c>
      <c r="CM124" s="153">
        <f t="shared" si="78"/>
        <v>12</v>
      </c>
      <c r="CN124" s="153">
        <f t="shared" si="79"/>
        <v>11</v>
      </c>
      <c r="CO124" s="153">
        <f t="shared" si="80"/>
        <v>12</v>
      </c>
      <c r="CP124" s="153">
        <f t="shared" si="81"/>
        <v>12</v>
      </c>
      <c r="CQ124" s="153">
        <f t="shared" si="82"/>
        <v>12</v>
      </c>
      <c r="CR124" s="153">
        <f t="shared" si="83"/>
        <v>12</v>
      </c>
      <c r="CS124" s="153">
        <f t="shared" si="84"/>
        <v>12</v>
      </c>
      <c r="CT124" s="153">
        <f t="shared" si="109"/>
        <v>12</v>
      </c>
      <c r="CU124" s="153">
        <f t="shared" si="110"/>
        <v>12</v>
      </c>
      <c r="CV124" s="153">
        <f t="shared" si="111"/>
        <v>12</v>
      </c>
      <c r="CW124" s="153">
        <f t="shared" si="88"/>
        <v>11</v>
      </c>
      <c r="CX124" s="153">
        <f t="shared" si="89"/>
        <v>5</v>
      </c>
      <c r="CY124" s="156">
        <f t="shared" si="90"/>
        <v>12</v>
      </c>
      <c r="CZ124" s="8" t="str">
        <f t="shared" si="93"/>
        <v/>
      </c>
      <c r="DA124" s="8">
        <f t="shared" si="94"/>
        <v>0</v>
      </c>
      <c r="DB124" s="8">
        <f t="shared" si="95"/>
        <v>0</v>
      </c>
    </row>
    <row r="125" spans="1:106" s="321" customFormat="1" x14ac:dyDescent="0.25">
      <c r="A125" s="384">
        <v>187</v>
      </c>
      <c r="B125" s="318">
        <v>42072</v>
      </c>
      <c r="C125" s="321">
        <v>1082341</v>
      </c>
      <c r="D125" s="321" t="s">
        <v>1344</v>
      </c>
      <c r="E125" s="321" t="str">
        <f t="shared" si="101"/>
        <v/>
      </c>
      <c r="F125" s="321" t="str">
        <f t="shared" si="102"/>
        <v xml:space="preserve">MDR, COE, 2x2, </v>
      </c>
      <c r="G125" s="317" t="s">
        <v>474</v>
      </c>
      <c r="H125" s="317"/>
      <c r="I125" s="317"/>
      <c r="J125" s="317"/>
      <c r="K125" s="152" t="str">
        <f t="shared" ca="1" si="107"/>
        <v/>
      </c>
      <c r="M125" s="334">
        <v>42082</v>
      </c>
      <c r="N125" s="153" t="str">
        <f t="shared" si="61"/>
        <v/>
      </c>
      <c r="O125" s="317" t="s">
        <v>302</v>
      </c>
      <c r="Q125" s="321" t="s">
        <v>1328</v>
      </c>
      <c r="R125" s="321">
        <v>9258300712</v>
      </c>
      <c r="S125" s="156">
        <f t="shared" si="68"/>
        <v>9258300712</v>
      </c>
      <c r="T125" s="156" t="str">
        <f t="shared" si="96"/>
        <v/>
      </c>
      <c r="U125" s="317" t="s">
        <v>1375</v>
      </c>
      <c r="V125" s="321" t="s">
        <v>1327</v>
      </c>
      <c r="W125" s="321" t="s">
        <v>1325</v>
      </c>
      <c r="X125" s="321" t="s">
        <v>1326</v>
      </c>
      <c r="Y125" s="321" t="s">
        <v>73</v>
      </c>
      <c r="Z125" s="321" t="s">
        <v>70</v>
      </c>
      <c r="AA125" s="321" t="s">
        <v>1233</v>
      </c>
      <c r="AC125" s="321" t="s">
        <v>741</v>
      </c>
      <c r="AD125" s="321" t="s">
        <v>1038</v>
      </c>
      <c r="AH125" s="317" t="s">
        <v>52</v>
      </c>
      <c r="AI125" s="321" t="s">
        <v>253</v>
      </c>
      <c r="AJ125" s="153" t="str">
        <f t="shared" si="120"/>
        <v/>
      </c>
      <c r="AL125" s="321" t="s">
        <v>254</v>
      </c>
      <c r="AN125" s="334">
        <v>32365</v>
      </c>
      <c r="AO125" s="321" t="s">
        <v>1389</v>
      </c>
      <c r="AP125" s="321" t="s">
        <v>1389</v>
      </c>
      <c r="AQ125" s="321" t="s">
        <v>53</v>
      </c>
      <c r="AR125" s="321" t="s">
        <v>378</v>
      </c>
      <c r="AS125" s="332">
        <v>42081</v>
      </c>
      <c r="AT125" s="318">
        <v>42081</v>
      </c>
      <c r="AU125" s="318">
        <v>42070</v>
      </c>
      <c r="AV125" s="329">
        <v>42074</v>
      </c>
      <c r="AW125" s="332">
        <v>42081</v>
      </c>
      <c r="AX125" s="317" t="s">
        <v>1595</v>
      </c>
      <c r="AY125" s="317"/>
      <c r="AZ125" s="318">
        <v>42081</v>
      </c>
      <c r="BA125" s="318">
        <v>42081</v>
      </c>
      <c r="BB125" s="326"/>
      <c r="BC125" s="332">
        <v>42075</v>
      </c>
      <c r="BD125" s="326" t="s">
        <v>1417</v>
      </c>
      <c r="BE125" s="332">
        <v>42081</v>
      </c>
      <c r="BF125" s="326" t="s">
        <v>1598</v>
      </c>
      <c r="BG125" s="332">
        <v>42081</v>
      </c>
      <c r="BH125" s="385" t="s">
        <v>1597</v>
      </c>
      <c r="BI125" s="329"/>
      <c r="BJ125" s="332">
        <v>42081</v>
      </c>
      <c r="BK125" s="317"/>
      <c r="BL125" s="326"/>
      <c r="BM125" s="332">
        <v>42081</v>
      </c>
      <c r="BN125" s="318">
        <v>42081</v>
      </c>
      <c r="BO125" s="326"/>
      <c r="BP125" s="337"/>
      <c r="BQ125" s="318">
        <v>42081</v>
      </c>
      <c r="BR125" s="326"/>
      <c r="BS125" s="332">
        <v>42072</v>
      </c>
      <c r="BT125" s="318">
        <v>42072</v>
      </c>
      <c r="BU125" s="329">
        <v>42072</v>
      </c>
      <c r="BV125" s="326"/>
      <c r="BW125" s="275" t="str">
        <f t="shared" si="129"/>
        <v xml:space="preserve">1905 3/18/2015, 2305 3/18/2015, </v>
      </c>
      <c r="BX125" s="275">
        <f t="shared" si="104"/>
        <v>11</v>
      </c>
      <c r="BY125" s="275">
        <f t="shared" si="65"/>
        <v>11</v>
      </c>
      <c r="BZ125" s="277">
        <f t="shared" ref="BZ125:BZ145" si="130">IFERROR(BX125/BY125,"")</f>
        <v>1</v>
      </c>
      <c r="CA125" s="168" t="str">
        <f t="shared" si="103"/>
        <v/>
      </c>
      <c r="CB125" s="151" t="str">
        <f>IFERROR(CA125*7+40763,"")</f>
        <v/>
      </c>
      <c r="CC125" s="153" t="str">
        <f ca="1">IFERROR(ROUND(IF(CB125="","",(TODAY()-CB125)/7)+1,0),"")</f>
        <v/>
      </c>
      <c r="CD125" s="153" t="str">
        <f>IF(CG125="","",CY125)</f>
        <v/>
      </c>
      <c r="CE125" s="153" t="str">
        <f>IF(CG125="","",CW125)</f>
        <v/>
      </c>
      <c r="CF125" s="396" t="str">
        <f>IF(CG125="","",CY125-CW125)</f>
        <v/>
      </c>
      <c r="CG125" s="397" t="str">
        <f>IF(CB125="","",SUM(CK125:CU125)/((CY125)*11))</f>
        <v/>
      </c>
      <c r="CH125" s="153" t="str">
        <f>IF(CB125="","",IF(MIN(CK125:CU125)&gt;CY125,"",CONCATENATE(IF(SUM(IF(CK125&lt;CL125,1,0),IF(CK125&lt;CM125,1,0),IF(CK125&lt;CN125,1,0),IF(CK125&lt;CO125,1,0),IF(CK125&lt;CP125,1,0),IF(CK125&lt;CQ125,1,0),IF(CK125&lt;CR125,1,0),IF(CK125&lt;CS125,1,0),IF(CK125&lt;CT125,1,0),IF(CK125&lt;CU125,1,0))&gt;7,"SSS ("&amp;CY125-CK125&amp;") ",""),IF(SUM(IF(CL125&lt;CK125,1,0),IF(CL125&lt;CM125,1,0),IF(CL125&lt;CN125,1,0),IF(CL125&lt;CO125,1,0),IF(CL125&lt;CP125,1,0),IF(CL125&lt;CQ125,1,0),IF(CL125&lt;CR125,1,0),IF(CL125&lt;CS125,1,0),IF(CL125&lt;CT125,1,0),IF(CL125&lt;CU125,1,0))&gt;7,"HDMF ("&amp;CY125-CL125&amp;") ",""),IF(SUM(IF(CM125&lt;CK125,1,0),IF(CM125&lt;CL125,1,0),IF(CM125&lt;CN125,1,0),IF(CM125&lt;CO125,1,0),IF(CM125&lt;CP125,1,0),IF(CM125&lt;CQ125,1,0),IF(CM125&lt;CR125,1,0),IF(CM125&lt;CS125,1,0),IF(CM125&lt;CT125,1,0),IF(CM125&lt;CU125,1,0))&gt;7,"PHIC ("&amp;CY125-CM125&amp;") ",""),IF(SUM(IF(CN125&lt;CK125,1,0),IF(CN125&lt;CL125,1,0),IF(CN125&lt;CM125,1,0),IF(CN125&lt;CO125,1,0),IF(CN125&lt;CP125,1,0),IF(CN125&lt;CQ125,1,0),IF(CN125&lt;CR125,1,0),IF(CN125&lt;CS125,1,0),IF(CN125&lt;CT125,1,0),IF(CN125&lt;CU125,1,0))&gt;7,"NBI ("&amp;CY125-CN125&amp;") ",""),IF(SUM(IF(CO125&lt;CK125,1,0),IF(CO125&lt;CL125,1,0),IF(CO125&lt;CN125,1,0),IF(CO125&lt;CM125,1,0),IF(CO125&lt;CP125,1,0),IF(CO125&lt;CQ125,1,0),IF(CO125&lt;CR125,1,0),IF(CO125&lt;CS125,1,0),IF(CO125&lt;CT125,1,0),IF(CO125&lt;CU125,1,0))&gt;7,"NSO ("&amp;CY125-CO125&amp;") ",""),IF(SUM(IF(CP125&lt;CK125,1,0),IF(CP125&lt;CL125,1,0),IF(CP125&lt;CN125,1,0),IF(CP125&lt;CO125,1,0),IF(CP125&lt;CM125,1,0),IF(CP125&lt;CQ125,1,0),IF(CP125&lt;CR125,1,0),IF(CP125&lt;CS125,1,0),IF(CP125&lt;CT125,1,0),IF(CP125&lt;CU125,1,0))&gt;7,"Info ("&amp;CY125-CP125&amp;") ",""),IF(SUM(IF(CQ125&lt;CK125,1,0),IF(CQ125&lt;CL125,1,0),IF(CQ125&lt;CN125,1,0),IF(CQ125&lt;CO125,1,0),IF(CQ125&lt;CP125,1,0),IF(CQ125&lt;CM125,1,0),IF(CQ125&lt;CR125,1,0),IF(CQ125&lt;CS125,1,0),IF(CQ125&lt;CT125,1,0),IF(CQ125&lt;CU125,1,0))&gt;7,"AWOL ("&amp;CY125-CQ125&amp;") ",""),IF(SUM(IF(CR125&lt;CK125,1,0),IF(CR125&lt;CL125,1,0),IF(CR125&lt;CN125,1,0),IF(CR125&lt;CO125,1,0),IF(CR125&lt;CP125,1,0),IF(CR125&lt;CQ125,1,0),IF(CR125&lt;CM125,1,0),IF(CR125&lt;CS125,1,0),IF(CR125&lt;CT125,1,0),IF(CR125&lt;CU125,1,0))&gt;7,"Hand ("&amp;CY125-CR125&amp;") ",""),IF(SUM(IF(CS125&lt;CK125,1,0),IF(CS125&lt;CL125,1,0),IF(CS125&lt;CN125,1,0),IF(CS125&lt;CO125,1,0),IF(CS125&lt;CP125,1,0),IF(CS125&lt;CQ125,1,0),IF(CS125&lt;CR125,1,0),IF(CS125&lt;CM125,1,0),IF(CS125&lt;CT125,1,0),IF(CS125&lt;CU125,1,0))&gt;7,"Waiver ("&amp;CY125-CS125&amp;") ",""),IF(SUM(IF(CT125&lt;CK125,1,0),IF(CT125&lt;CL125,1,0),IF(CT125&lt;CN125,1,0),IF(CT125&lt;CO125,1,0),IF(CT125&lt;CP125,1,0),IF(CT125&lt;CQ125,1,0),IF(CT125&lt;CR125,1,0),IF(CT125&lt;CS125,1,0),IF(CT125&lt;CM125,1,0),IF(CT125&lt;CU125,1,0))&gt;7,"TIN ("&amp;CY125-CT125&amp;") ",""),IF(SUM(IF(CU125&lt;CK125,1,0),IF(CU125&lt;CL125,1,0),IF(CU125&lt;CN125,1,0),IF(CU125&lt;CO125,1,0),IF(CU125&lt;CP125,1,0),IF(CU125&lt;CQ125,1,0),IF(CU125&lt;CR125,1,0),IF(CU125&lt;CS125,1,0),IF(CU125&lt;CT125,1,0),IF(CU125&lt;CM125,1,0))&gt;7,"1905 ("&amp;CY125-CU125&amp;") ",""))))</f>
        <v/>
      </c>
      <c r="CI125" s="151" t="str">
        <f t="shared" si="92"/>
        <v/>
      </c>
      <c r="CJ125" s="151">
        <f t="shared" si="75"/>
        <v>42104</v>
      </c>
      <c r="CK125" s="153">
        <f t="shared" si="76"/>
        <v>13</v>
      </c>
      <c r="CL125" s="153">
        <f t="shared" si="77"/>
        <v>13</v>
      </c>
      <c r="CM125" s="153">
        <f t="shared" si="78"/>
        <v>13</v>
      </c>
      <c r="CN125" s="153">
        <f t="shared" si="79"/>
        <v>12</v>
      </c>
      <c r="CO125" s="153">
        <f t="shared" si="80"/>
        <v>13</v>
      </c>
      <c r="CP125" s="153">
        <f t="shared" si="81"/>
        <v>13</v>
      </c>
      <c r="CQ125" s="153">
        <f t="shared" si="82"/>
        <v>13</v>
      </c>
      <c r="CR125" s="153">
        <f t="shared" si="83"/>
        <v>13</v>
      </c>
      <c r="CS125" s="153">
        <f t="shared" si="84"/>
        <v>13</v>
      </c>
      <c r="CT125" s="153">
        <f t="shared" si="109"/>
        <v>13</v>
      </c>
      <c r="CU125" s="153">
        <f t="shared" si="110"/>
        <v>13</v>
      </c>
      <c r="CV125" s="153">
        <f t="shared" si="111"/>
        <v>13</v>
      </c>
      <c r="CW125" s="153">
        <f t="shared" si="88"/>
        <v>12</v>
      </c>
      <c r="CX125" s="153">
        <f t="shared" si="89"/>
        <v>5</v>
      </c>
      <c r="CY125" s="156">
        <f t="shared" si="90"/>
        <v>13</v>
      </c>
      <c r="CZ125" s="321">
        <f t="shared" si="93"/>
        <v>10</v>
      </c>
      <c r="DA125" s="321">
        <f t="shared" si="94"/>
        <v>1</v>
      </c>
      <c r="DB125" s="321">
        <f t="shared" si="95"/>
        <v>1</v>
      </c>
    </row>
    <row r="126" spans="1:106" s="321" customFormat="1" x14ac:dyDescent="0.25">
      <c r="A126" s="384">
        <v>187</v>
      </c>
      <c r="B126" s="318">
        <v>42072</v>
      </c>
      <c r="C126" s="321">
        <v>1082342</v>
      </c>
      <c r="D126" s="321" t="s">
        <v>1345</v>
      </c>
      <c r="E126" s="321" t="str">
        <f t="shared" si="101"/>
        <v/>
      </c>
      <c r="F126" s="321" t="str">
        <f t="shared" si="102"/>
        <v xml:space="preserve">TOR, COE, 2x2, </v>
      </c>
      <c r="G126" s="317" t="s">
        <v>474</v>
      </c>
      <c r="H126" s="317"/>
      <c r="I126" s="317"/>
      <c r="J126" s="317"/>
      <c r="K126" s="384" t="str">
        <f t="shared" ca="1" si="107"/>
        <v/>
      </c>
      <c r="L126" s="334">
        <v>42104</v>
      </c>
      <c r="M126" s="334">
        <v>42117</v>
      </c>
      <c r="N126" s="317" t="str">
        <f t="shared" si="61"/>
        <v/>
      </c>
      <c r="O126" s="317" t="s">
        <v>302</v>
      </c>
      <c r="Q126" s="156" t="s">
        <v>1332</v>
      </c>
      <c r="R126" s="156">
        <v>9359009515</v>
      </c>
      <c r="S126" s="156">
        <f t="shared" si="68"/>
        <v>9359009515</v>
      </c>
      <c r="T126" s="156" t="str">
        <f t="shared" si="96"/>
        <v/>
      </c>
      <c r="U126" s="156" t="s">
        <v>1376</v>
      </c>
      <c r="V126" s="156" t="s">
        <v>1331</v>
      </c>
      <c r="W126" s="156" t="s">
        <v>1329</v>
      </c>
      <c r="X126" s="156" t="s">
        <v>1330</v>
      </c>
      <c r="Y126" s="156" t="s">
        <v>73</v>
      </c>
      <c r="Z126" s="156" t="s">
        <v>74</v>
      </c>
      <c r="AA126" s="156" t="s">
        <v>1232</v>
      </c>
      <c r="AB126" s="156"/>
      <c r="AC126" s="156" t="s">
        <v>741</v>
      </c>
      <c r="AD126" s="156" t="s">
        <v>1234</v>
      </c>
      <c r="AE126" s="156"/>
      <c r="AF126" s="156"/>
      <c r="AG126" s="156"/>
      <c r="AH126" s="153" t="s">
        <v>52</v>
      </c>
      <c r="AI126" s="156" t="s">
        <v>253</v>
      </c>
      <c r="AJ126" s="153" t="str">
        <f t="shared" si="120"/>
        <v/>
      </c>
      <c r="AK126" s="156"/>
      <c r="AL126" s="156" t="s">
        <v>265</v>
      </c>
      <c r="AM126" s="156"/>
      <c r="AN126" s="155">
        <v>30665</v>
      </c>
      <c r="AO126" s="156" t="s">
        <v>1390</v>
      </c>
      <c r="AP126" s="156" t="s">
        <v>1390</v>
      </c>
      <c r="AQ126" s="156" t="s">
        <v>53</v>
      </c>
      <c r="AR126" s="156" t="s">
        <v>378</v>
      </c>
      <c r="AS126" s="171">
        <v>42118</v>
      </c>
      <c r="AT126" s="151">
        <v>42109</v>
      </c>
      <c r="AU126" s="151">
        <v>42070</v>
      </c>
      <c r="AV126" s="180">
        <v>42074</v>
      </c>
      <c r="AW126" s="171">
        <v>42080</v>
      </c>
      <c r="AX126" s="153" t="s">
        <v>1553</v>
      </c>
      <c r="AY126" s="153"/>
      <c r="AZ126" s="151">
        <v>42080</v>
      </c>
      <c r="BA126" s="151">
        <v>42080</v>
      </c>
      <c r="BB126" s="183"/>
      <c r="BC126" s="171">
        <v>42074</v>
      </c>
      <c r="BD126" s="183" t="s">
        <v>1403</v>
      </c>
      <c r="BE126" s="171">
        <v>42080</v>
      </c>
      <c r="BF126" s="183" t="s">
        <v>1551</v>
      </c>
      <c r="BG126" s="171">
        <v>42080</v>
      </c>
      <c r="BH126" s="154" t="s">
        <v>1552</v>
      </c>
      <c r="BI126" s="180">
        <v>42080</v>
      </c>
      <c r="BJ126" s="171">
        <v>42137</v>
      </c>
      <c r="BK126" s="151">
        <v>42118</v>
      </c>
      <c r="BL126" s="180">
        <v>42123</v>
      </c>
      <c r="BM126" s="171">
        <v>42109</v>
      </c>
      <c r="BN126" s="153"/>
      <c r="BO126" s="180">
        <v>42080</v>
      </c>
      <c r="BP126" s="168"/>
      <c r="BQ126" s="153"/>
      <c r="BR126" s="183"/>
      <c r="BS126" s="171">
        <v>42072</v>
      </c>
      <c r="BT126" s="151">
        <v>42072</v>
      </c>
      <c r="BU126" s="180">
        <v>42072</v>
      </c>
      <c r="BV126" s="183"/>
      <c r="BW126" s="275" t="str">
        <f t="shared" si="129"/>
        <v xml:space="preserve">1905 3/17/2015, 2305 3/17/2015, MDR 3/17/2015, NBI receipt 4/24/2015, </v>
      </c>
      <c r="BX126" s="275">
        <f t="shared" si="104"/>
        <v>11</v>
      </c>
      <c r="BY126" s="275">
        <f t="shared" si="65"/>
        <v>11</v>
      </c>
      <c r="BZ126" s="277">
        <f t="shared" si="130"/>
        <v>1</v>
      </c>
      <c r="CA126" s="168" t="str">
        <f t="shared" si="103"/>
        <v/>
      </c>
      <c r="CB126" s="151" t="str">
        <f>IFERROR(CA126*7+40763,"")</f>
        <v/>
      </c>
      <c r="CC126" s="153" t="str">
        <f ca="1">IFERROR(ROUND(IF(CB126="","",(TODAY()-CB126)/7)+1,0),"")</f>
        <v/>
      </c>
      <c r="CD126" s="153" t="str">
        <f>IF(CG126="","",CY126)</f>
        <v/>
      </c>
      <c r="CE126" s="153" t="str">
        <f>IF(CG126="","",CW126)</f>
        <v/>
      </c>
      <c r="CF126" s="396" t="str">
        <f>IF(CG126="","",CY126-CW126)</f>
        <v/>
      </c>
      <c r="CG126" s="397" t="str">
        <f>IF(CB126="","",SUM(CK126:CU126)/((CY126)*11))</f>
        <v/>
      </c>
      <c r="CH126" s="153" t="str">
        <f>IF(CB126="","",IF(MIN(CK126:CU126)&gt;CY126,"",CONCATENATE(IF(SUM(IF(CK126&lt;CL126,1,0),IF(CK126&lt;CM126,1,0),IF(CK126&lt;CN126,1,0),IF(CK126&lt;CO126,1,0),IF(CK126&lt;CP126,1,0),IF(CK126&lt;CQ126,1,0),IF(CK126&lt;CR126,1,0),IF(CK126&lt;CS126,1,0),IF(CK126&lt;CT126,1,0),IF(CK126&lt;CU126,1,0))&gt;7,"SSS ("&amp;CY126-CK126&amp;") ",""),IF(SUM(IF(CL126&lt;CK126,1,0),IF(CL126&lt;CM126,1,0),IF(CL126&lt;CN126,1,0),IF(CL126&lt;CO126,1,0),IF(CL126&lt;CP126,1,0),IF(CL126&lt;CQ126,1,0),IF(CL126&lt;CR126,1,0),IF(CL126&lt;CS126,1,0),IF(CL126&lt;CT126,1,0),IF(CL126&lt;CU126,1,0))&gt;7,"HDMF ("&amp;CY126-CL126&amp;") ",""),IF(SUM(IF(CM126&lt;CK126,1,0),IF(CM126&lt;CL126,1,0),IF(CM126&lt;CN126,1,0),IF(CM126&lt;CO126,1,0),IF(CM126&lt;CP126,1,0),IF(CM126&lt;CQ126,1,0),IF(CM126&lt;CR126,1,0),IF(CM126&lt;CS126,1,0),IF(CM126&lt;CT126,1,0),IF(CM126&lt;CU126,1,0))&gt;7,"PHIC ("&amp;CY126-CM126&amp;") ",""),IF(SUM(IF(CN126&lt;CK126,1,0),IF(CN126&lt;CL126,1,0),IF(CN126&lt;CM126,1,0),IF(CN126&lt;CO126,1,0),IF(CN126&lt;CP126,1,0),IF(CN126&lt;CQ126,1,0),IF(CN126&lt;CR126,1,0),IF(CN126&lt;CS126,1,0),IF(CN126&lt;CT126,1,0),IF(CN126&lt;CU126,1,0))&gt;7,"NBI ("&amp;CY126-CN126&amp;") ",""),IF(SUM(IF(CO126&lt;CK126,1,0),IF(CO126&lt;CL126,1,0),IF(CO126&lt;CN126,1,0),IF(CO126&lt;CM126,1,0),IF(CO126&lt;CP126,1,0),IF(CO126&lt;CQ126,1,0),IF(CO126&lt;CR126,1,0),IF(CO126&lt;CS126,1,0),IF(CO126&lt;CT126,1,0),IF(CO126&lt;CU126,1,0))&gt;7,"NSO ("&amp;CY126-CO126&amp;") ",""),IF(SUM(IF(CP126&lt;CK126,1,0),IF(CP126&lt;CL126,1,0),IF(CP126&lt;CN126,1,0),IF(CP126&lt;CO126,1,0),IF(CP126&lt;CM126,1,0),IF(CP126&lt;CQ126,1,0),IF(CP126&lt;CR126,1,0),IF(CP126&lt;CS126,1,0),IF(CP126&lt;CT126,1,0),IF(CP126&lt;CU126,1,0))&gt;7,"Info ("&amp;CY126-CP126&amp;") ",""),IF(SUM(IF(CQ126&lt;CK126,1,0),IF(CQ126&lt;CL126,1,0),IF(CQ126&lt;CN126,1,0),IF(CQ126&lt;CO126,1,0),IF(CQ126&lt;CP126,1,0),IF(CQ126&lt;CM126,1,0),IF(CQ126&lt;CR126,1,0),IF(CQ126&lt;CS126,1,0),IF(CQ126&lt;CT126,1,0),IF(CQ126&lt;CU126,1,0))&gt;7,"AWOL ("&amp;CY126-CQ126&amp;") ",""),IF(SUM(IF(CR126&lt;CK126,1,0),IF(CR126&lt;CL126,1,0),IF(CR126&lt;CN126,1,0),IF(CR126&lt;CO126,1,0),IF(CR126&lt;CP126,1,0),IF(CR126&lt;CQ126,1,0),IF(CR126&lt;CM126,1,0),IF(CR126&lt;CS126,1,0),IF(CR126&lt;CT126,1,0),IF(CR126&lt;CU126,1,0))&gt;7,"Hand ("&amp;CY126-CR126&amp;") ",""),IF(SUM(IF(CS126&lt;CK126,1,0),IF(CS126&lt;CL126,1,0),IF(CS126&lt;CN126,1,0),IF(CS126&lt;CO126,1,0),IF(CS126&lt;CP126,1,0),IF(CS126&lt;CQ126,1,0),IF(CS126&lt;CR126,1,0),IF(CS126&lt;CM126,1,0),IF(CS126&lt;CT126,1,0),IF(CS126&lt;CU126,1,0))&gt;7,"Waiver ("&amp;CY126-CS126&amp;") ",""),IF(SUM(IF(CT126&lt;CK126,1,0),IF(CT126&lt;CL126,1,0),IF(CT126&lt;CN126,1,0),IF(CT126&lt;CO126,1,0),IF(CT126&lt;CP126,1,0),IF(CT126&lt;CQ126,1,0),IF(CT126&lt;CR126,1,0),IF(CT126&lt;CS126,1,0),IF(CT126&lt;CM126,1,0),IF(CT126&lt;CU126,1,0))&gt;7,"TIN ("&amp;CY126-CT126&amp;") ",""),IF(SUM(IF(CU126&lt;CK126,1,0),IF(CU126&lt;CL126,1,0),IF(CU126&lt;CN126,1,0),IF(CU126&lt;CO126,1,0),IF(CU126&lt;CP126,1,0),IF(CU126&lt;CQ126,1,0),IF(CU126&lt;CR126,1,0),IF(CU126&lt;CS126,1,0),IF(CU126&lt;CT126,1,0),IF(CU126&lt;CM126,1,0))&gt;7,"1905 ("&amp;CY126-CU126&amp;") ",""))))</f>
        <v/>
      </c>
      <c r="CI126" s="151" t="str">
        <f t="shared" si="92"/>
        <v/>
      </c>
      <c r="CJ126" s="151">
        <f t="shared" si="75"/>
        <v>42104</v>
      </c>
      <c r="CK126" s="153">
        <f t="shared" si="76"/>
        <v>14</v>
      </c>
      <c r="CL126" s="153">
        <f t="shared" si="77"/>
        <v>14</v>
      </c>
      <c r="CM126" s="153">
        <f t="shared" si="78"/>
        <v>14</v>
      </c>
      <c r="CN126" s="153">
        <f t="shared" si="79"/>
        <v>13</v>
      </c>
      <c r="CO126" s="153">
        <f t="shared" si="80"/>
        <v>14</v>
      </c>
      <c r="CP126" s="153">
        <f t="shared" si="81"/>
        <v>14</v>
      </c>
      <c r="CQ126" s="153">
        <f t="shared" si="82"/>
        <v>14</v>
      </c>
      <c r="CR126" s="153">
        <f t="shared" si="83"/>
        <v>14</v>
      </c>
      <c r="CS126" s="153">
        <f t="shared" si="84"/>
        <v>14</v>
      </c>
      <c r="CT126" s="153">
        <f t="shared" si="109"/>
        <v>14</v>
      </c>
      <c r="CU126" s="153">
        <f t="shared" si="110"/>
        <v>14</v>
      </c>
      <c r="CV126" s="153">
        <f t="shared" si="111"/>
        <v>14</v>
      </c>
      <c r="CW126" s="153">
        <f t="shared" si="88"/>
        <v>13</v>
      </c>
      <c r="CX126" s="153">
        <f t="shared" si="89"/>
        <v>5</v>
      </c>
      <c r="CY126" s="156">
        <f t="shared" si="90"/>
        <v>14</v>
      </c>
      <c r="CZ126" s="321">
        <f t="shared" si="93"/>
        <v>45</v>
      </c>
      <c r="DA126" s="321">
        <f t="shared" si="94"/>
        <v>0</v>
      </c>
      <c r="DB126" s="321">
        <f t="shared" si="95"/>
        <v>1</v>
      </c>
    </row>
    <row r="127" spans="1:106" s="343" customFormat="1" ht="15.75" thickBot="1" x14ac:dyDescent="0.3">
      <c r="A127" s="391">
        <v>187</v>
      </c>
      <c r="B127" s="344">
        <v>42072</v>
      </c>
      <c r="C127" s="343">
        <v>1082343</v>
      </c>
      <c r="D127" s="343" t="s">
        <v>2582</v>
      </c>
      <c r="E127" s="343" t="str">
        <f t="shared" si="101"/>
        <v/>
      </c>
      <c r="F127" s="343" t="str">
        <f t="shared" si="102"/>
        <v xml:space="preserve">TOR, COE, 2x2, </v>
      </c>
      <c r="K127" s="491" t="str">
        <f t="shared" ca="1" si="107"/>
        <v/>
      </c>
      <c r="L127" s="344">
        <v>42104</v>
      </c>
      <c r="M127" s="344">
        <v>42117</v>
      </c>
      <c r="N127" s="487" t="str">
        <f t="shared" si="61"/>
        <v/>
      </c>
      <c r="O127" s="343" t="s">
        <v>302</v>
      </c>
      <c r="Q127" s="343" t="s">
        <v>1362</v>
      </c>
      <c r="R127" s="343">
        <v>9321476323</v>
      </c>
      <c r="S127" s="487">
        <f t="shared" si="68"/>
        <v>9321476323</v>
      </c>
      <c r="T127" s="487" t="str">
        <f t="shared" si="96"/>
        <v/>
      </c>
      <c r="U127" s="343" t="s">
        <v>1377</v>
      </c>
      <c r="V127" s="343" t="s">
        <v>1361</v>
      </c>
      <c r="W127" s="343" t="s">
        <v>1360</v>
      </c>
      <c r="X127" s="343" t="s">
        <v>2581</v>
      </c>
      <c r="Y127" s="343" t="s">
        <v>892</v>
      </c>
      <c r="Z127" s="343" t="s">
        <v>70</v>
      </c>
      <c r="AA127" s="343" t="s">
        <v>1441</v>
      </c>
      <c r="AC127" s="343" t="s">
        <v>741</v>
      </c>
      <c r="AD127" s="343" t="s">
        <v>1038</v>
      </c>
      <c r="AH127" s="343" t="s">
        <v>52</v>
      </c>
      <c r="AI127" s="343" t="s">
        <v>253</v>
      </c>
      <c r="AJ127" s="487" t="str">
        <f t="shared" si="120"/>
        <v/>
      </c>
      <c r="AL127" s="343" t="s">
        <v>727</v>
      </c>
      <c r="AM127" s="343" t="s">
        <v>1363</v>
      </c>
      <c r="AN127" s="344">
        <v>29242</v>
      </c>
      <c r="AO127" s="343" t="s">
        <v>1442</v>
      </c>
      <c r="AP127" s="343" t="s">
        <v>1442</v>
      </c>
      <c r="AQ127" s="343" t="s">
        <v>50</v>
      </c>
      <c r="AR127" s="343" t="s">
        <v>378</v>
      </c>
      <c r="AS127" s="356">
        <v>42081</v>
      </c>
      <c r="AT127" s="344">
        <v>42081</v>
      </c>
      <c r="AU127" s="344">
        <v>42081</v>
      </c>
      <c r="AV127" s="353">
        <v>42081</v>
      </c>
      <c r="AW127" s="356">
        <v>42081</v>
      </c>
      <c r="AX127" s="343" t="s">
        <v>1579</v>
      </c>
      <c r="AZ127" s="344">
        <v>42101</v>
      </c>
      <c r="BA127" s="344">
        <v>42082</v>
      </c>
      <c r="BB127" s="351"/>
      <c r="BC127" s="356">
        <v>42082</v>
      </c>
      <c r="BD127" s="351" t="s">
        <v>1615</v>
      </c>
      <c r="BE127" s="356">
        <v>42081</v>
      </c>
      <c r="BF127" s="351" t="s">
        <v>1578</v>
      </c>
      <c r="BG127" s="356">
        <v>42090</v>
      </c>
      <c r="BH127" s="464" t="s">
        <v>1763</v>
      </c>
      <c r="BI127" s="353">
        <v>42090</v>
      </c>
      <c r="BJ127" s="356">
        <v>42090</v>
      </c>
      <c r="BL127" s="351"/>
      <c r="BM127" s="356">
        <v>42090</v>
      </c>
      <c r="BO127" s="351"/>
      <c r="BP127" s="465"/>
      <c r="BR127" s="351"/>
      <c r="BS127" s="356">
        <v>42076</v>
      </c>
      <c r="BT127" s="344">
        <v>42076</v>
      </c>
      <c r="BU127" s="353">
        <v>42076</v>
      </c>
      <c r="BV127" s="351"/>
      <c r="BW127" s="518" t="str">
        <f t="shared" si="129"/>
        <v xml:space="preserve">1905 4/7/2015, 2305 3/19/2015, MDR 3/27/2015, </v>
      </c>
      <c r="BX127" s="518">
        <f t="shared" si="104"/>
        <v>11</v>
      </c>
      <c r="BY127" s="518">
        <f t="shared" si="65"/>
        <v>11</v>
      </c>
      <c r="BZ127" s="519">
        <f t="shared" si="130"/>
        <v>1</v>
      </c>
      <c r="CA127" s="524">
        <f t="shared" si="103"/>
        <v>187</v>
      </c>
      <c r="CB127" s="503">
        <f>IFERROR(CA127*7+40763,"")</f>
        <v>42072</v>
      </c>
      <c r="CC127" s="487">
        <f ca="1">IFERROR(ROUND(IF(CB127="","",(TODAY()-CB127)/7)+1,0),"")</f>
        <v>11</v>
      </c>
      <c r="CD127" s="487">
        <f>IF(CG127="","",CY127)</f>
        <v>15</v>
      </c>
      <c r="CE127" s="487">
        <f>IF(CG127="","",CW127)</f>
        <v>14</v>
      </c>
      <c r="CF127" s="504">
        <f>IF(CG127="","",CY127-CW127)</f>
        <v>1</v>
      </c>
      <c r="CG127" s="505">
        <f>IF(CB127="","",SUM(CK127:CU127)/((CY127)*11))</f>
        <v>0.9939393939393939</v>
      </c>
      <c r="CH127" s="487" t="str">
        <f>IF(CB127="","",IF(MIN(CK127:CU127)&gt;CY127,"",CONCATENATE(IF(SUM(IF(CK127&lt;CL127,1,0),IF(CK127&lt;CM127,1,0),IF(CK127&lt;CN127,1,0),IF(CK127&lt;CO127,1,0),IF(CK127&lt;CP127,1,0),IF(CK127&lt;CQ127,1,0),IF(CK127&lt;CR127,1,0),IF(CK127&lt;CS127,1,0),IF(CK127&lt;CT127,1,0),IF(CK127&lt;CU127,1,0))&gt;7,"SSS ("&amp;CY127-CK127&amp;") ",""),IF(SUM(IF(CL127&lt;CK127,1,0),IF(CL127&lt;CM127,1,0),IF(CL127&lt;CN127,1,0),IF(CL127&lt;CO127,1,0),IF(CL127&lt;CP127,1,0),IF(CL127&lt;CQ127,1,0),IF(CL127&lt;CR127,1,0),IF(CL127&lt;CS127,1,0),IF(CL127&lt;CT127,1,0),IF(CL127&lt;CU127,1,0))&gt;7,"HDMF ("&amp;CY127-CL127&amp;") ",""),IF(SUM(IF(CM127&lt;CK127,1,0),IF(CM127&lt;CL127,1,0),IF(CM127&lt;CN127,1,0),IF(CM127&lt;CO127,1,0),IF(CM127&lt;CP127,1,0),IF(CM127&lt;CQ127,1,0),IF(CM127&lt;CR127,1,0),IF(CM127&lt;CS127,1,0),IF(CM127&lt;CT127,1,0),IF(CM127&lt;CU127,1,0))&gt;7,"PHIC ("&amp;CY127-CM127&amp;") ",""),IF(SUM(IF(CN127&lt;CK127,1,0),IF(CN127&lt;CL127,1,0),IF(CN127&lt;CM127,1,0),IF(CN127&lt;CO127,1,0),IF(CN127&lt;CP127,1,0),IF(CN127&lt;CQ127,1,0),IF(CN127&lt;CR127,1,0),IF(CN127&lt;CS127,1,0),IF(CN127&lt;CT127,1,0),IF(CN127&lt;CU127,1,0))&gt;7,"NBI ("&amp;CY127-CN127&amp;") ",""),IF(SUM(IF(CO127&lt;CK127,1,0),IF(CO127&lt;CL127,1,0),IF(CO127&lt;CN127,1,0),IF(CO127&lt;CM127,1,0),IF(CO127&lt;CP127,1,0),IF(CO127&lt;CQ127,1,0),IF(CO127&lt;CR127,1,0),IF(CO127&lt;CS127,1,0),IF(CO127&lt;CT127,1,0),IF(CO127&lt;CU127,1,0))&gt;7,"NSO ("&amp;CY127-CO127&amp;") ",""),IF(SUM(IF(CP127&lt;CK127,1,0),IF(CP127&lt;CL127,1,0),IF(CP127&lt;CN127,1,0),IF(CP127&lt;CO127,1,0),IF(CP127&lt;CM127,1,0),IF(CP127&lt;CQ127,1,0),IF(CP127&lt;CR127,1,0),IF(CP127&lt;CS127,1,0),IF(CP127&lt;CT127,1,0),IF(CP127&lt;CU127,1,0))&gt;7,"Info ("&amp;CY127-CP127&amp;") ",""),IF(SUM(IF(CQ127&lt;CK127,1,0),IF(CQ127&lt;CL127,1,0),IF(CQ127&lt;CN127,1,0),IF(CQ127&lt;CO127,1,0),IF(CQ127&lt;CP127,1,0),IF(CQ127&lt;CM127,1,0),IF(CQ127&lt;CR127,1,0),IF(CQ127&lt;CS127,1,0),IF(CQ127&lt;CT127,1,0),IF(CQ127&lt;CU127,1,0))&gt;7,"AWOL ("&amp;CY127-CQ127&amp;") ",""),IF(SUM(IF(CR127&lt;CK127,1,0),IF(CR127&lt;CL127,1,0),IF(CR127&lt;CN127,1,0),IF(CR127&lt;CO127,1,0),IF(CR127&lt;CP127,1,0),IF(CR127&lt;CQ127,1,0),IF(CR127&lt;CM127,1,0),IF(CR127&lt;CS127,1,0),IF(CR127&lt;CT127,1,0),IF(CR127&lt;CU127,1,0))&gt;7,"Hand ("&amp;CY127-CR127&amp;") ",""),IF(SUM(IF(CS127&lt;CK127,1,0),IF(CS127&lt;CL127,1,0),IF(CS127&lt;CN127,1,0),IF(CS127&lt;CO127,1,0),IF(CS127&lt;CP127,1,0),IF(CS127&lt;CQ127,1,0),IF(CS127&lt;CR127,1,0),IF(CS127&lt;CM127,1,0),IF(CS127&lt;CT127,1,0),IF(CS127&lt;CU127,1,0))&gt;7,"Waiver ("&amp;CY127-CS127&amp;") ",""),IF(SUM(IF(CT127&lt;CK127,1,0),IF(CT127&lt;CL127,1,0),IF(CT127&lt;CN127,1,0),IF(CT127&lt;CO127,1,0),IF(CT127&lt;CP127,1,0),IF(CT127&lt;CQ127,1,0),IF(CT127&lt;CR127,1,0),IF(CT127&lt;CS127,1,0),IF(CT127&lt;CM127,1,0),IF(CT127&lt;CU127,1,0))&gt;7,"TIN ("&amp;CY127-CT127&amp;") ",""),IF(SUM(IF(CU127&lt;CK127,1,0),IF(CU127&lt;CL127,1,0),IF(CU127&lt;CN127,1,0),IF(CU127&lt;CO127,1,0),IF(CU127&lt;CP127,1,0),IF(CU127&lt;CQ127,1,0),IF(CU127&lt;CR127,1,0),IF(CU127&lt;CS127,1,0),IF(CU127&lt;CT127,1,0),IF(CU127&lt;CM127,1,0))&gt;7,"1905 ("&amp;CY127-CU127&amp;") ",""))))</f>
        <v xml:space="preserve">NBI (1) </v>
      </c>
      <c r="CI127" s="503">
        <f t="shared" si="92"/>
        <v>42104</v>
      </c>
      <c r="CJ127" s="503">
        <f t="shared" si="75"/>
        <v>42104</v>
      </c>
      <c r="CK127" s="487">
        <f t="shared" si="76"/>
        <v>15</v>
      </c>
      <c r="CL127" s="487">
        <f t="shared" si="77"/>
        <v>15</v>
      </c>
      <c r="CM127" s="487">
        <f t="shared" si="78"/>
        <v>15</v>
      </c>
      <c r="CN127" s="487">
        <f t="shared" si="79"/>
        <v>14</v>
      </c>
      <c r="CO127" s="487">
        <f t="shared" si="80"/>
        <v>15</v>
      </c>
      <c r="CP127" s="487">
        <f t="shared" si="81"/>
        <v>15</v>
      </c>
      <c r="CQ127" s="487">
        <f t="shared" si="82"/>
        <v>15</v>
      </c>
      <c r="CR127" s="487">
        <f t="shared" si="83"/>
        <v>15</v>
      </c>
      <c r="CS127" s="487">
        <f t="shared" si="84"/>
        <v>15</v>
      </c>
      <c r="CT127" s="487">
        <f t="shared" si="109"/>
        <v>15</v>
      </c>
      <c r="CU127" s="487">
        <f t="shared" si="110"/>
        <v>15</v>
      </c>
      <c r="CV127" s="487">
        <f t="shared" si="111"/>
        <v>15</v>
      </c>
      <c r="CW127" s="487">
        <f t="shared" si="88"/>
        <v>14</v>
      </c>
      <c r="CX127" s="487">
        <f t="shared" si="89"/>
        <v>5</v>
      </c>
      <c r="CY127" s="487">
        <f t="shared" si="90"/>
        <v>15</v>
      </c>
      <c r="CZ127" s="343">
        <f t="shared" si="93"/>
        <v>45</v>
      </c>
      <c r="DA127" s="343">
        <f t="shared" si="94"/>
        <v>0</v>
      </c>
      <c r="DB127" s="343">
        <f t="shared" si="95"/>
        <v>1</v>
      </c>
    </row>
    <row r="128" spans="1:106" s="321" customFormat="1" ht="15.75" thickTop="1" x14ac:dyDescent="0.25">
      <c r="A128" s="382">
        <v>188</v>
      </c>
      <c r="B128" s="334">
        <v>42079</v>
      </c>
      <c r="C128" s="321">
        <v>1082344</v>
      </c>
      <c r="D128" s="321" t="s">
        <v>1514</v>
      </c>
      <c r="E128" s="321" t="str">
        <f t="shared" si="101"/>
        <v/>
      </c>
      <c r="F128" s="321" t="str">
        <f t="shared" si="102"/>
        <v xml:space="preserve">2x2, </v>
      </c>
      <c r="K128" s="152" t="str">
        <f t="shared" ca="1" si="107"/>
        <v/>
      </c>
      <c r="M128" s="334">
        <v>42082</v>
      </c>
      <c r="N128" s="156" t="str">
        <f t="shared" si="61"/>
        <v/>
      </c>
      <c r="O128" s="321" t="s">
        <v>302</v>
      </c>
      <c r="Q128" s="321" t="s">
        <v>1445</v>
      </c>
      <c r="R128" s="321">
        <v>9159793134</v>
      </c>
      <c r="S128" s="156">
        <f t="shared" si="68"/>
        <v>9159793134</v>
      </c>
      <c r="T128" s="156" t="str">
        <f t="shared" si="96"/>
        <v/>
      </c>
      <c r="U128" s="321" t="s">
        <v>1515</v>
      </c>
      <c r="V128" s="321" t="s">
        <v>1444</v>
      </c>
      <c r="W128" s="321" t="s">
        <v>558</v>
      </c>
      <c r="X128" s="321" t="s">
        <v>1443</v>
      </c>
      <c r="Y128" s="321" t="s">
        <v>1446</v>
      </c>
      <c r="Z128" s="321" t="s">
        <v>70</v>
      </c>
      <c r="AA128" s="321" t="s">
        <v>1232</v>
      </c>
      <c r="AC128" s="321" t="s">
        <v>741</v>
      </c>
      <c r="AD128" s="321" t="s">
        <v>1038</v>
      </c>
      <c r="AH128" s="321" t="s">
        <v>52</v>
      </c>
      <c r="AI128" s="321" t="s">
        <v>253</v>
      </c>
      <c r="AJ128" s="153" t="str">
        <f t="shared" si="120"/>
        <v/>
      </c>
      <c r="AL128" s="321" t="s">
        <v>339</v>
      </c>
      <c r="AM128" s="321" t="s">
        <v>1447</v>
      </c>
      <c r="AN128" s="334">
        <v>33960</v>
      </c>
      <c r="AO128" s="321" t="s">
        <v>1558</v>
      </c>
      <c r="AP128" s="321" t="s">
        <v>1558</v>
      </c>
      <c r="AQ128" s="321" t="s">
        <v>53</v>
      </c>
      <c r="AR128" s="321" t="s">
        <v>378</v>
      </c>
      <c r="AS128" s="332">
        <v>42079</v>
      </c>
      <c r="AT128" s="318">
        <v>42079</v>
      </c>
      <c r="AU128" s="318">
        <v>42079</v>
      </c>
      <c r="AV128" s="329">
        <v>42079</v>
      </c>
      <c r="AW128" s="332">
        <v>42079</v>
      </c>
      <c r="AX128" s="317" t="s">
        <v>1556</v>
      </c>
      <c r="AY128" s="317"/>
      <c r="AZ128" s="318">
        <v>42079</v>
      </c>
      <c r="BA128" s="318">
        <v>42079</v>
      </c>
      <c r="BB128" s="326"/>
      <c r="BC128" s="332">
        <v>42079</v>
      </c>
      <c r="BD128" s="326" t="s">
        <v>1557</v>
      </c>
      <c r="BE128" s="332">
        <v>42080</v>
      </c>
      <c r="BF128" s="326" t="s">
        <v>1563</v>
      </c>
      <c r="BG128" s="332">
        <v>42115</v>
      </c>
      <c r="BH128" s="385" t="s">
        <v>2488</v>
      </c>
      <c r="BI128" s="329">
        <v>42115</v>
      </c>
      <c r="BJ128" s="332">
        <v>42104</v>
      </c>
      <c r="BK128" s="317"/>
      <c r="BL128" s="326"/>
      <c r="BM128" s="332">
        <v>42079</v>
      </c>
      <c r="BN128" s="317"/>
      <c r="BO128" s="326"/>
      <c r="BP128" s="337"/>
      <c r="BQ128" s="318">
        <v>42079</v>
      </c>
      <c r="BR128" s="329">
        <v>42079</v>
      </c>
      <c r="BS128" s="332">
        <v>42079</v>
      </c>
      <c r="BT128" s="318">
        <v>42079</v>
      </c>
      <c r="BU128" s="329">
        <v>42079</v>
      </c>
      <c r="BV128" s="326"/>
      <c r="BW128" s="275" t="str">
        <f t="shared" si="129"/>
        <v xml:space="preserve">1905 3/16/2015, 2305 3/16/2015, MDR 4/21/2015, </v>
      </c>
      <c r="BX128" s="275">
        <f t="shared" si="104"/>
        <v>11</v>
      </c>
      <c r="BY128" s="275">
        <f t="shared" si="65"/>
        <v>11</v>
      </c>
      <c r="BZ128" s="277">
        <f t="shared" si="130"/>
        <v>1</v>
      </c>
      <c r="CA128" s="168" t="str">
        <f t="shared" si="103"/>
        <v/>
      </c>
      <c r="CB128" s="151" t="str">
        <f t="shared" ref="CB128:CB145" si="131">IFERROR(CA128*7+40763,"")</f>
        <v/>
      </c>
      <c r="CC128" s="153" t="str">
        <f t="shared" ref="CC128:CC145" ca="1" si="132">IFERROR(ROUND(IF(CB128="","",(TODAY()-CB128)/7)+1,0),"")</f>
        <v/>
      </c>
      <c r="CD128" s="153" t="str">
        <f t="shared" ref="CD128:CD145" si="133">IF(CG128="","",CY128)</f>
        <v/>
      </c>
      <c r="CE128" s="153" t="str">
        <f t="shared" ref="CE128:CE145" si="134">IF(CG128="","",CW128)</f>
        <v/>
      </c>
      <c r="CF128" s="396" t="str">
        <f t="shared" ref="CF128:CF145" si="135">IF(CG128="","",CY128-CW128)</f>
        <v/>
      </c>
      <c r="CG128" s="397" t="str">
        <f t="shared" ref="CG128:CG145" si="136">IF(CB128="","",SUM(CK128:CU128)/((CY128)*11))</f>
        <v/>
      </c>
      <c r="CH128" s="153" t="str">
        <f t="shared" ref="CH128:CH145" si="137">IF(CB128="","",IF(MIN(CK128:CU128)&gt;CY128,"",CONCATENATE(IF(SUM(IF(CK128&lt;CL128,1,0),IF(CK128&lt;CM128,1,0),IF(CK128&lt;CN128,1,0),IF(CK128&lt;CO128,1,0),IF(CK128&lt;CP128,1,0),IF(CK128&lt;CQ128,1,0),IF(CK128&lt;CR128,1,0),IF(CK128&lt;CS128,1,0),IF(CK128&lt;CT128,1,0),IF(CK128&lt;CU128,1,0))&gt;7,"SSS ("&amp;CY128-CK128&amp;") ",""),IF(SUM(IF(CL128&lt;CK128,1,0),IF(CL128&lt;CM128,1,0),IF(CL128&lt;CN128,1,0),IF(CL128&lt;CO128,1,0),IF(CL128&lt;CP128,1,0),IF(CL128&lt;CQ128,1,0),IF(CL128&lt;CR128,1,0),IF(CL128&lt;CS128,1,0),IF(CL128&lt;CT128,1,0),IF(CL128&lt;CU128,1,0))&gt;7,"HDMF ("&amp;CY128-CL128&amp;") ",""),IF(SUM(IF(CM128&lt;CK128,1,0),IF(CM128&lt;CL128,1,0),IF(CM128&lt;CN128,1,0),IF(CM128&lt;CO128,1,0),IF(CM128&lt;CP128,1,0),IF(CM128&lt;CQ128,1,0),IF(CM128&lt;CR128,1,0),IF(CM128&lt;CS128,1,0),IF(CM128&lt;CT128,1,0),IF(CM128&lt;CU128,1,0))&gt;7,"PHIC ("&amp;CY128-CM128&amp;") ",""),IF(SUM(IF(CN128&lt;CK128,1,0),IF(CN128&lt;CL128,1,0),IF(CN128&lt;CM128,1,0),IF(CN128&lt;CO128,1,0),IF(CN128&lt;CP128,1,0),IF(CN128&lt;CQ128,1,0),IF(CN128&lt;CR128,1,0),IF(CN128&lt;CS128,1,0),IF(CN128&lt;CT128,1,0),IF(CN128&lt;CU128,1,0))&gt;7,"NBI ("&amp;CY128-CN128&amp;") ",""),IF(SUM(IF(CO128&lt;CK128,1,0),IF(CO128&lt;CL128,1,0),IF(CO128&lt;CN128,1,0),IF(CO128&lt;CM128,1,0),IF(CO128&lt;CP128,1,0),IF(CO128&lt;CQ128,1,0),IF(CO128&lt;CR128,1,0),IF(CO128&lt;CS128,1,0),IF(CO128&lt;CT128,1,0),IF(CO128&lt;CU128,1,0))&gt;7,"NSO ("&amp;CY128-CO128&amp;") ",""),IF(SUM(IF(CP128&lt;CK128,1,0),IF(CP128&lt;CL128,1,0),IF(CP128&lt;CN128,1,0),IF(CP128&lt;CO128,1,0),IF(CP128&lt;CM128,1,0),IF(CP128&lt;CQ128,1,0),IF(CP128&lt;CR128,1,0),IF(CP128&lt;CS128,1,0),IF(CP128&lt;CT128,1,0),IF(CP128&lt;CU128,1,0))&gt;7,"Info ("&amp;CY128-CP128&amp;") ",""),IF(SUM(IF(CQ128&lt;CK128,1,0),IF(CQ128&lt;CL128,1,0),IF(CQ128&lt;CN128,1,0),IF(CQ128&lt;CO128,1,0),IF(CQ128&lt;CP128,1,0),IF(CQ128&lt;CM128,1,0),IF(CQ128&lt;CR128,1,0),IF(CQ128&lt;CS128,1,0),IF(CQ128&lt;CT128,1,0),IF(CQ128&lt;CU128,1,0))&gt;7,"AWOL ("&amp;CY128-CQ128&amp;") ",""),IF(SUM(IF(CR128&lt;CK128,1,0),IF(CR128&lt;CL128,1,0),IF(CR128&lt;CN128,1,0),IF(CR128&lt;CO128,1,0),IF(CR128&lt;CP128,1,0),IF(CR128&lt;CQ128,1,0),IF(CR128&lt;CM128,1,0),IF(CR128&lt;CS128,1,0),IF(CR128&lt;CT128,1,0),IF(CR128&lt;CU128,1,0))&gt;7,"Hand ("&amp;CY128-CR128&amp;") ",""),IF(SUM(IF(CS128&lt;CK128,1,0),IF(CS128&lt;CL128,1,0),IF(CS128&lt;CN128,1,0),IF(CS128&lt;CO128,1,0),IF(CS128&lt;CP128,1,0),IF(CS128&lt;CQ128,1,0),IF(CS128&lt;CR128,1,0),IF(CS128&lt;CM128,1,0),IF(CS128&lt;CT128,1,0),IF(CS128&lt;CU128,1,0))&gt;7,"Waiver ("&amp;CY128-CS128&amp;") ",""),IF(SUM(IF(CT128&lt;CK128,1,0),IF(CT128&lt;CL128,1,0),IF(CT128&lt;CN128,1,0),IF(CT128&lt;CO128,1,0),IF(CT128&lt;CP128,1,0),IF(CT128&lt;CQ128,1,0),IF(CT128&lt;CR128,1,0),IF(CT128&lt;CS128,1,0),IF(CT128&lt;CM128,1,0),IF(CT128&lt;CU128,1,0))&gt;7,"TIN ("&amp;CY128-CT128&amp;") ",""),IF(SUM(IF(CU128&lt;CK128,1,0),IF(CU128&lt;CL128,1,0),IF(CU128&lt;CN128,1,0),IF(CU128&lt;CO128,1,0),IF(CU128&lt;CP128,1,0),IF(CU128&lt;CQ128,1,0),IF(CU128&lt;CR128,1,0),IF(CU128&lt;CS128,1,0),IF(CU128&lt;CT128,1,0),IF(CU128&lt;CM128,1,0))&gt;7,"1905 ("&amp;CY128-CU128&amp;") ",""))))</f>
        <v/>
      </c>
      <c r="CI128" s="151" t="str">
        <f t="shared" si="92"/>
        <v/>
      </c>
      <c r="CJ128" s="151" t="str">
        <f t="shared" si="75"/>
        <v/>
      </c>
      <c r="CK128" s="153">
        <f t="shared" si="76"/>
        <v>1</v>
      </c>
      <c r="CL128" s="153">
        <f t="shared" si="77"/>
        <v>1</v>
      </c>
      <c r="CM128" s="153">
        <f t="shared" si="78"/>
        <v>1</v>
      </c>
      <c r="CN128" s="153">
        <f t="shared" si="79"/>
        <v>1</v>
      </c>
      <c r="CO128" s="153">
        <f t="shared" si="80"/>
        <v>1</v>
      </c>
      <c r="CP128" s="153">
        <f t="shared" si="81"/>
        <v>1</v>
      </c>
      <c r="CQ128" s="153">
        <f t="shared" si="82"/>
        <v>1</v>
      </c>
      <c r="CR128" s="153">
        <f t="shared" si="83"/>
        <v>1</v>
      </c>
      <c r="CS128" s="153">
        <f t="shared" si="84"/>
        <v>1</v>
      </c>
      <c r="CT128" s="153">
        <f t="shared" si="109"/>
        <v>1</v>
      </c>
      <c r="CU128" s="153">
        <f t="shared" si="110"/>
        <v>1</v>
      </c>
      <c r="CV128" s="153">
        <f t="shared" si="111"/>
        <v>1</v>
      </c>
      <c r="CW128" s="153">
        <f t="shared" si="88"/>
        <v>1</v>
      </c>
      <c r="CX128" s="153">
        <f t="shared" si="89"/>
        <v>0</v>
      </c>
      <c r="CY128" s="156">
        <f t="shared" si="90"/>
        <v>1</v>
      </c>
      <c r="CZ128" s="321">
        <f t="shared" si="93"/>
        <v>3</v>
      </c>
      <c r="DA128" s="321">
        <f t="shared" si="94"/>
        <v>1</v>
      </c>
      <c r="DB128" s="321">
        <f t="shared" si="95"/>
        <v>1</v>
      </c>
    </row>
    <row r="129" spans="1:106" s="317" customFormat="1" x14ac:dyDescent="0.25">
      <c r="A129" s="384">
        <v>188</v>
      </c>
      <c r="B129" s="318">
        <v>42079</v>
      </c>
      <c r="C129" s="317">
        <v>1082345</v>
      </c>
      <c r="D129" s="317" t="s">
        <v>1516</v>
      </c>
      <c r="E129" s="317" t="str">
        <f t="shared" si="101"/>
        <v/>
      </c>
      <c r="F129" s="317" t="str">
        <f t="shared" si="102"/>
        <v xml:space="preserve">MDR, TOR, 2x2, </v>
      </c>
      <c r="G129" s="321"/>
      <c r="H129" s="321"/>
      <c r="I129" s="321"/>
      <c r="J129" s="321"/>
      <c r="K129" s="152" t="str">
        <f t="shared" ca="1" si="107"/>
        <v/>
      </c>
      <c r="M129" s="318">
        <v>42082</v>
      </c>
      <c r="N129" s="153" t="str">
        <f t="shared" si="61"/>
        <v/>
      </c>
      <c r="O129" s="317" t="s">
        <v>302</v>
      </c>
      <c r="Q129" s="317" t="s">
        <v>1451</v>
      </c>
      <c r="R129" s="317" t="s">
        <v>1567</v>
      </c>
      <c r="S129" s="153" t="str">
        <f>IFERROR(IF(SEARCH("/",R129)&gt;0,REPLACE(R129,11,11,""),R129),R129)</f>
        <v>9174557288</v>
      </c>
      <c r="T129" s="153" t="str">
        <f t="shared" si="96"/>
        <v>9495685068</v>
      </c>
      <c r="U129" s="317" t="s">
        <v>1517</v>
      </c>
      <c r="V129" s="317" t="s">
        <v>1450</v>
      </c>
      <c r="W129" s="317" t="s">
        <v>1448</v>
      </c>
      <c r="X129" s="317" t="s">
        <v>1449</v>
      </c>
      <c r="Y129" s="317" t="s">
        <v>1446</v>
      </c>
      <c r="Z129" s="317" t="s">
        <v>70</v>
      </c>
      <c r="AA129" s="317" t="s">
        <v>1232</v>
      </c>
      <c r="AC129" s="317" t="s">
        <v>741</v>
      </c>
      <c r="AD129" s="317" t="s">
        <v>1038</v>
      </c>
      <c r="AH129" s="321" t="s">
        <v>52</v>
      </c>
      <c r="AI129" s="317" t="s">
        <v>1550</v>
      </c>
      <c r="AJ129" s="153" t="str">
        <f t="shared" si="120"/>
        <v>Camille Moreno</v>
      </c>
      <c r="AL129" s="317" t="s">
        <v>339</v>
      </c>
      <c r="AM129" s="317" t="s">
        <v>1447</v>
      </c>
      <c r="AN129" s="318">
        <v>33361</v>
      </c>
      <c r="AP129" s="317" t="s">
        <v>1559</v>
      </c>
      <c r="AQ129" s="317" t="s">
        <v>53</v>
      </c>
      <c r="AR129" s="317" t="s">
        <v>378</v>
      </c>
      <c r="AS129" s="332">
        <v>42079</v>
      </c>
      <c r="AT129" s="318">
        <v>42079</v>
      </c>
      <c r="AU129" s="318">
        <v>42079</v>
      </c>
      <c r="AV129" s="318">
        <v>42079</v>
      </c>
      <c r="AW129" s="332">
        <v>42079</v>
      </c>
      <c r="AX129" s="317" t="s">
        <v>1561</v>
      </c>
      <c r="AZ129" s="318">
        <v>42079</v>
      </c>
      <c r="BA129" s="318">
        <v>42079</v>
      </c>
      <c r="BC129" s="332">
        <v>42079</v>
      </c>
      <c r="BD129" s="317" t="s">
        <v>1562</v>
      </c>
      <c r="BE129" s="332">
        <v>42103</v>
      </c>
      <c r="BF129" s="317" t="s">
        <v>2043</v>
      </c>
      <c r="BG129" s="332">
        <v>42079</v>
      </c>
      <c r="BH129" s="385" t="s">
        <v>1560</v>
      </c>
      <c r="BJ129" s="332">
        <v>42103</v>
      </c>
      <c r="BM129" s="332">
        <v>42079</v>
      </c>
      <c r="BP129" s="337"/>
      <c r="BR129" s="318">
        <v>42079</v>
      </c>
      <c r="BS129" s="332">
        <v>42079</v>
      </c>
      <c r="BT129" s="318">
        <v>42079</v>
      </c>
      <c r="BU129" s="318">
        <v>42079</v>
      </c>
      <c r="BV129" s="337"/>
      <c r="BW129" s="276" t="str">
        <f t="shared" si="129"/>
        <v xml:space="preserve">1905 3/16/2015, 2305 3/16/2015, </v>
      </c>
      <c r="BX129" s="275">
        <f t="shared" si="104"/>
        <v>11</v>
      </c>
      <c r="BY129" s="398">
        <f t="shared" si="65"/>
        <v>11</v>
      </c>
      <c r="BZ129" s="399">
        <f t="shared" si="130"/>
        <v>1</v>
      </c>
      <c r="CA129" s="168" t="str">
        <f t="shared" si="103"/>
        <v/>
      </c>
      <c r="CB129" s="151" t="str">
        <f t="shared" si="131"/>
        <v/>
      </c>
      <c r="CC129" s="153" t="str">
        <f t="shared" ca="1" si="132"/>
        <v/>
      </c>
      <c r="CD129" s="153" t="str">
        <f t="shared" si="133"/>
        <v/>
      </c>
      <c r="CE129" s="153" t="str">
        <f t="shared" si="134"/>
        <v/>
      </c>
      <c r="CF129" s="396" t="str">
        <f t="shared" si="135"/>
        <v/>
      </c>
      <c r="CG129" s="397" t="str">
        <f t="shared" si="136"/>
        <v/>
      </c>
      <c r="CH129" s="153" t="str">
        <f t="shared" si="137"/>
        <v/>
      </c>
      <c r="CI129" s="151" t="str">
        <f t="shared" si="92"/>
        <v/>
      </c>
      <c r="CJ129" s="151" t="str">
        <f t="shared" si="75"/>
        <v/>
      </c>
      <c r="CK129" s="153">
        <f t="shared" si="76"/>
        <v>2</v>
      </c>
      <c r="CL129" s="153">
        <f t="shared" si="77"/>
        <v>2</v>
      </c>
      <c r="CM129" s="153">
        <f t="shared" si="78"/>
        <v>2</v>
      </c>
      <c r="CN129" s="153">
        <f t="shared" si="79"/>
        <v>2</v>
      </c>
      <c r="CO129" s="153">
        <f t="shared" si="80"/>
        <v>2</v>
      </c>
      <c r="CP129" s="153">
        <f t="shared" si="81"/>
        <v>2</v>
      </c>
      <c r="CQ129" s="153">
        <f t="shared" si="82"/>
        <v>2</v>
      </c>
      <c r="CR129" s="153">
        <f t="shared" si="83"/>
        <v>2</v>
      </c>
      <c r="CS129" s="153">
        <f t="shared" si="84"/>
        <v>2</v>
      </c>
      <c r="CT129" s="153">
        <f t="shared" si="109"/>
        <v>2</v>
      </c>
      <c r="CU129" s="153">
        <f t="shared" si="110"/>
        <v>2</v>
      </c>
      <c r="CV129" s="153">
        <f t="shared" si="111"/>
        <v>2</v>
      </c>
      <c r="CW129" s="153">
        <f t="shared" si="88"/>
        <v>2</v>
      </c>
      <c r="CX129" s="153">
        <f t="shared" si="89"/>
        <v>0</v>
      </c>
      <c r="CY129" s="153">
        <f t="shared" si="90"/>
        <v>2</v>
      </c>
      <c r="CZ129" s="317">
        <f t="shared" si="93"/>
        <v>3</v>
      </c>
      <c r="DA129" s="317">
        <f t="shared" si="94"/>
        <v>1</v>
      </c>
      <c r="DB129" s="317">
        <f t="shared" si="95"/>
        <v>1</v>
      </c>
    </row>
    <row r="130" spans="1:106" s="317" customFormat="1" x14ac:dyDescent="0.25">
      <c r="A130" s="384">
        <v>188</v>
      </c>
      <c r="B130" s="318">
        <v>42079</v>
      </c>
      <c r="C130" s="317">
        <v>1082346</v>
      </c>
      <c r="D130" s="317" t="s">
        <v>1518</v>
      </c>
      <c r="E130" s="317" t="str">
        <f t="shared" ref="E130:E160" si="138">IF(P130="(*_*)","",IF(BC130&lt;1,"SSS, ","")&amp;IF(BE130&lt;1,"HDMF, ","")&amp;IF(BG130&lt;1,"PHIC, ","")&amp;IF(BJ130&lt;1,"NBI, ","")&amp;IF(BM130&lt;1,"NSO, ","")&amp;IF(AS130&lt;1,"Info, ","")&amp;IF(AT130&lt;1,"AWOL, ","")&amp;IF(AU130&lt;1,"Hand, ","")&amp;IF(AV130&lt;1,"Waiver, ","")&amp;IF(AW130&lt;1,"TIN, ","")&amp;IF(AZ130&lt;1,"1905, ","")&amp;IF(BA130&lt;1,"2305, ",""))</f>
        <v/>
      </c>
      <c r="F130" s="317" t="str">
        <f t="shared" ref="F130:F160" si="139">IF(P130="(*_*)","",IF(BI130&lt;1,"MDR, ","")&amp;IF(BS130&lt;1,"JO, ","")&amp;IF(BT130&lt;1,"Contract, ","")&amp;IF(BU130&lt;1,"Confi, ","")&amp;IF(BQ130&lt;1,"TOR, ","")&amp;IF(BR130&lt;1,"COE, ","")&amp;IF(BP130&lt;1,"2x2, ",""))</f>
        <v xml:space="preserve">MDR, TOR, COE, 2x2, </v>
      </c>
      <c r="G130" s="321" t="s">
        <v>744</v>
      </c>
      <c r="H130" s="321"/>
      <c r="I130" s="321"/>
      <c r="J130" s="321"/>
      <c r="K130" s="152" t="str">
        <f t="shared" ca="1" si="107"/>
        <v/>
      </c>
      <c r="M130" s="318">
        <v>42082</v>
      </c>
      <c r="N130" s="153" t="str">
        <f t="shared" si="61"/>
        <v/>
      </c>
      <c r="O130" s="317" t="s">
        <v>302</v>
      </c>
      <c r="Q130" s="317" t="s">
        <v>1482</v>
      </c>
      <c r="R130" s="317">
        <v>9269181087</v>
      </c>
      <c r="S130" s="153">
        <f t="shared" ref="S130:S145" si="140">IFERROR(IF(SEARCH("/",R130)&gt;0,REPLACE(R130,11,11,""),R130),R130)</f>
        <v>9269181087</v>
      </c>
      <c r="T130" s="153" t="str">
        <f t="shared" si="96"/>
        <v/>
      </c>
      <c r="U130" s="317" t="s">
        <v>1519</v>
      </c>
      <c r="V130" s="317" t="s">
        <v>650</v>
      </c>
      <c r="W130" s="317" t="s">
        <v>1480</v>
      </c>
      <c r="X130" s="317" t="s">
        <v>1481</v>
      </c>
      <c r="Y130" s="317" t="s">
        <v>584</v>
      </c>
      <c r="Z130" s="317" t="s">
        <v>773</v>
      </c>
      <c r="AA130" s="317" t="s">
        <v>1233</v>
      </c>
      <c r="AC130" s="317" t="s">
        <v>741</v>
      </c>
      <c r="AD130" s="317" t="s">
        <v>1038</v>
      </c>
      <c r="AH130" s="321" t="s">
        <v>52</v>
      </c>
      <c r="AI130" s="317" t="s">
        <v>253</v>
      </c>
      <c r="AJ130" s="153" t="str">
        <f t="shared" si="120"/>
        <v/>
      </c>
      <c r="AL130" s="317" t="s">
        <v>585</v>
      </c>
      <c r="AM130" s="317" t="s">
        <v>854</v>
      </c>
      <c r="AN130" s="318">
        <v>34194</v>
      </c>
      <c r="AO130" s="317" t="s">
        <v>1760</v>
      </c>
      <c r="AP130" s="317" t="s">
        <v>1760</v>
      </c>
      <c r="AQ130" s="317" t="s">
        <v>53</v>
      </c>
      <c r="AR130" s="317" t="s">
        <v>378</v>
      </c>
      <c r="AS130" s="332">
        <v>42090</v>
      </c>
      <c r="AT130" s="318">
        <v>42090</v>
      </c>
      <c r="AU130" s="318">
        <v>42090</v>
      </c>
      <c r="AV130" s="318">
        <v>42082</v>
      </c>
      <c r="AW130" s="332">
        <v>42081</v>
      </c>
      <c r="AX130" s="317" t="s">
        <v>1601</v>
      </c>
      <c r="AZ130" s="318">
        <v>42081</v>
      </c>
      <c r="BA130" s="318">
        <v>42081</v>
      </c>
      <c r="BC130" s="332">
        <v>42081</v>
      </c>
      <c r="BD130" s="317" t="s">
        <v>1603</v>
      </c>
      <c r="BE130" s="332">
        <v>42090</v>
      </c>
      <c r="BF130" s="317" t="s">
        <v>1761</v>
      </c>
      <c r="BG130" s="332">
        <v>42081</v>
      </c>
      <c r="BH130" s="385" t="s">
        <v>1602</v>
      </c>
      <c r="BJ130" s="332">
        <v>42090</v>
      </c>
      <c r="BM130" s="332">
        <v>42081</v>
      </c>
      <c r="BP130" s="337"/>
      <c r="BS130" s="332">
        <v>42083</v>
      </c>
      <c r="BT130" s="318">
        <v>42083</v>
      </c>
      <c r="BU130" s="318">
        <v>42083</v>
      </c>
      <c r="BV130" s="337"/>
      <c r="BW130" s="276" t="str">
        <f t="shared" si="129"/>
        <v xml:space="preserve">1905 3/18/2015, 2305 3/18/2015, </v>
      </c>
      <c r="BX130" s="275">
        <f t="shared" si="104"/>
        <v>11</v>
      </c>
      <c r="BY130" s="398">
        <f t="shared" si="65"/>
        <v>11</v>
      </c>
      <c r="BZ130" s="399">
        <f t="shared" si="130"/>
        <v>1</v>
      </c>
      <c r="CA130" s="168" t="str">
        <f t="shared" ref="CA130:CA161" si="141">IF((A130-A131)=0,"",A130)</f>
        <v/>
      </c>
      <c r="CB130" s="151" t="str">
        <f t="shared" si="131"/>
        <v/>
      </c>
      <c r="CC130" s="153" t="str">
        <f t="shared" ca="1" si="132"/>
        <v/>
      </c>
      <c r="CD130" s="153" t="str">
        <f t="shared" si="133"/>
        <v/>
      </c>
      <c r="CE130" s="153" t="str">
        <f t="shared" si="134"/>
        <v/>
      </c>
      <c r="CF130" s="396" t="str">
        <f t="shared" si="135"/>
        <v/>
      </c>
      <c r="CG130" s="397" t="str">
        <f t="shared" si="136"/>
        <v/>
      </c>
      <c r="CH130" s="153" t="str">
        <f t="shared" si="137"/>
        <v/>
      </c>
      <c r="CI130" s="151" t="str">
        <f t="shared" si="92"/>
        <v/>
      </c>
      <c r="CJ130" s="151" t="str">
        <f t="shared" si="75"/>
        <v/>
      </c>
      <c r="CK130" s="153">
        <f t="shared" si="76"/>
        <v>3</v>
      </c>
      <c r="CL130" s="153">
        <f t="shared" si="77"/>
        <v>3</v>
      </c>
      <c r="CM130" s="153">
        <f t="shared" si="78"/>
        <v>3</v>
      </c>
      <c r="CN130" s="153">
        <f t="shared" si="79"/>
        <v>3</v>
      </c>
      <c r="CO130" s="153">
        <f t="shared" si="80"/>
        <v>3</v>
      </c>
      <c r="CP130" s="153">
        <f t="shared" si="81"/>
        <v>3</v>
      </c>
      <c r="CQ130" s="153">
        <f t="shared" si="82"/>
        <v>3</v>
      </c>
      <c r="CR130" s="153">
        <f t="shared" si="83"/>
        <v>3</v>
      </c>
      <c r="CS130" s="153">
        <f t="shared" si="84"/>
        <v>3</v>
      </c>
      <c r="CT130" s="153">
        <f t="shared" si="109"/>
        <v>3</v>
      </c>
      <c r="CU130" s="153">
        <f t="shared" si="110"/>
        <v>3</v>
      </c>
      <c r="CV130" s="153">
        <f t="shared" si="111"/>
        <v>3</v>
      </c>
      <c r="CW130" s="153">
        <f t="shared" si="88"/>
        <v>3</v>
      </c>
      <c r="CX130" s="153">
        <f t="shared" si="89"/>
        <v>0</v>
      </c>
      <c r="CY130" s="153">
        <f t="shared" si="90"/>
        <v>3</v>
      </c>
      <c r="CZ130" s="317">
        <f t="shared" si="93"/>
        <v>3</v>
      </c>
      <c r="DA130" s="317">
        <f t="shared" si="94"/>
        <v>1</v>
      </c>
      <c r="DB130" s="317">
        <f t="shared" si="95"/>
        <v>1</v>
      </c>
    </row>
    <row r="131" spans="1:106" s="113" customFormat="1" x14ac:dyDescent="0.25">
      <c r="A131" s="132">
        <v>188</v>
      </c>
      <c r="B131" s="129">
        <v>42079</v>
      </c>
      <c r="C131" s="113">
        <v>1082347</v>
      </c>
      <c r="D131" s="113" t="s">
        <v>1520</v>
      </c>
      <c r="E131" s="113" t="str">
        <f t="shared" si="138"/>
        <v/>
      </c>
      <c r="F131" s="113" t="str">
        <f t="shared" si="139"/>
        <v/>
      </c>
      <c r="G131" s="8" t="s">
        <v>744</v>
      </c>
      <c r="H131" s="8"/>
      <c r="I131" s="8"/>
      <c r="J131" s="8"/>
      <c r="K131" s="152" t="str">
        <f t="shared" ca="1" si="107"/>
        <v/>
      </c>
      <c r="N131" s="153" t="str">
        <f t="shared" ref="N131:N194" si="142">IF(AND(M131&gt;0,AW131="")=TRUE,"UPDATE!",IF(AND(BM131&gt;0,AZ131&gt;0,BA131&gt;0,M131="",P131&lt;&gt;"(*_*)")=TRUE,"READY!",""))</f>
        <v/>
      </c>
      <c r="O131" s="113" t="s">
        <v>298</v>
      </c>
      <c r="P131" s="113" t="s">
        <v>689</v>
      </c>
      <c r="Q131" s="113" t="s">
        <v>1485</v>
      </c>
      <c r="R131" s="113">
        <v>9997166737</v>
      </c>
      <c r="S131" s="153">
        <f t="shared" si="140"/>
        <v>9997166737</v>
      </c>
      <c r="T131" s="153" t="str">
        <f t="shared" si="96"/>
        <v/>
      </c>
      <c r="U131" s="113" t="s">
        <v>1521</v>
      </c>
      <c r="V131" s="113" t="s">
        <v>1484</v>
      </c>
      <c r="W131" s="113" t="s">
        <v>1483</v>
      </c>
      <c r="X131" s="113" t="s">
        <v>1472</v>
      </c>
      <c r="Y131" s="113" t="s">
        <v>584</v>
      </c>
      <c r="Z131" s="113" t="s">
        <v>773</v>
      </c>
      <c r="AA131" s="113" t="s">
        <v>1233</v>
      </c>
      <c r="AC131" s="113" t="s">
        <v>741</v>
      </c>
      <c r="AD131" s="113" t="s">
        <v>1038</v>
      </c>
      <c r="AH131" s="8" t="s">
        <v>52</v>
      </c>
      <c r="AI131" s="113" t="s">
        <v>253</v>
      </c>
      <c r="AJ131" s="153" t="str">
        <f t="shared" si="120"/>
        <v/>
      </c>
      <c r="AL131" s="113" t="s">
        <v>585</v>
      </c>
      <c r="AM131" s="113" t="s">
        <v>248</v>
      </c>
      <c r="AN131" s="129">
        <v>32526</v>
      </c>
      <c r="AS131" s="165"/>
      <c r="AW131" s="187"/>
      <c r="AY131" s="129">
        <v>42082</v>
      </c>
      <c r="AZ131" s="113">
        <v>2</v>
      </c>
      <c r="BA131" s="113">
        <v>2</v>
      </c>
      <c r="BC131" s="187">
        <v>42082</v>
      </c>
      <c r="BD131" s="113" t="s">
        <v>1730</v>
      </c>
      <c r="BE131" s="187"/>
      <c r="BG131" s="187">
        <v>42082</v>
      </c>
      <c r="BH131" s="274" t="s">
        <v>1729</v>
      </c>
      <c r="BJ131" s="187">
        <v>42082</v>
      </c>
      <c r="BM131" s="187">
        <v>42082</v>
      </c>
      <c r="BO131" s="129">
        <v>42082</v>
      </c>
      <c r="BP131" s="165"/>
      <c r="BQ131" s="129">
        <v>42082</v>
      </c>
      <c r="BR131" s="129">
        <v>42082</v>
      </c>
      <c r="BS131" s="187">
        <v>42083</v>
      </c>
      <c r="BT131" s="129">
        <v>42083</v>
      </c>
      <c r="BU131" s="129">
        <v>42083</v>
      </c>
      <c r="BV131" s="165"/>
      <c r="BW131" s="276" t="str">
        <f t="shared" si="129"/>
        <v/>
      </c>
      <c r="BX131" s="275" t="str">
        <f t="shared" ref="BX131:BX139" si="143">IF(O131="n","",COUNT(BM131,BJ131,BG131,BE131,BC131,AW131,AV131,AU131,AT131,AS131,AZ131))</f>
        <v/>
      </c>
      <c r="BY131" s="398" t="str">
        <f t="shared" ref="BY131:BY194" si="144">IF(O131="n","",11)</f>
        <v/>
      </c>
      <c r="BZ131" s="399" t="str">
        <f t="shared" si="130"/>
        <v/>
      </c>
      <c r="CA131" s="168" t="str">
        <f t="shared" si="141"/>
        <v/>
      </c>
      <c r="CB131" s="151" t="str">
        <f t="shared" si="131"/>
        <v/>
      </c>
      <c r="CC131" s="153" t="str">
        <f t="shared" ca="1" si="132"/>
        <v/>
      </c>
      <c r="CD131" s="153" t="str">
        <f t="shared" si="133"/>
        <v/>
      </c>
      <c r="CE131" s="153" t="str">
        <f t="shared" si="134"/>
        <v/>
      </c>
      <c r="CF131" s="396" t="str">
        <f t="shared" si="135"/>
        <v/>
      </c>
      <c r="CG131" s="397" t="str">
        <f t="shared" si="136"/>
        <v/>
      </c>
      <c r="CH131" s="153" t="str">
        <f t="shared" si="137"/>
        <v/>
      </c>
      <c r="CI131" s="151" t="str">
        <f t="shared" si="92"/>
        <v/>
      </c>
      <c r="CJ131" s="151" t="str">
        <f t="shared" si="75"/>
        <v/>
      </c>
      <c r="CK131" s="153">
        <f t="shared" si="76"/>
        <v>3</v>
      </c>
      <c r="CL131" s="153">
        <f t="shared" si="77"/>
        <v>3</v>
      </c>
      <c r="CM131" s="153">
        <f t="shared" si="78"/>
        <v>3</v>
      </c>
      <c r="CN131" s="153">
        <f t="shared" si="79"/>
        <v>3</v>
      </c>
      <c r="CO131" s="153">
        <f t="shared" si="80"/>
        <v>3</v>
      </c>
      <c r="CP131" s="153">
        <f t="shared" si="81"/>
        <v>3</v>
      </c>
      <c r="CQ131" s="153">
        <f t="shared" si="82"/>
        <v>3</v>
      </c>
      <c r="CR131" s="153">
        <f t="shared" si="83"/>
        <v>3</v>
      </c>
      <c r="CS131" s="153">
        <f t="shared" si="84"/>
        <v>3</v>
      </c>
      <c r="CT131" s="153">
        <f t="shared" si="109"/>
        <v>3</v>
      </c>
      <c r="CU131" s="153">
        <f t="shared" si="110"/>
        <v>3</v>
      </c>
      <c r="CV131" s="153">
        <f t="shared" si="111"/>
        <v>3</v>
      </c>
      <c r="CW131" s="153">
        <f t="shared" si="88"/>
        <v>3</v>
      </c>
      <c r="CX131" s="153">
        <f t="shared" si="89"/>
        <v>1</v>
      </c>
      <c r="CY131" s="153">
        <f t="shared" si="90"/>
        <v>3</v>
      </c>
      <c r="CZ131" s="113" t="str">
        <f t="shared" si="93"/>
        <v/>
      </c>
      <c r="DA131" s="113">
        <f t="shared" si="94"/>
        <v>0</v>
      </c>
      <c r="DB131" s="113">
        <f t="shared" si="95"/>
        <v>0</v>
      </c>
    </row>
    <row r="132" spans="1:106" s="317" customFormat="1" x14ac:dyDescent="0.25">
      <c r="A132" s="384">
        <v>188</v>
      </c>
      <c r="B132" s="318">
        <v>42079</v>
      </c>
      <c r="C132" s="317">
        <v>1082348</v>
      </c>
      <c r="D132" s="317" t="s">
        <v>1522</v>
      </c>
      <c r="E132" s="317" t="str">
        <f t="shared" si="138"/>
        <v/>
      </c>
      <c r="F132" s="317" t="str">
        <f t="shared" si="139"/>
        <v xml:space="preserve">MDR, </v>
      </c>
      <c r="G132" s="321" t="s">
        <v>744</v>
      </c>
      <c r="H132" s="321"/>
      <c r="I132" s="321"/>
      <c r="J132" s="321"/>
      <c r="K132" s="152" t="str">
        <f t="shared" ca="1" si="107"/>
        <v/>
      </c>
      <c r="M132" s="318">
        <v>42082</v>
      </c>
      <c r="N132" s="153" t="str">
        <f t="shared" si="142"/>
        <v/>
      </c>
      <c r="O132" s="317" t="s">
        <v>302</v>
      </c>
      <c r="Q132" s="317" t="s">
        <v>1488</v>
      </c>
      <c r="R132" s="317">
        <v>9997607090</v>
      </c>
      <c r="S132" s="153">
        <f t="shared" si="140"/>
        <v>9997607090</v>
      </c>
      <c r="T132" s="153" t="str">
        <f t="shared" si="96"/>
        <v/>
      </c>
      <c r="U132" s="317" t="s">
        <v>1523</v>
      </c>
      <c r="V132" s="317" t="s">
        <v>624</v>
      </c>
      <c r="W132" s="317" t="s">
        <v>1486</v>
      </c>
      <c r="X132" s="317" t="s">
        <v>1487</v>
      </c>
      <c r="Y132" s="317" t="s">
        <v>584</v>
      </c>
      <c r="Z132" s="317" t="s">
        <v>773</v>
      </c>
      <c r="AA132" s="317" t="s">
        <v>1233</v>
      </c>
      <c r="AC132" s="317" t="s">
        <v>741</v>
      </c>
      <c r="AD132" s="317" t="s">
        <v>1038</v>
      </c>
      <c r="AH132" s="321" t="s">
        <v>52</v>
      </c>
      <c r="AI132" s="317" t="s">
        <v>253</v>
      </c>
      <c r="AJ132" s="153" t="str">
        <f t="shared" si="120"/>
        <v/>
      </c>
      <c r="AL132" s="317" t="s">
        <v>585</v>
      </c>
      <c r="AM132" s="317" t="s">
        <v>248</v>
      </c>
      <c r="AN132" s="318">
        <v>31522</v>
      </c>
      <c r="AO132" s="317" t="s">
        <v>1574</v>
      </c>
      <c r="AQ132" s="317" t="s">
        <v>53</v>
      </c>
      <c r="AR132" s="317" t="s">
        <v>378</v>
      </c>
      <c r="AS132" s="332">
        <v>42080</v>
      </c>
      <c r="AT132" s="318">
        <v>42080</v>
      </c>
      <c r="AU132" s="318">
        <v>42077</v>
      </c>
      <c r="AV132" s="318">
        <v>42082</v>
      </c>
      <c r="AW132" s="332">
        <v>42080</v>
      </c>
      <c r="AX132" s="317" t="s">
        <v>1571</v>
      </c>
      <c r="AZ132" s="318">
        <v>42080</v>
      </c>
      <c r="BA132" s="318">
        <v>42080</v>
      </c>
      <c r="BC132" s="332">
        <v>42080</v>
      </c>
      <c r="BD132" s="317" t="s">
        <v>1573</v>
      </c>
      <c r="BE132" s="332">
        <v>42104</v>
      </c>
      <c r="BF132" s="317" t="s">
        <v>2045</v>
      </c>
      <c r="BG132" s="332">
        <v>42080</v>
      </c>
      <c r="BH132" s="385" t="s">
        <v>1572</v>
      </c>
      <c r="BJ132" s="332">
        <v>42080</v>
      </c>
      <c r="BM132" s="332">
        <v>42080</v>
      </c>
      <c r="BP132" s="332">
        <v>42104</v>
      </c>
      <c r="BQ132" s="318">
        <v>42080</v>
      </c>
      <c r="BR132" s="318">
        <v>42080</v>
      </c>
      <c r="BS132" s="332">
        <v>42083</v>
      </c>
      <c r="BT132" s="318">
        <v>42083</v>
      </c>
      <c r="BU132" s="318">
        <v>42083</v>
      </c>
      <c r="BV132" s="337"/>
      <c r="BW132" s="276" t="str">
        <f t="shared" si="129"/>
        <v xml:space="preserve">1905 3/17/2015, 2305 3/17/2015, </v>
      </c>
      <c r="BX132" s="275">
        <f t="shared" si="143"/>
        <v>11</v>
      </c>
      <c r="BY132" s="398">
        <f t="shared" si="144"/>
        <v>11</v>
      </c>
      <c r="BZ132" s="399">
        <f t="shared" si="130"/>
        <v>1</v>
      </c>
      <c r="CA132" s="168" t="str">
        <f t="shared" si="141"/>
        <v/>
      </c>
      <c r="CB132" s="151" t="str">
        <f t="shared" si="131"/>
        <v/>
      </c>
      <c r="CC132" s="153" t="str">
        <f t="shared" ca="1" si="132"/>
        <v/>
      </c>
      <c r="CD132" s="153" t="str">
        <f t="shared" si="133"/>
        <v/>
      </c>
      <c r="CE132" s="153" t="str">
        <f t="shared" si="134"/>
        <v/>
      </c>
      <c r="CF132" s="396" t="str">
        <f t="shared" si="135"/>
        <v/>
      </c>
      <c r="CG132" s="397" t="str">
        <f t="shared" si="136"/>
        <v/>
      </c>
      <c r="CH132" s="153" t="str">
        <f t="shared" si="137"/>
        <v/>
      </c>
      <c r="CI132" s="151" t="str">
        <f t="shared" si="92"/>
        <v/>
      </c>
      <c r="CJ132" s="151" t="str">
        <f t="shared" si="75"/>
        <v/>
      </c>
      <c r="CK132" s="153">
        <f t="shared" si="76"/>
        <v>4</v>
      </c>
      <c r="CL132" s="153">
        <f t="shared" si="77"/>
        <v>4</v>
      </c>
      <c r="CM132" s="153">
        <f t="shared" si="78"/>
        <v>4</v>
      </c>
      <c r="CN132" s="153">
        <f t="shared" si="79"/>
        <v>4</v>
      </c>
      <c r="CO132" s="153">
        <f t="shared" si="80"/>
        <v>4</v>
      </c>
      <c r="CP132" s="153">
        <f t="shared" si="81"/>
        <v>4</v>
      </c>
      <c r="CQ132" s="153">
        <f t="shared" si="82"/>
        <v>4</v>
      </c>
      <c r="CR132" s="153">
        <f t="shared" si="83"/>
        <v>4</v>
      </c>
      <c r="CS132" s="153">
        <f t="shared" si="84"/>
        <v>4</v>
      </c>
      <c r="CT132" s="153">
        <f t="shared" si="109"/>
        <v>4</v>
      </c>
      <c r="CU132" s="153">
        <f t="shared" si="110"/>
        <v>4</v>
      </c>
      <c r="CV132" s="153">
        <f t="shared" si="111"/>
        <v>4</v>
      </c>
      <c r="CW132" s="153">
        <f t="shared" si="88"/>
        <v>4</v>
      </c>
      <c r="CX132" s="153">
        <f t="shared" si="89"/>
        <v>1</v>
      </c>
      <c r="CY132" s="153">
        <f t="shared" si="90"/>
        <v>4</v>
      </c>
      <c r="CZ132" s="317">
        <f t="shared" si="93"/>
        <v>3</v>
      </c>
      <c r="DA132" s="317">
        <f t="shared" si="94"/>
        <v>1</v>
      </c>
      <c r="DB132" s="317">
        <f t="shared" si="95"/>
        <v>1</v>
      </c>
    </row>
    <row r="133" spans="1:106" s="317" customFormat="1" x14ac:dyDescent="0.25">
      <c r="A133" s="384">
        <v>188</v>
      </c>
      <c r="B133" s="318">
        <v>42079</v>
      </c>
      <c r="C133" s="317">
        <v>1082349</v>
      </c>
      <c r="D133" s="317" t="s">
        <v>1524</v>
      </c>
      <c r="E133" s="317" t="str">
        <f t="shared" si="138"/>
        <v/>
      </c>
      <c r="F133" s="317" t="str">
        <f t="shared" si="139"/>
        <v xml:space="preserve">TOR, </v>
      </c>
      <c r="G133" s="321" t="s">
        <v>744</v>
      </c>
      <c r="H133" s="321"/>
      <c r="I133" s="321"/>
      <c r="J133" s="321"/>
      <c r="K133" s="152" t="str">
        <f t="shared" ca="1" si="107"/>
        <v/>
      </c>
      <c r="M133" s="318">
        <v>42102</v>
      </c>
      <c r="N133" s="153" t="str">
        <f t="shared" si="142"/>
        <v/>
      </c>
      <c r="O133" s="317" t="s">
        <v>302</v>
      </c>
      <c r="Q133" s="317" t="s">
        <v>1492</v>
      </c>
      <c r="R133" s="317">
        <v>9179513863</v>
      </c>
      <c r="S133" s="153">
        <f t="shared" si="140"/>
        <v>9179513863</v>
      </c>
      <c r="T133" s="153" t="str">
        <f t="shared" si="96"/>
        <v/>
      </c>
      <c r="U133" s="317" t="s">
        <v>1525</v>
      </c>
      <c r="V133" s="317" t="s">
        <v>1491</v>
      </c>
      <c r="W133" s="317" t="s">
        <v>1489</v>
      </c>
      <c r="X133" s="317" t="s">
        <v>1490</v>
      </c>
      <c r="Y133" s="317" t="s">
        <v>584</v>
      </c>
      <c r="Z133" s="317" t="s">
        <v>773</v>
      </c>
      <c r="AA133" s="317" t="s">
        <v>1233</v>
      </c>
      <c r="AC133" s="317" t="s">
        <v>741</v>
      </c>
      <c r="AD133" s="317" t="s">
        <v>1038</v>
      </c>
      <c r="AH133" s="321" t="s">
        <v>52</v>
      </c>
      <c r="AI133" s="317" t="s">
        <v>253</v>
      </c>
      <c r="AJ133" s="153" t="str">
        <f t="shared" si="120"/>
        <v/>
      </c>
      <c r="AL133" s="317" t="s">
        <v>585</v>
      </c>
      <c r="AM133" s="317" t="s">
        <v>854</v>
      </c>
      <c r="AN133" s="318">
        <v>32426</v>
      </c>
      <c r="AO133" s="317" t="s">
        <v>1576</v>
      </c>
      <c r="AP133" s="317" t="s">
        <v>1576</v>
      </c>
      <c r="AQ133" s="317" t="s">
        <v>53</v>
      </c>
      <c r="AR133" s="317" t="s">
        <v>378</v>
      </c>
      <c r="AS133" s="332">
        <v>42080</v>
      </c>
      <c r="AT133" s="318">
        <v>42080</v>
      </c>
      <c r="AU133" s="318">
        <v>42077</v>
      </c>
      <c r="AV133" s="318">
        <v>42082</v>
      </c>
      <c r="AW133" s="332">
        <v>42090</v>
      </c>
      <c r="AX133" s="317" t="s">
        <v>1757</v>
      </c>
      <c r="AZ133" s="318">
        <v>42090</v>
      </c>
      <c r="BA133" s="318">
        <v>42080</v>
      </c>
      <c r="BC133" s="332">
        <v>42080</v>
      </c>
      <c r="BD133" s="317" t="s">
        <v>1575</v>
      </c>
      <c r="BE133" s="332">
        <v>42090</v>
      </c>
      <c r="BF133" s="317" t="s">
        <v>1758</v>
      </c>
      <c r="BG133" s="332">
        <v>42090</v>
      </c>
      <c r="BH133" s="385" t="s">
        <v>1759</v>
      </c>
      <c r="BI133" s="318">
        <v>42104</v>
      </c>
      <c r="BJ133" s="332">
        <v>42080</v>
      </c>
      <c r="BM133" s="332">
        <v>42081</v>
      </c>
      <c r="BO133" s="318">
        <v>42081</v>
      </c>
      <c r="BP133" s="332">
        <v>42104</v>
      </c>
      <c r="BR133" s="318">
        <v>42080</v>
      </c>
      <c r="BS133" s="332">
        <v>42083</v>
      </c>
      <c r="BT133" s="318">
        <v>42083</v>
      </c>
      <c r="BU133" s="318">
        <v>42083</v>
      </c>
      <c r="BV133" s="337"/>
      <c r="BW133" s="276" t="str">
        <f t="shared" si="129"/>
        <v xml:space="preserve">1905 3/27/2015, 2305 3/17/2015, MDR 4/10/2015, </v>
      </c>
      <c r="BX133" s="275">
        <f t="shared" si="143"/>
        <v>11</v>
      </c>
      <c r="BY133" s="398">
        <f t="shared" si="144"/>
        <v>11</v>
      </c>
      <c r="BZ133" s="399">
        <f t="shared" si="130"/>
        <v>1</v>
      </c>
      <c r="CA133" s="168" t="str">
        <f t="shared" si="141"/>
        <v/>
      </c>
      <c r="CB133" s="151" t="str">
        <f t="shared" si="131"/>
        <v/>
      </c>
      <c r="CC133" s="153" t="str">
        <f t="shared" ca="1" si="132"/>
        <v/>
      </c>
      <c r="CD133" s="153" t="str">
        <f t="shared" si="133"/>
        <v/>
      </c>
      <c r="CE133" s="153" t="str">
        <f t="shared" si="134"/>
        <v/>
      </c>
      <c r="CF133" s="396" t="str">
        <f t="shared" si="135"/>
        <v/>
      </c>
      <c r="CG133" s="397" t="str">
        <f t="shared" si="136"/>
        <v/>
      </c>
      <c r="CH133" s="153" t="str">
        <f t="shared" si="137"/>
        <v/>
      </c>
      <c r="CI133" s="151" t="str">
        <f t="shared" si="92"/>
        <v/>
      </c>
      <c r="CJ133" s="151" t="str">
        <f t="shared" si="75"/>
        <v/>
      </c>
      <c r="CK133" s="153">
        <f t="shared" si="76"/>
        <v>5</v>
      </c>
      <c r="CL133" s="153">
        <f t="shared" si="77"/>
        <v>5</v>
      </c>
      <c r="CM133" s="153">
        <f t="shared" si="78"/>
        <v>5</v>
      </c>
      <c r="CN133" s="153">
        <f t="shared" si="79"/>
        <v>5</v>
      </c>
      <c r="CO133" s="153">
        <f t="shared" si="80"/>
        <v>5</v>
      </c>
      <c r="CP133" s="153">
        <f t="shared" si="81"/>
        <v>5</v>
      </c>
      <c r="CQ133" s="153">
        <f t="shared" si="82"/>
        <v>5</v>
      </c>
      <c r="CR133" s="153">
        <f t="shared" si="83"/>
        <v>5</v>
      </c>
      <c r="CS133" s="153">
        <f t="shared" si="84"/>
        <v>5</v>
      </c>
      <c r="CT133" s="153">
        <f t="shared" si="109"/>
        <v>5</v>
      </c>
      <c r="CU133" s="153">
        <f t="shared" si="110"/>
        <v>5</v>
      </c>
      <c r="CV133" s="153">
        <f t="shared" si="111"/>
        <v>5</v>
      </c>
      <c r="CW133" s="153">
        <f t="shared" si="88"/>
        <v>5</v>
      </c>
      <c r="CX133" s="153">
        <f t="shared" si="89"/>
        <v>1</v>
      </c>
      <c r="CY133" s="153">
        <f t="shared" si="90"/>
        <v>5</v>
      </c>
      <c r="CZ133" s="317">
        <f t="shared" si="93"/>
        <v>23</v>
      </c>
      <c r="DA133" s="317">
        <f t="shared" si="94"/>
        <v>1</v>
      </c>
      <c r="DB133" s="317">
        <f t="shared" si="95"/>
        <v>1</v>
      </c>
    </row>
    <row r="134" spans="1:106" s="113" customFormat="1" x14ac:dyDescent="0.25">
      <c r="A134" s="132">
        <v>188</v>
      </c>
      <c r="B134" s="129">
        <v>42079</v>
      </c>
      <c r="C134" s="113">
        <v>1082350</v>
      </c>
      <c r="D134" s="113" t="s">
        <v>1526</v>
      </c>
      <c r="E134" s="113" t="str">
        <f t="shared" si="138"/>
        <v/>
      </c>
      <c r="F134" s="113" t="str">
        <f t="shared" si="139"/>
        <v/>
      </c>
      <c r="G134" s="8" t="s">
        <v>473</v>
      </c>
      <c r="H134" s="8"/>
      <c r="I134" s="8"/>
      <c r="J134" s="8"/>
      <c r="K134" s="152" t="str">
        <f t="shared" ca="1" si="107"/>
        <v/>
      </c>
      <c r="N134" s="153" t="str">
        <f t="shared" si="142"/>
        <v/>
      </c>
      <c r="O134" s="113" t="s">
        <v>298</v>
      </c>
      <c r="P134" s="113" t="s">
        <v>689</v>
      </c>
      <c r="Q134" s="113" t="s">
        <v>1315</v>
      </c>
      <c r="R134" s="113">
        <v>9166793134</v>
      </c>
      <c r="S134" s="153">
        <f t="shared" si="140"/>
        <v>9166793134</v>
      </c>
      <c r="T134" s="153" t="str">
        <f t="shared" si="96"/>
        <v/>
      </c>
      <c r="U134" s="113" t="s">
        <v>1527</v>
      </c>
      <c r="V134" s="113" t="s">
        <v>1453</v>
      </c>
      <c r="W134" s="113" t="s">
        <v>1452</v>
      </c>
      <c r="X134" s="113" t="s">
        <v>1493</v>
      </c>
      <c r="Y134" s="113" t="s">
        <v>73</v>
      </c>
      <c r="Z134" s="113" t="s">
        <v>74</v>
      </c>
      <c r="AA134" s="113" t="s">
        <v>1232</v>
      </c>
      <c r="AC134" s="113" t="s">
        <v>741</v>
      </c>
      <c r="AD134" s="113" t="s">
        <v>1234</v>
      </c>
      <c r="AH134" s="8" t="s">
        <v>52</v>
      </c>
      <c r="AI134" s="113" t="s">
        <v>253</v>
      </c>
      <c r="AJ134" s="153" t="str">
        <f t="shared" si="120"/>
        <v/>
      </c>
      <c r="AL134" s="113" t="s">
        <v>265</v>
      </c>
      <c r="AM134" s="113" t="s">
        <v>854</v>
      </c>
      <c r="AN134" s="129">
        <v>33650</v>
      </c>
      <c r="AO134" s="113" t="s">
        <v>1618</v>
      </c>
      <c r="AP134" s="113" t="s">
        <v>1618</v>
      </c>
      <c r="AQ134" s="113" t="s">
        <v>50</v>
      </c>
      <c r="AR134" s="113" t="s">
        <v>378</v>
      </c>
      <c r="AS134" s="187">
        <v>42082</v>
      </c>
      <c r="AT134" s="129">
        <v>42082</v>
      </c>
      <c r="AU134" s="129">
        <v>42077</v>
      </c>
      <c r="AV134" s="129">
        <v>42082</v>
      </c>
      <c r="AW134" s="187">
        <v>42081</v>
      </c>
      <c r="AX134" s="113" t="s">
        <v>1588</v>
      </c>
      <c r="BC134" s="187">
        <v>42081</v>
      </c>
      <c r="BD134" s="113" t="s">
        <v>1587</v>
      </c>
      <c r="BE134" s="165"/>
      <c r="BG134" s="165"/>
      <c r="BH134" s="274"/>
      <c r="BJ134" s="187">
        <v>42083</v>
      </c>
      <c r="BM134" s="187">
        <v>42082</v>
      </c>
      <c r="BP134" s="187">
        <v>42082</v>
      </c>
      <c r="BQ134" s="129">
        <v>42082</v>
      </c>
      <c r="BS134" s="187">
        <v>42082</v>
      </c>
      <c r="BT134" s="129">
        <v>42082</v>
      </c>
      <c r="BU134" s="129">
        <v>42082</v>
      </c>
      <c r="BV134" s="165"/>
      <c r="BW134" s="276" t="str">
        <f t="shared" si="129"/>
        <v/>
      </c>
      <c r="BX134" s="275" t="str">
        <f t="shared" si="143"/>
        <v/>
      </c>
      <c r="BY134" s="398" t="str">
        <f t="shared" si="144"/>
        <v/>
      </c>
      <c r="BZ134" s="399" t="str">
        <f t="shared" si="130"/>
        <v/>
      </c>
      <c r="CA134" s="168" t="str">
        <f t="shared" si="141"/>
        <v/>
      </c>
      <c r="CB134" s="151" t="str">
        <f t="shared" si="131"/>
        <v/>
      </c>
      <c r="CC134" s="153" t="str">
        <f t="shared" ca="1" si="132"/>
        <v/>
      </c>
      <c r="CD134" s="153" t="str">
        <f t="shared" si="133"/>
        <v/>
      </c>
      <c r="CE134" s="153" t="str">
        <f t="shared" si="134"/>
        <v/>
      </c>
      <c r="CF134" s="396" t="str">
        <f t="shared" si="135"/>
        <v/>
      </c>
      <c r="CG134" s="397" t="str">
        <f t="shared" si="136"/>
        <v/>
      </c>
      <c r="CH134" s="153" t="str">
        <f t="shared" si="137"/>
        <v/>
      </c>
      <c r="CI134" s="151" t="str">
        <f t="shared" si="92"/>
        <v/>
      </c>
      <c r="CJ134" s="151" t="str">
        <f t="shared" si="75"/>
        <v/>
      </c>
      <c r="CK134" s="153">
        <f t="shared" si="76"/>
        <v>5</v>
      </c>
      <c r="CL134" s="153">
        <f t="shared" si="77"/>
        <v>5</v>
      </c>
      <c r="CM134" s="153">
        <f t="shared" si="78"/>
        <v>5</v>
      </c>
      <c r="CN134" s="153">
        <f t="shared" si="79"/>
        <v>5</v>
      </c>
      <c r="CO134" s="153">
        <f t="shared" si="80"/>
        <v>5</v>
      </c>
      <c r="CP134" s="153">
        <f t="shared" si="81"/>
        <v>5</v>
      </c>
      <c r="CQ134" s="153">
        <f t="shared" si="82"/>
        <v>5</v>
      </c>
      <c r="CR134" s="153">
        <f t="shared" si="83"/>
        <v>5</v>
      </c>
      <c r="CS134" s="153">
        <f t="shared" si="84"/>
        <v>5</v>
      </c>
      <c r="CT134" s="153">
        <f t="shared" si="109"/>
        <v>5</v>
      </c>
      <c r="CU134" s="153">
        <f t="shared" si="110"/>
        <v>5</v>
      </c>
      <c r="CV134" s="153">
        <f t="shared" si="111"/>
        <v>5</v>
      </c>
      <c r="CW134" s="153">
        <f t="shared" si="88"/>
        <v>5</v>
      </c>
      <c r="CX134" s="153">
        <f t="shared" si="89"/>
        <v>2</v>
      </c>
      <c r="CY134" s="153">
        <f t="shared" si="90"/>
        <v>5</v>
      </c>
      <c r="CZ134" s="113" t="str">
        <f t="shared" si="93"/>
        <v/>
      </c>
      <c r="DA134" s="113">
        <f t="shared" si="94"/>
        <v>0</v>
      </c>
      <c r="DB134" s="113">
        <f t="shared" si="95"/>
        <v>0</v>
      </c>
    </row>
    <row r="135" spans="1:106" s="153" customFormat="1" x14ac:dyDescent="0.25">
      <c r="A135" s="152">
        <v>188</v>
      </c>
      <c r="B135" s="151">
        <v>42079</v>
      </c>
      <c r="C135" s="153">
        <v>1082351</v>
      </c>
      <c r="D135" s="153" t="s">
        <v>1528</v>
      </c>
      <c r="E135" s="153" t="str">
        <f t="shared" si="138"/>
        <v xml:space="preserve">HDMF, NBI, NSO, Info, AWOL, 1905, 2305, </v>
      </c>
      <c r="F135" s="153" t="str">
        <f t="shared" si="139"/>
        <v xml:space="preserve">MDR, TOR, COE, 2x2, </v>
      </c>
      <c r="G135" s="156" t="s">
        <v>473</v>
      </c>
      <c r="H135" s="156"/>
      <c r="I135" s="156"/>
      <c r="J135" s="156"/>
      <c r="K135" s="152" t="str">
        <f t="shared" ref="K135:K175" ca="1" si="145">IF(IF(OR(O135="c",O135="n"),"",IF(L135="",IF((TODAY()-B135)&gt;20,"Dedlyn!",(B135+18)-TODAY()),L135-TODAY()))&lt;1,"Dedlyn!",IF(OR(O135="c",O135="n"),"",IF(L135="",IF((TODAY()-B135)&gt;20,"Dedlyn!",(B135+18)-TODAY()),L135-TODAY())))</f>
        <v>Dedlyn!</v>
      </c>
      <c r="N135" s="153" t="str">
        <f t="shared" si="142"/>
        <v/>
      </c>
      <c r="O135" s="153" t="s">
        <v>301</v>
      </c>
      <c r="Q135" s="153" t="s">
        <v>1494</v>
      </c>
      <c r="R135" s="153">
        <v>9222407437</v>
      </c>
      <c r="S135" s="153">
        <f t="shared" si="140"/>
        <v>9222407437</v>
      </c>
      <c r="T135" s="153" t="str">
        <f t="shared" si="96"/>
        <v/>
      </c>
      <c r="U135" s="153" t="s">
        <v>1529</v>
      </c>
      <c r="V135" s="153" t="s">
        <v>1455</v>
      </c>
      <c r="W135" s="153" t="s">
        <v>1454</v>
      </c>
      <c r="X135" s="153" t="s">
        <v>275</v>
      </c>
      <c r="Y135" s="153" t="s">
        <v>73</v>
      </c>
      <c r="Z135" s="153" t="s">
        <v>74</v>
      </c>
      <c r="AA135" s="153" t="s">
        <v>1232</v>
      </c>
      <c r="AC135" s="153" t="s">
        <v>741</v>
      </c>
      <c r="AD135" s="153" t="s">
        <v>1234</v>
      </c>
      <c r="AH135" s="156" t="s">
        <v>52</v>
      </c>
      <c r="AI135" s="153" t="s">
        <v>1456</v>
      </c>
      <c r="AJ135" s="153" t="str">
        <f t="shared" si="120"/>
        <v>Joanna Mapuyan</v>
      </c>
      <c r="AL135" s="153" t="s">
        <v>265</v>
      </c>
      <c r="AM135" s="153" t="s">
        <v>854</v>
      </c>
      <c r="AN135" s="151">
        <v>28310</v>
      </c>
      <c r="AO135" s="153" t="s">
        <v>1648</v>
      </c>
      <c r="AS135" s="168"/>
      <c r="AT135" s="151"/>
      <c r="AU135" s="151">
        <v>42077</v>
      </c>
      <c r="AV135" s="151">
        <v>42082</v>
      </c>
      <c r="AW135" s="171">
        <v>42081</v>
      </c>
      <c r="AX135" s="153" t="s">
        <v>1584</v>
      </c>
      <c r="BC135" s="171">
        <v>42137</v>
      </c>
      <c r="BD135" s="153" t="s">
        <v>3281</v>
      </c>
      <c r="BE135" s="168"/>
      <c r="BG135" s="171">
        <v>42081</v>
      </c>
      <c r="BH135" s="154" t="s">
        <v>1583</v>
      </c>
      <c r="BJ135" s="168"/>
      <c r="BM135" s="168"/>
      <c r="BP135" s="168"/>
      <c r="BS135" s="171">
        <v>42082</v>
      </c>
      <c r="BT135" s="151">
        <v>42082</v>
      </c>
      <c r="BU135" s="151">
        <v>42082</v>
      </c>
      <c r="BV135" s="168" t="s">
        <v>1596</v>
      </c>
      <c r="BW135" s="276" t="str">
        <f t="shared" si="129"/>
        <v>2316 (2014) 3/18/2015,</v>
      </c>
      <c r="BX135" s="275">
        <f t="shared" si="143"/>
        <v>5</v>
      </c>
      <c r="BY135" s="398">
        <f t="shared" si="144"/>
        <v>11</v>
      </c>
      <c r="BZ135" s="399">
        <f t="shared" si="130"/>
        <v>0.45454545454545453</v>
      </c>
      <c r="CA135" s="168" t="str">
        <f t="shared" si="141"/>
        <v/>
      </c>
      <c r="CB135" s="151" t="str">
        <f t="shared" si="131"/>
        <v/>
      </c>
      <c r="CC135" s="153" t="str">
        <f t="shared" ca="1" si="132"/>
        <v/>
      </c>
      <c r="CD135" s="153" t="str">
        <f t="shared" si="133"/>
        <v/>
      </c>
      <c r="CE135" s="153" t="str">
        <f t="shared" si="134"/>
        <v/>
      </c>
      <c r="CF135" s="396" t="str">
        <f t="shared" si="135"/>
        <v/>
      </c>
      <c r="CG135" s="397" t="str">
        <f t="shared" si="136"/>
        <v/>
      </c>
      <c r="CH135" s="153" t="str">
        <f t="shared" si="137"/>
        <v/>
      </c>
      <c r="CI135" s="151" t="str">
        <f t="shared" si="92"/>
        <v/>
      </c>
      <c r="CJ135" s="151" t="str">
        <f t="shared" ref="CJ135:CJ198" si="146">IF(CA134="",IF(IF(CJ134="",0,CJ134)&gt;L135,IF(CJ134="","",CJ134),IF(L135="","",L135)),IF(L135="","",L135))</f>
        <v/>
      </c>
      <c r="CK135" s="153">
        <f t="shared" ref="CK135:CK198" si="147">IF(CB134="",CK134+IF(IF(O135="n",0,COUNT(BC135))=1,1,0),IF(IF(O135="n",0,COUNT(BC135))=1,1,0))</f>
        <v>6</v>
      </c>
      <c r="CL135" s="153">
        <f t="shared" ref="CL135:CL198" si="148">IF(CB134="",CL134+IF(IF(O135="n",0,COUNT(BE135))=1,1,0),IF(IF(O135="n",0,COUNT(BE135))=1,1,0))</f>
        <v>5</v>
      </c>
      <c r="CM135" s="153">
        <f t="shared" ref="CM135:CM198" si="149">IF(CB134="",CM134+IF(IF(O135="n",0,COUNT(BG135))=1,1,0),IF(IF(O135="n",0,COUNT(BG135))=1,1,0))</f>
        <v>6</v>
      </c>
      <c r="CN135" s="153">
        <f t="shared" ref="CN135:CN198" si="150">IF(CB134="",CN134+IF(IF(O135="n",0,COUNT(BJ135))=1,1,0),IF(IF(O135="n",0,COUNT(BJ135))=1,1,0))</f>
        <v>5</v>
      </c>
      <c r="CO135" s="153">
        <f t="shared" ref="CO135:CO198" si="151">IF(CB134="",CO134+IF(IF(O135="n",0,COUNT(BM135))=1,1,0),IF(IF(O135="n",0,COUNT(BM135))=1,1,0))</f>
        <v>5</v>
      </c>
      <c r="CP135" s="153">
        <f t="shared" ref="CP135:CP198" si="152">IF(CB134="",CP134+IF(IF(O135="n",0,COUNT(AS135))=1,1,0),IF(IF(O135="n",0,COUNT(AS135))=1,1,0))</f>
        <v>5</v>
      </c>
      <c r="CQ135" s="153">
        <f t="shared" ref="CQ135:CQ198" si="153">IF(CB134="",CQ134+IF(IF(O135="n",0,COUNT(AT135))=1,1,0),IF(IF(O135="n",0,COUNT(AT135))=1,1,0))</f>
        <v>5</v>
      </c>
      <c r="CR135" s="153">
        <f t="shared" ref="CR135:CR198" si="154">IF(CB134="",CR134+IF(IF(O135="n",0,COUNT(AU135))=1,1,0),IF(IF(O135="n",0,COUNT(AU135))=1,1,0))</f>
        <v>6</v>
      </c>
      <c r="CS135" s="153">
        <f t="shared" ref="CS135:CS198" si="155">IF(CB134="",CS134+IF(IF(O135="n",0,COUNT(AV135))=1,1,0),IF(IF(O135="n",0,COUNT(AV135))=1,1,0))</f>
        <v>6</v>
      </c>
      <c r="CT135" s="153">
        <f t="shared" ref="CT135:CT154" si="156">IF(CB134="",CT134+IF(IF(O135="n",0,COUNT(AW135))=1,1,0),IF(IF(O135="n",0,COUNT(AW135))=1,1,0))</f>
        <v>6</v>
      </c>
      <c r="CU135" s="153">
        <f t="shared" ref="CU135:CU154" si="157">IF(CB134="",CU134+IF(IF(O135="n",0,COUNT(AZ135))=1,1,0),IF(IF(O135="n",0,COUNT(AZ135))=1,1,0))</f>
        <v>5</v>
      </c>
      <c r="CV135" s="153">
        <f t="shared" ref="CV135:CV154" si="158">IF(CB134="",CV134+IF(IF(O135="n",0,COUNT(BA135))=1,1,0),IF(IF(O135="n",0,COUNT(BA135))=1,1,0))</f>
        <v>5</v>
      </c>
      <c r="CW135" s="153">
        <f t="shared" ref="CW135:CW198" si="159">IF(CB134="",CW134+IF(O135="c",1,0),IF(O135="c",1,0))</f>
        <v>5</v>
      </c>
      <c r="CX135" s="153">
        <f t="shared" ref="CX135:CX198" si="160">IF(CB134="",CX134+IF(O135="n",1,0),IF(O135="n",1,0))</f>
        <v>2</v>
      </c>
      <c r="CY135" s="153">
        <f t="shared" ref="CY135:CY198" si="161">IF(CB134="",IF(O135="n",CY134,1+CY134),IF(O135="n",0,1))</f>
        <v>6</v>
      </c>
      <c r="CZ135" s="153" t="str">
        <f t="shared" si="93"/>
        <v/>
      </c>
      <c r="DA135" s="153">
        <f t="shared" si="94"/>
        <v>0</v>
      </c>
      <c r="DB135" s="153">
        <f t="shared" si="95"/>
        <v>1</v>
      </c>
    </row>
    <row r="136" spans="1:106" s="153" customFormat="1" x14ac:dyDescent="0.25">
      <c r="A136" s="152">
        <v>188</v>
      </c>
      <c r="B136" s="151">
        <v>42079</v>
      </c>
      <c r="C136" s="153">
        <v>1082352</v>
      </c>
      <c r="D136" s="552" t="s">
        <v>1530</v>
      </c>
      <c r="E136" s="153" t="str">
        <f t="shared" si="138"/>
        <v xml:space="preserve">PHIC, NBI, NSO, Info, AWOL, Hand, </v>
      </c>
      <c r="F136" s="153" t="str">
        <f t="shared" si="139"/>
        <v xml:space="preserve">MDR, COE, 2x2, </v>
      </c>
      <c r="G136" s="156" t="s">
        <v>473</v>
      </c>
      <c r="H136" s="156"/>
      <c r="I136" s="156"/>
      <c r="J136" s="156"/>
      <c r="K136" s="152" t="str">
        <f t="shared" ca="1" si="145"/>
        <v>Dedlyn!</v>
      </c>
      <c r="N136" s="153" t="str">
        <f t="shared" si="142"/>
        <v/>
      </c>
      <c r="O136" s="153" t="s">
        <v>301</v>
      </c>
      <c r="Q136" s="153" t="s">
        <v>1496</v>
      </c>
      <c r="R136" s="153">
        <v>9255837023</v>
      </c>
      <c r="S136" s="153">
        <f t="shared" si="140"/>
        <v>9255837023</v>
      </c>
      <c r="T136" s="153" t="str">
        <f t="shared" si="96"/>
        <v/>
      </c>
      <c r="U136" s="153" t="s">
        <v>1531</v>
      </c>
      <c r="V136" s="153" t="s">
        <v>1458</v>
      </c>
      <c r="W136" s="153" t="s">
        <v>1457</v>
      </c>
      <c r="X136" s="153" t="s">
        <v>1495</v>
      </c>
      <c r="Y136" s="153" t="s">
        <v>73</v>
      </c>
      <c r="Z136" s="153" t="s">
        <v>74</v>
      </c>
      <c r="AA136" s="153" t="s">
        <v>1232</v>
      </c>
      <c r="AC136" s="153" t="s">
        <v>741</v>
      </c>
      <c r="AD136" s="153" t="s">
        <v>1234</v>
      </c>
      <c r="AH136" s="156" t="s">
        <v>52</v>
      </c>
      <c r="AI136" s="153" t="s">
        <v>1459</v>
      </c>
      <c r="AJ136" s="153" t="str">
        <f t="shared" si="120"/>
        <v>John Jayrick Cis</v>
      </c>
      <c r="AL136" s="153" t="s">
        <v>265</v>
      </c>
      <c r="AM136" s="153" t="s">
        <v>854</v>
      </c>
      <c r="AN136" s="151">
        <v>30694</v>
      </c>
      <c r="AO136" s="153" t="s">
        <v>1647</v>
      </c>
      <c r="AS136" s="168"/>
      <c r="AV136" s="151">
        <v>42082</v>
      </c>
      <c r="AW136" s="171">
        <v>42094</v>
      </c>
      <c r="AX136" s="153" t="s">
        <v>1918</v>
      </c>
      <c r="AZ136" s="151">
        <v>42094</v>
      </c>
      <c r="BA136" s="151">
        <v>42094</v>
      </c>
      <c r="BC136" s="171">
        <v>42094</v>
      </c>
      <c r="BD136" s="153" t="s">
        <v>1917</v>
      </c>
      <c r="BE136" s="171">
        <v>42094</v>
      </c>
      <c r="BF136" s="153" t="s">
        <v>1920</v>
      </c>
      <c r="BG136" s="168"/>
      <c r="BH136" s="154"/>
      <c r="BJ136" s="168"/>
      <c r="BM136" s="168"/>
      <c r="BP136" s="168"/>
      <c r="BQ136" s="151">
        <v>42094</v>
      </c>
      <c r="BS136" s="171">
        <v>42082</v>
      </c>
      <c r="BT136" s="151">
        <v>42082</v>
      </c>
      <c r="BU136" s="151">
        <v>42082</v>
      </c>
      <c r="BV136" s="168" t="s">
        <v>1919</v>
      </c>
      <c r="BW136" s="276" t="str">
        <f t="shared" si="129"/>
        <v>1905 (for processing) 3/31/2015, 2305 (for processing) 3/31/2015, 2316 (2014) 3/31/2015</v>
      </c>
      <c r="BX136" s="275">
        <f t="shared" si="143"/>
        <v>5</v>
      </c>
      <c r="BY136" s="398">
        <f t="shared" si="144"/>
        <v>11</v>
      </c>
      <c r="BZ136" s="399">
        <f t="shared" si="130"/>
        <v>0.45454545454545453</v>
      </c>
      <c r="CA136" s="168" t="str">
        <f t="shared" si="141"/>
        <v/>
      </c>
      <c r="CB136" s="151" t="str">
        <f t="shared" si="131"/>
        <v/>
      </c>
      <c r="CC136" s="153" t="str">
        <f t="shared" ca="1" si="132"/>
        <v/>
      </c>
      <c r="CD136" s="153" t="str">
        <f t="shared" si="133"/>
        <v/>
      </c>
      <c r="CE136" s="153" t="str">
        <f t="shared" si="134"/>
        <v/>
      </c>
      <c r="CF136" s="396" t="str">
        <f t="shared" si="135"/>
        <v/>
      </c>
      <c r="CG136" s="397" t="str">
        <f t="shared" si="136"/>
        <v/>
      </c>
      <c r="CH136" s="153" t="str">
        <f t="shared" si="137"/>
        <v/>
      </c>
      <c r="CI136" s="151" t="str">
        <f t="shared" ref="CI136:CI145" si="162">IF(CA136="","",CJ136)</f>
        <v/>
      </c>
      <c r="CJ136" s="151" t="str">
        <f t="shared" si="146"/>
        <v/>
      </c>
      <c r="CK136" s="153">
        <f t="shared" si="147"/>
        <v>7</v>
      </c>
      <c r="CL136" s="153">
        <f t="shared" si="148"/>
        <v>6</v>
      </c>
      <c r="CM136" s="153">
        <f t="shared" si="149"/>
        <v>6</v>
      </c>
      <c r="CN136" s="153">
        <f t="shared" si="150"/>
        <v>5</v>
      </c>
      <c r="CO136" s="153">
        <f t="shared" si="151"/>
        <v>5</v>
      </c>
      <c r="CP136" s="153">
        <f t="shared" si="152"/>
        <v>5</v>
      </c>
      <c r="CQ136" s="153">
        <f t="shared" si="153"/>
        <v>5</v>
      </c>
      <c r="CR136" s="153">
        <f t="shared" si="154"/>
        <v>6</v>
      </c>
      <c r="CS136" s="153">
        <f t="shared" si="155"/>
        <v>7</v>
      </c>
      <c r="CT136" s="153">
        <f t="shared" si="156"/>
        <v>7</v>
      </c>
      <c r="CU136" s="153">
        <f t="shared" si="157"/>
        <v>6</v>
      </c>
      <c r="CV136" s="153">
        <f t="shared" si="158"/>
        <v>6</v>
      </c>
      <c r="CW136" s="153">
        <f t="shared" si="159"/>
        <v>5</v>
      </c>
      <c r="CX136" s="153">
        <f t="shared" si="160"/>
        <v>2</v>
      </c>
      <c r="CY136" s="153">
        <f t="shared" si="161"/>
        <v>7</v>
      </c>
      <c r="CZ136" s="153" t="str">
        <f t="shared" ref="CZ136:CZ145" si="163">IF(M136&gt;0,M136-B136,"")</f>
        <v/>
      </c>
      <c r="DA136" s="153">
        <f t="shared" ref="DA136:DA145" si="164">COUNTIFS(O136,"=c",CZ136,"&lt;31")</f>
        <v>0</v>
      </c>
      <c r="DB136" s="153">
        <f t="shared" ref="DB136:DB145" si="165">COUNTIF(O136,"&lt;&gt;n")</f>
        <v>1</v>
      </c>
    </row>
    <row r="137" spans="1:106" s="113" customFormat="1" x14ac:dyDescent="0.25">
      <c r="A137" s="132">
        <v>188</v>
      </c>
      <c r="B137" s="129">
        <v>42079</v>
      </c>
      <c r="C137" s="113">
        <v>1082353</v>
      </c>
      <c r="D137" s="113" t="s">
        <v>1532</v>
      </c>
      <c r="E137" s="113" t="str">
        <f t="shared" si="138"/>
        <v/>
      </c>
      <c r="F137" s="113" t="str">
        <f t="shared" si="139"/>
        <v/>
      </c>
      <c r="G137" s="8" t="s">
        <v>473</v>
      </c>
      <c r="H137" s="8"/>
      <c r="I137" s="8"/>
      <c r="J137" s="8"/>
      <c r="K137" s="152" t="str">
        <f t="shared" ca="1" si="145"/>
        <v/>
      </c>
      <c r="N137" s="153" t="str">
        <f t="shared" si="142"/>
        <v/>
      </c>
      <c r="O137" s="113" t="s">
        <v>298</v>
      </c>
      <c r="P137" s="113" t="s">
        <v>689</v>
      </c>
      <c r="Q137" s="113" t="s">
        <v>1498</v>
      </c>
      <c r="R137" s="113">
        <v>9058294037</v>
      </c>
      <c r="S137" s="153">
        <f t="shared" si="140"/>
        <v>9058294037</v>
      </c>
      <c r="T137" s="153" t="str">
        <f t="shared" si="96"/>
        <v/>
      </c>
      <c r="U137" s="113" t="s">
        <v>1533</v>
      </c>
      <c r="V137" s="113" t="s">
        <v>275</v>
      </c>
      <c r="W137" s="113" t="s">
        <v>1460</v>
      </c>
      <c r="X137" s="113" t="s">
        <v>1497</v>
      </c>
      <c r="Y137" s="113" t="s">
        <v>73</v>
      </c>
      <c r="Z137" s="113" t="s">
        <v>74</v>
      </c>
      <c r="AA137" s="113" t="s">
        <v>1232</v>
      </c>
      <c r="AC137" s="113" t="s">
        <v>741</v>
      </c>
      <c r="AD137" s="113" t="s">
        <v>1234</v>
      </c>
      <c r="AH137" s="8" t="s">
        <v>52</v>
      </c>
      <c r="AI137" s="113" t="s">
        <v>253</v>
      </c>
      <c r="AJ137" s="153" t="str">
        <f t="shared" si="120"/>
        <v/>
      </c>
      <c r="AL137" s="113" t="s">
        <v>265</v>
      </c>
      <c r="AM137" s="113" t="s">
        <v>854</v>
      </c>
      <c r="AN137" s="129">
        <v>32602</v>
      </c>
      <c r="AO137" s="113" t="s">
        <v>1765</v>
      </c>
      <c r="AS137" s="165"/>
      <c r="AV137" s="129">
        <v>42082</v>
      </c>
      <c r="AW137" s="187"/>
      <c r="BC137" s="165"/>
      <c r="BE137" s="165"/>
      <c r="BG137" s="165"/>
      <c r="BH137" s="274"/>
      <c r="BJ137" s="165"/>
      <c r="BM137" s="187">
        <v>42094</v>
      </c>
      <c r="BP137" s="165"/>
      <c r="BS137" s="187">
        <v>42082</v>
      </c>
      <c r="BT137" s="129">
        <v>42082</v>
      </c>
      <c r="BU137" s="129">
        <v>42082</v>
      </c>
      <c r="BV137" s="165"/>
      <c r="BW137" s="276" t="str">
        <f t="shared" si="129"/>
        <v/>
      </c>
      <c r="BX137" s="275" t="str">
        <f t="shared" si="143"/>
        <v/>
      </c>
      <c r="BY137" s="398" t="str">
        <f t="shared" si="144"/>
        <v/>
      </c>
      <c r="BZ137" s="399" t="str">
        <f t="shared" si="130"/>
        <v/>
      </c>
      <c r="CA137" s="168" t="str">
        <f t="shared" si="141"/>
        <v/>
      </c>
      <c r="CB137" s="151" t="str">
        <f t="shared" si="131"/>
        <v/>
      </c>
      <c r="CC137" s="153" t="str">
        <f t="shared" ca="1" si="132"/>
        <v/>
      </c>
      <c r="CD137" s="153" t="str">
        <f t="shared" si="133"/>
        <v/>
      </c>
      <c r="CE137" s="153" t="str">
        <f t="shared" si="134"/>
        <v/>
      </c>
      <c r="CF137" s="396" t="str">
        <f t="shared" si="135"/>
        <v/>
      </c>
      <c r="CG137" s="397" t="str">
        <f t="shared" si="136"/>
        <v/>
      </c>
      <c r="CH137" s="153" t="str">
        <f t="shared" si="137"/>
        <v/>
      </c>
      <c r="CI137" s="151" t="str">
        <f t="shared" si="162"/>
        <v/>
      </c>
      <c r="CJ137" s="151" t="str">
        <f t="shared" si="146"/>
        <v/>
      </c>
      <c r="CK137" s="153">
        <f t="shared" si="147"/>
        <v>7</v>
      </c>
      <c r="CL137" s="153">
        <f t="shared" si="148"/>
        <v>6</v>
      </c>
      <c r="CM137" s="153">
        <f t="shared" si="149"/>
        <v>6</v>
      </c>
      <c r="CN137" s="153">
        <f t="shared" si="150"/>
        <v>5</v>
      </c>
      <c r="CO137" s="153">
        <f t="shared" si="151"/>
        <v>5</v>
      </c>
      <c r="CP137" s="153">
        <f t="shared" si="152"/>
        <v>5</v>
      </c>
      <c r="CQ137" s="153">
        <f t="shared" si="153"/>
        <v>5</v>
      </c>
      <c r="CR137" s="153">
        <f t="shared" si="154"/>
        <v>6</v>
      </c>
      <c r="CS137" s="153">
        <f t="shared" si="155"/>
        <v>7</v>
      </c>
      <c r="CT137" s="153">
        <f t="shared" si="156"/>
        <v>7</v>
      </c>
      <c r="CU137" s="153">
        <f t="shared" si="157"/>
        <v>6</v>
      </c>
      <c r="CV137" s="153">
        <f t="shared" si="158"/>
        <v>6</v>
      </c>
      <c r="CW137" s="153">
        <f t="shared" si="159"/>
        <v>5</v>
      </c>
      <c r="CX137" s="153">
        <f t="shared" si="160"/>
        <v>3</v>
      </c>
      <c r="CY137" s="153">
        <f t="shared" si="161"/>
        <v>7</v>
      </c>
      <c r="CZ137" s="113" t="str">
        <f t="shared" si="163"/>
        <v/>
      </c>
      <c r="DA137" s="113">
        <f t="shared" si="164"/>
        <v>0</v>
      </c>
      <c r="DB137" s="113">
        <f t="shared" si="165"/>
        <v>0</v>
      </c>
    </row>
    <row r="138" spans="1:106" s="113" customFormat="1" x14ac:dyDescent="0.25">
      <c r="A138" s="132">
        <v>188</v>
      </c>
      <c r="B138" s="129">
        <v>42079</v>
      </c>
      <c r="C138" s="113">
        <v>1082354</v>
      </c>
      <c r="D138" s="113" t="s">
        <v>1534</v>
      </c>
      <c r="E138" s="113" t="str">
        <f t="shared" si="138"/>
        <v/>
      </c>
      <c r="F138" s="113" t="str">
        <f t="shared" si="139"/>
        <v/>
      </c>
      <c r="G138" s="8" t="s">
        <v>473</v>
      </c>
      <c r="H138" s="8"/>
      <c r="I138" s="8"/>
      <c r="J138" s="8"/>
      <c r="K138" s="152" t="str">
        <f t="shared" ca="1" si="145"/>
        <v/>
      </c>
      <c r="N138" s="153" t="str">
        <f t="shared" si="142"/>
        <v/>
      </c>
      <c r="O138" s="113" t="s">
        <v>298</v>
      </c>
      <c r="P138" s="113" t="s">
        <v>689</v>
      </c>
      <c r="Q138" s="113" t="s">
        <v>1500</v>
      </c>
      <c r="R138" s="113">
        <v>9355685464</v>
      </c>
      <c r="S138" s="153">
        <f t="shared" si="140"/>
        <v>9355685464</v>
      </c>
      <c r="T138" s="153" t="str">
        <f t="shared" si="96"/>
        <v/>
      </c>
      <c r="U138" s="113" t="s">
        <v>1535</v>
      </c>
      <c r="V138" s="113" t="s">
        <v>1462</v>
      </c>
      <c r="W138" s="113" t="s">
        <v>1461</v>
      </c>
      <c r="X138" s="113" t="s">
        <v>1499</v>
      </c>
      <c r="Y138" s="113" t="s">
        <v>73</v>
      </c>
      <c r="Z138" s="113" t="s">
        <v>74</v>
      </c>
      <c r="AA138" s="113" t="s">
        <v>1232</v>
      </c>
      <c r="AC138" s="113" t="s">
        <v>741</v>
      </c>
      <c r="AD138" s="113" t="s">
        <v>1234</v>
      </c>
      <c r="AH138" s="8" t="s">
        <v>52</v>
      </c>
      <c r="AI138" s="113" t="s">
        <v>253</v>
      </c>
      <c r="AJ138" s="153" t="str">
        <f t="shared" si="120"/>
        <v/>
      </c>
      <c r="AL138" s="113" t="s">
        <v>254</v>
      </c>
      <c r="AM138" s="113" t="s">
        <v>854</v>
      </c>
      <c r="AN138" s="129">
        <v>34008</v>
      </c>
      <c r="AO138" s="113" t="s">
        <v>1646</v>
      </c>
      <c r="AQ138" s="113" t="s">
        <v>53</v>
      </c>
      <c r="AR138" s="113" t="s">
        <v>973</v>
      </c>
      <c r="AS138" s="187">
        <v>42081</v>
      </c>
      <c r="AT138" s="129">
        <v>42081</v>
      </c>
      <c r="AU138" s="129">
        <v>42077</v>
      </c>
      <c r="AV138" s="129">
        <v>42082</v>
      </c>
      <c r="AW138" s="187">
        <v>42094</v>
      </c>
      <c r="AX138" s="113" t="s">
        <v>1914</v>
      </c>
      <c r="AZ138" s="129">
        <v>42094</v>
      </c>
      <c r="BA138" s="129">
        <v>42081</v>
      </c>
      <c r="BC138" s="187">
        <v>42081</v>
      </c>
      <c r="BD138" s="113" t="s">
        <v>1599</v>
      </c>
      <c r="BE138" s="187">
        <v>42094</v>
      </c>
      <c r="BF138" s="113" t="s">
        <v>1915</v>
      </c>
      <c r="BG138" s="187">
        <v>42090</v>
      </c>
      <c r="BH138" s="274" t="s">
        <v>1809</v>
      </c>
      <c r="BI138" s="129">
        <v>42090</v>
      </c>
      <c r="BJ138" s="187">
        <v>42081</v>
      </c>
      <c r="BM138" s="187">
        <v>42081</v>
      </c>
      <c r="BO138" s="129">
        <v>42081</v>
      </c>
      <c r="BP138" s="165"/>
      <c r="BQ138" s="129">
        <v>42081</v>
      </c>
      <c r="BS138" s="187">
        <v>42082</v>
      </c>
      <c r="BT138" s="129">
        <v>42082</v>
      </c>
      <c r="BU138" s="129">
        <v>42082</v>
      </c>
      <c r="BV138" s="165"/>
      <c r="BW138" s="276" t="str">
        <f t="shared" si="129"/>
        <v xml:space="preserve">1905 (for processing) 3/31/2015, 2305 (for processing) 3/18/2015, MDR 3/27/2015, </v>
      </c>
      <c r="BX138" s="275" t="str">
        <f t="shared" si="143"/>
        <v/>
      </c>
      <c r="BY138" s="398" t="str">
        <f t="shared" si="144"/>
        <v/>
      </c>
      <c r="BZ138" s="399" t="str">
        <f t="shared" si="130"/>
        <v/>
      </c>
      <c r="CA138" s="168" t="str">
        <f t="shared" si="141"/>
        <v/>
      </c>
      <c r="CB138" s="151" t="str">
        <f t="shared" si="131"/>
        <v/>
      </c>
      <c r="CC138" s="153" t="str">
        <f t="shared" ca="1" si="132"/>
        <v/>
      </c>
      <c r="CD138" s="153" t="str">
        <f t="shared" si="133"/>
        <v/>
      </c>
      <c r="CE138" s="153" t="str">
        <f t="shared" si="134"/>
        <v/>
      </c>
      <c r="CF138" s="396" t="str">
        <f t="shared" si="135"/>
        <v/>
      </c>
      <c r="CG138" s="397" t="str">
        <f t="shared" si="136"/>
        <v/>
      </c>
      <c r="CH138" s="153" t="str">
        <f t="shared" si="137"/>
        <v/>
      </c>
      <c r="CI138" s="151" t="str">
        <f t="shared" si="162"/>
        <v/>
      </c>
      <c r="CJ138" s="151" t="str">
        <f t="shared" si="146"/>
        <v/>
      </c>
      <c r="CK138" s="153">
        <f t="shared" si="147"/>
        <v>7</v>
      </c>
      <c r="CL138" s="153">
        <f t="shared" si="148"/>
        <v>6</v>
      </c>
      <c r="CM138" s="153">
        <f t="shared" si="149"/>
        <v>6</v>
      </c>
      <c r="CN138" s="153">
        <f t="shared" si="150"/>
        <v>5</v>
      </c>
      <c r="CO138" s="153">
        <f t="shared" si="151"/>
        <v>5</v>
      </c>
      <c r="CP138" s="153">
        <f t="shared" si="152"/>
        <v>5</v>
      </c>
      <c r="CQ138" s="153">
        <f t="shared" si="153"/>
        <v>5</v>
      </c>
      <c r="CR138" s="153">
        <f t="shared" si="154"/>
        <v>6</v>
      </c>
      <c r="CS138" s="153">
        <f t="shared" si="155"/>
        <v>7</v>
      </c>
      <c r="CT138" s="153">
        <f t="shared" si="156"/>
        <v>7</v>
      </c>
      <c r="CU138" s="153">
        <f t="shared" si="157"/>
        <v>6</v>
      </c>
      <c r="CV138" s="153">
        <f t="shared" si="158"/>
        <v>6</v>
      </c>
      <c r="CW138" s="153">
        <f t="shared" si="159"/>
        <v>5</v>
      </c>
      <c r="CX138" s="153">
        <f t="shared" si="160"/>
        <v>4</v>
      </c>
      <c r="CY138" s="153">
        <f t="shared" si="161"/>
        <v>7</v>
      </c>
      <c r="CZ138" s="113" t="str">
        <f t="shared" si="163"/>
        <v/>
      </c>
      <c r="DA138" s="113">
        <f t="shared" si="164"/>
        <v>0</v>
      </c>
      <c r="DB138" s="113">
        <f t="shared" si="165"/>
        <v>0</v>
      </c>
    </row>
    <row r="139" spans="1:106" s="317" customFormat="1" x14ac:dyDescent="0.25">
      <c r="A139" s="384">
        <v>188</v>
      </c>
      <c r="B139" s="318">
        <v>42079</v>
      </c>
      <c r="C139" s="317">
        <v>1082355</v>
      </c>
      <c r="D139" s="317" t="s">
        <v>1536</v>
      </c>
      <c r="E139" s="317" t="str">
        <f t="shared" si="138"/>
        <v/>
      </c>
      <c r="F139" s="317" t="str">
        <f t="shared" si="139"/>
        <v xml:space="preserve">TOR, COE, 2x2, </v>
      </c>
      <c r="G139" s="321" t="s">
        <v>473</v>
      </c>
      <c r="H139" s="321"/>
      <c r="I139" s="321"/>
      <c r="J139" s="321"/>
      <c r="K139" s="152" t="str">
        <f t="shared" ca="1" si="145"/>
        <v/>
      </c>
      <c r="M139" s="318">
        <v>42117</v>
      </c>
      <c r="N139" s="153" t="str">
        <f t="shared" si="142"/>
        <v/>
      </c>
      <c r="O139" s="317" t="s">
        <v>302</v>
      </c>
      <c r="Q139" s="317" t="s">
        <v>1502</v>
      </c>
      <c r="R139" s="317">
        <v>9156356229</v>
      </c>
      <c r="S139" s="153">
        <f t="shared" si="140"/>
        <v>9156356229</v>
      </c>
      <c r="T139" s="153" t="str">
        <f t="shared" si="96"/>
        <v/>
      </c>
      <c r="U139" s="317" t="s">
        <v>1537</v>
      </c>
      <c r="V139" s="317" t="s">
        <v>1464</v>
      </c>
      <c r="W139" s="317" t="s">
        <v>1463</v>
      </c>
      <c r="X139" s="317" t="s">
        <v>1501</v>
      </c>
      <c r="Y139" s="317" t="s">
        <v>73</v>
      </c>
      <c r="Z139" s="317" t="s">
        <v>74</v>
      </c>
      <c r="AA139" s="317" t="s">
        <v>1232</v>
      </c>
      <c r="AC139" s="317" t="s">
        <v>741</v>
      </c>
      <c r="AD139" s="317" t="s">
        <v>1234</v>
      </c>
      <c r="AH139" s="321" t="s">
        <v>52</v>
      </c>
      <c r="AI139" s="317" t="s">
        <v>1465</v>
      </c>
      <c r="AJ139" s="153" t="str">
        <f t="shared" si="120"/>
        <v>Anna Mae Paraoan</v>
      </c>
      <c r="AL139" s="317" t="s">
        <v>254</v>
      </c>
      <c r="AM139" s="317" t="s">
        <v>854</v>
      </c>
      <c r="AN139" s="318">
        <v>32097</v>
      </c>
      <c r="AO139" s="317" t="s">
        <v>1580</v>
      </c>
      <c r="AP139" s="317" t="s">
        <v>1580</v>
      </c>
      <c r="AQ139" s="317" t="s">
        <v>50</v>
      </c>
      <c r="AR139" s="317" t="s">
        <v>378</v>
      </c>
      <c r="AS139" s="332">
        <v>42081</v>
      </c>
      <c r="AT139" s="318">
        <v>42101</v>
      </c>
      <c r="AU139" s="318">
        <v>42077</v>
      </c>
      <c r="AV139" s="318">
        <v>42082</v>
      </c>
      <c r="AW139" s="332">
        <v>42081</v>
      </c>
      <c r="AX139" s="317" t="s">
        <v>1582</v>
      </c>
      <c r="AZ139" s="318">
        <v>42081</v>
      </c>
      <c r="BA139" s="318">
        <v>42081</v>
      </c>
      <c r="BC139" s="332">
        <v>42081</v>
      </c>
      <c r="BD139" s="317" t="s">
        <v>1581</v>
      </c>
      <c r="BE139" s="332">
        <v>42090</v>
      </c>
      <c r="BF139" s="317" t="s">
        <v>1790</v>
      </c>
      <c r="BG139" s="332">
        <v>42090</v>
      </c>
      <c r="BH139" s="385" t="s">
        <v>1789</v>
      </c>
      <c r="BI139" s="318">
        <v>42101</v>
      </c>
      <c r="BJ139" s="332">
        <v>42081</v>
      </c>
      <c r="BM139" s="332">
        <v>42101</v>
      </c>
      <c r="BP139" s="337"/>
      <c r="BS139" s="332">
        <v>42082</v>
      </c>
      <c r="BT139" s="318">
        <v>42082</v>
      </c>
      <c r="BU139" s="318">
        <v>42082</v>
      </c>
      <c r="BV139" s="337"/>
      <c r="BW139" s="276" t="str">
        <f t="shared" si="129"/>
        <v xml:space="preserve">1905 3/18/2015, 2305 3/18/2015, MDR 4/7/2015, </v>
      </c>
      <c r="BX139" s="275">
        <f t="shared" si="143"/>
        <v>11</v>
      </c>
      <c r="BY139" s="398">
        <f t="shared" si="144"/>
        <v>11</v>
      </c>
      <c r="BZ139" s="399">
        <f t="shared" si="130"/>
        <v>1</v>
      </c>
      <c r="CA139" s="168" t="str">
        <f t="shared" si="141"/>
        <v/>
      </c>
      <c r="CB139" s="151" t="str">
        <f t="shared" si="131"/>
        <v/>
      </c>
      <c r="CC139" s="153" t="str">
        <f t="shared" ca="1" si="132"/>
        <v/>
      </c>
      <c r="CD139" s="153" t="str">
        <f t="shared" si="133"/>
        <v/>
      </c>
      <c r="CE139" s="153" t="str">
        <f t="shared" si="134"/>
        <v/>
      </c>
      <c r="CF139" s="396" t="str">
        <f t="shared" si="135"/>
        <v/>
      </c>
      <c r="CG139" s="397" t="str">
        <f t="shared" si="136"/>
        <v/>
      </c>
      <c r="CH139" s="153" t="str">
        <f t="shared" si="137"/>
        <v/>
      </c>
      <c r="CI139" s="151" t="str">
        <f t="shared" si="162"/>
        <v/>
      </c>
      <c r="CJ139" s="151" t="str">
        <f t="shared" si="146"/>
        <v/>
      </c>
      <c r="CK139" s="153">
        <f t="shared" si="147"/>
        <v>8</v>
      </c>
      <c r="CL139" s="153">
        <f t="shared" si="148"/>
        <v>7</v>
      </c>
      <c r="CM139" s="153">
        <f t="shared" si="149"/>
        <v>7</v>
      </c>
      <c r="CN139" s="153">
        <f t="shared" si="150"/>
        <v>6</v>
      </c>
      <c r="CO139" s="153">
        <f t="shared" si="151"/>
        <v>6</v>
      </c>
      <c r="CP139" s="153">
        <f t="shared" si="152"/>
        <v>6</v>
      </c>
      <c r="CQ139" s="153">
        <f t="shared" si="153"/>
        <v>6</v>
      </c>
      <c r="CR139" s="153">
        <f t="shared" si="154"/>
        <v>7</v>
      </c>
      <c r="CS139" s="153">
        <f t="shared" si="155"/>
        <v>8</v>
      </c>
      <c r="CT139" s="153">
        <f t="shared" si="156"/>
        <v>8</v>
      </c>
      <c r="CU139" s="153">
        <f t="shared" si="157"/>
        <v>7</v>
      </c>
      <c r="CV139" s="153">
        <f t="shared" si="158"/>
        <v>7</v>
      </c>
      <c r="CW139" s="153">
        <f t="shared" si="159"/>
        <v>6</v>
      </c>
      <c r="CX139" s="153">
        <f t="shared" si="160"/>
        <v>4</v>
      </c>
      <c r="CY139" s="153">
        <f t="shared" si="161"/>
        <v>8</v>
      </c>
      <c r="CZ139" s="317">
        <f t="shared" si="163"/>
        <v>38</v>
      </c>
      <c r="DA139" s="317">
        <f t="shared" si="164"/>
        <v>0</v>
      </c>
      <c r="DB139" s="317">
        <f t="shared" si="165"/>
        <v>1</v>
      </c>
    </row>
    <row r="140" spans="1:106" s="113" customFormat="1" x14ac:dyDescent="0.25">
      <c r="A140" s="132">
        <v>188</v>
      </c>
      <c r="B140" s="129">
        <v>42079</v>
      </c>
      <c r="C140" s="113">
        <v>1082356</v>
      </c>
      <c r="D140" s="113" t="s">
        <v>1538</v>
      </c>
      <c r="E140" s="113" t="str">
        <f t="shared" si="138"/>
        <v/>
      </c>
      <c r="F140" s="113" t="str">
        <f t="shared" si="139"/>
        <v/>
      </c>
      <c r="G140" s="8" t="s">
        <v>473</v>
      </c>
      <c r="H140" s="8"/>
      <c r="I140" s="8"/>
      <c r="J140" s="8"/>
      <c r="K140" s="152" t="str">
        <f t="shared" ca="1" si="145"/>
        <v/>
      </c>
      <c r="M140" s="129">
        <v>42102</v>
      </c>
      <c r="N140" s="153" t="str">
        <f t="shared" si="142"/>
        <v/>
      </c>
      <c r="O140" s="113" t="s">
        <v>298</v>
      </c>
      <c r="P140" s="113" t="s">
        <v>689</v>
      </c>
      <c r="Q140" s="113" t="s">
        <v>1504</v>
      </c>
      <c r="R140" s="113">
        <v>9051822667</v>
      </c>
      <c r="S140" s="153">
        <f t="shared" si="140"/>
        <v>9051822667</v>
      </c>
      <c r="T140" s="153" t="str">
        <f t="shared" ref="T140:T145" si="166">IFERROR(IF(SEARCH("/",R140)&gt;0,REPLACE(R140,1,11,""),""),"")</f>
        <v/>
      </c>
      <c r="U140" s="113" t="s">
        <v>1539</v>
      </c>
      <c r="V140" s="113" t="s">
        <v>1467</v>
      </c>
      <c r="W140" s="113" t="s">
        <v>1466</v>
      </c>
      <c r="X140" s="113" t="s">
        <v>1503</v>
      </c>
      <c r="Y140" s="113" t="s">
        <v>73</v>
      </c>
      <c r="Z140" s="113" t="s">
        <v>74</v>
      </c>
      <c r="AA140" s="113" t="s">
        <v>1232</v>
      </c>
      <c r="AC140" s="113" t="s">
        <v>741</v>
      </c>
      <c r="AD140" s="113" t="s">
        <v>1234</v>
      </c>
      <c r="AH140" s="8" t="s">
        <v>52</v>
      </c>
      <c r="AI140" s="113" t="s">
        <v>253</v>
      </c>
      <c r="AJ140" s="153" t="str">
        <f t="shared" si="120"/>
        <v/>
      </c>
      <c r="AL140" s="113" t="s">
        <v>254</v>
      </c>
      <c r="AM140" s="113" t="s">
        <v>854</v>
      </c>
      <c r="AN140" s="129">
        <v>33521</v>
      </c>
      <c r="AO140" s="113" t="s">
        <v>1645</v>
      </c>
      <c r="AP140" s="113" t="s">
        <v>1645</v>
      </c>
      <c r="AQ140" s="113" t="s">
        <v>50</v>
      </c>
      <c r="AR140" s="113" t="s">
        <v>378</v>
      </c>
      <c r="AS140" s="187">
        <v>42107</v>
      </c>
      <c r="AT140" s="129">
        <v>42107</v>
      </c>
      <c r="AU140" s="129">
        <v>42107</v>
      </c>
      <c r="AV140" s="129">
        <v>42082</v>
      </c>
      <c r="AW140" s="187">
        <v>42090</v>
      </c>
      <c r="AX140" s="113" t="s">
        <v>1821</v>
      </c>
      <c r="AZ140" s="129">
        <v>42090</v>
      </c>
      <c r="BA140" s="129">
        <v>42090</v>
      </c>
      <c r="BC140" s="187">
        <v>42090</v>
      </c>
      <c r="BD140" s="274" t="s">
        <v>1819</v>
      </c>
      <c r="BE140" s="187">
        <v>42090</v>
      </c>
      <c r="BF140" s="113" t="s">
        <v>1954</v>
      </c>
      <c r="BG140" s="187">
        <v>42090</v>
      </c>
      <c r="BH140" s="113" t="s">
        <v>1820</v>
      </c>
      <c r="BI140" s="129">
        <v>42090</v>
      </c>
      <c r="BJ140" s="165"/>
      <c r="BK140" s="129">
        <v>42090</v>
      </c>
      <c r="BL140" s="129">
        <v>42102</v>
      </c>
      <c r="BM140" s="187">
        <v>42090</v>
      </c>
      <c r="BO140" s="129">
        <v>42090</v>
      </c>
      <c r="BP140" s="165"/>
      <c r="BS140" s="187">
        <v>42082</v>
      </c>
      <c r="BT140" s="129">
        <v>42082</v>
      </c>
      <c r="BU140" s="129">
        <v>42082</v>
      </c>
      <c r="BV140" s="165"/>
      <c r="BW140" s="276" t="str">
        <f t="shared" si="129"/>
        <v xml:space="preserve">1905 3/27/2015, 2305 3/27/2015, MDR 3/27/2015, NBI receipt 3/27/2015, </v>
      </c>
      <c r="BX140" s="275" t="str">
        <f>IF(O140="n","",COUNT(BM140,BJ140,BC140,BE140,#REF!,AW140,AV140,AU140,AT140,AS140,AZ140))</f>
        <v/>
      </c>
      <c r="BY140" s="398" t="str">
        <f t="shared" si="144"/>
        <v/>
      </c>
      <c r="BZ140" s="399" t="str">
        <f t="shared" si="130"/>
        <v/>
      </c>
      <c r="CA140" s="168" t="str">
        <f t="shared" si="141"/>
        <v/>
      </c>
      <c r="CB140" s="151" t="str">
        <f t="shared" si="131"/>
        <v/>
      </c>
      <c r="CC140" s="153" t="str">
        <f t="shared" ca="1" si="132"/>
        <v/>
      </c>
      <c r="CD140" s="153" t="str">
        <f t="shared" si="133"/>
        <v/>
      </c>
      <c r="CE140" s="153" t="str">
        <f t="shared" si="134"/>
        <v/>
      </c>
      <c r="CF140" s="396" t="str">
        <f t="shared" si="135"/>
        <v/>
      </c>
      <c r="CG140" s="397" t="str">
        <f t="shared" si="136"/>
        <v/>
      </c>
      <c r="CH140" s="153" t="str">
        <f t="shared" si="137"/>
        <v/>
      </c>
      <c r="CI140" s="151" t="str">
        <f t="shared" si="162"/>
        <v/>
      </c>
      <c r="CJ140" s="151" t="str">
        <f t="shared" si="146"/>
        <v/>
      </c>
      <c r="CK140" s="153">
        <f t="shared" si="147"/>
        <v>8</v>
      </c>
      <c r="CL140" s="153">
        <f t="shared" si="148"/>
        <v>7</v>
      </c>
      <c r="CM140" s="153">
        <f t="shared" si="149"/>
        <v>7</v>
      </c>
      <c r="CN140" s="153">
        <f t="shared" si="150"/>
        <v>6</v>
      </c>
      <c r="CO140" s="153">
        <f t="shared" si="151"/>
        <v>6</v>
      </c>
      <c r="CP140" s="153">
        <f t="shared" si="152"/>
        <v>6</v>
      </c>
      <c r="CQ140" s="153">
        <f t="shared" si="153"/>
        <v>6</v>
      </c>
      <c r="CR140" s="153">
        <f t="shared" si="154"/>
        <v>7</v>
      </c>
      <c r="CS140" s="153">
        <f t="shared" si="155"/>
        <v>8</v>
      </c>
      <c r="CT140" s="153">
        <f t="shared" si="156"/>
        <v>8</v>
      </c>
      <c r="CU140" s="153">
        <f t="shared" si="157"/>
        <v>7</v>
      </c>
      <c r="CV140" s="153">
        <f t="shared" si="158"/>
        <v>7</v>
      </c>
      <c r="CW140" s="153">
        <f t="shared" si="159"/>
        <v>6</v>
      </c>
      <c r="CX140" s="153">
        <f t="shared" si="160"/>
        <v>5</v>
      </c>
      <c r="CY140" s="153">
        <f t="shared" si="161"/>
        <v>8</v>
      </c>
      <c r="CZ140" s="113">
        <f t="shared" si="163"/>
        <v>23</v>
      </c>
      <c r="DA140" s="113">
        <f t="shared" si="164"/>
        <v>0</v>
      </c>
      <c r="DB140" s="113">
        <f t="shared" si="165"/>
        <v>0</v>
      </c>
    </row>
    <row r="141" spans="1:106" s="317" customFormat="1" x14ac:dyDescent="0.25">
      <c r="A141" s="384">
        <v>188</v>
      </c>
      <c r="B141" s="318">
        <v>42079</v>
      </c>
      <c r="C141" s="317">
        <v>1082357</v>
      </c>
      <c r="D141" s="317" t="s">
        <v>1540</v>
      </c>
      <c r="E141" s="317" t="str">
        <f t="shared" si="138"/>
        <v/>
      </c>
      <c r="F141" s="317" t="str">
        <f t="shared" si="139"/>
        <v xml:space="preserve">2x2, </v>
      </c>
      <c r="G141" s="321" t="s">
        <v>473</v>
      </c>
      <c r="H141" s="321"/>
      <c r="I141" s="321"/>
      <c r="J141" s="321"/>
      <c r="K141" s="152" t="str">
        <f t="shared" ca="1" si="145"/>
        <v/>
      </c>
      <c r="M141" s="318">
        <v>42102</v>
      </c>
      <c r="N141" s="153" t="str">
        <f t="shared" si="142"/>
        <v/>
      </c>
      <c r="O141" s="317" t="s">
        <v>302</v>
      </c>
      <c r="Q141" s="317" t="s">
        <v>1506</v>
      </c>
      <c r="R141" s="317">
        <v>9155624042</v>
      </c>
      <c r="S141" s="153">
        <f t="shared" si="140"/>
        <v>9155624042</v>
      </c>
      <c r="T141" s="153" t="str">
        <f t="shared" si="166"/>
        <v/>
      </c>
      <c r="U141" s="317" t="s">
        <v>1541</v>
      </c>
      <c r="V141" s="317" t="s">
        <v>1469</v>
      </c>
      <c r="W141" s="317" t="s">
        <v>1468</v>
      </c>
      <c r="X141" s="317" t="s">
        <v>1505</v>
      </c>
      <c r="Y141" s="317" t="s">
        <v>73</v>
      </c>
      <c r="Z141" s="317" t="s">
        <v>74</v>
      </c>
      <c r="AA141" s="317" t="s">
        <v>1232</v>
      </c>
      <c r="AC141" s="317" t="s">
        <v>741</v>
      </c>
      <c r="AD141" s="317" t="s">
        <v>1234</v>
      </c>
      <c r="AH141" s="321" t="s">
        <v>52</v>
      </c>
      <c r="AI141" s="317" t="s">
        <v>253</v>
      </c>
      <c r="AJ141" s="153" t="str">
        <f t="shared" si="120"/>
        <v/>
      </c>
      <c r="AL141" s="317" t="s">
        <v>259</v>
      </c>
      <c r="AM141" s="317" t="s">
        <v>854</v>
      </c>
      <c r="AN141" s="318">
        <v>32265</v>
      </c>
      <c r="AO141" s="317" t="s">
        <v>1585</v>
      </c>
      <c r="AP141" s="317" t="s">
        <v>1585</v>
      </c>
      <c r="AQ141" s="317" t="s">
        <v>53</v>
      </c>
      <c r="AR141" s="317" t="s">
        <v>378</v>
      </c>
      <c r="AS141" s="332">
        <v>42081</v>
      </c>
      <c r="AT141" s="318">
        <v>42081</v>
      </c>
      <c r="AU141" s="318">
        <v>42077</v>
      </c>
      <c r="AV141" s="318">
        <v>42082</v>
      </c>
      <c r="AW141" s="332">
        <v>42081</v>
      </c>
      <c r="AX141" s="317" t="s">
        <v>1586</v>
      </c>
      <c r="AZ141" s="318">
        <v>42090</v>
      </c>
      <c r="BA141" s="318">
        <v>42081</v>
      </c>
      <c r="BC141" s="332">
        <v>42090</v>
      </c>
      <c r="BD141" s="317" t="s">
        <v>1791</v>
      </c>
      <c r="BE141" s="332">
        <v>42090</v>
      </c>
      <c r="BF141" s="317" t="s">
        <v>1792</v>
      </c>
      <c r="BG141" s="332">
        <v>42090</v>
      </c>
      <c r="BH141" s="385" t="s">
        <v>1793</v>
      </c>
      <c r="BI141" s="318">
        <v>42090</v>
      </c>
      <c r="BJ141" s="332">
        <v>42081</v>
      </c>
      <c r="BM141" s="332">
        <v>42081</v>
      </c>
      <c r="BP141" s="337"/>
      <c r="BQ141" s="318">
        <v>42081</v>
      </c>
      <c r="BR141" s="318">
        <v>42081</v>
      </c>
      <c r="BS141" s="332">
        <v>42082</v>
      </c>
      <c r="BT141" s="318">
        <v>42082</v>
      </c>
      <c r="BU141" s="318">
        <v>42082</v>
      </c>
      <c r="BV141" s="337"/>
      <c r="BW141" s="276" t="str">
        <f t="shared" si="129"/>
        <v xml:space="preserve">1905 3/27/2015, 2305 3/18/2015, MDR 3/27/2015, </v>
      </c>
      <c r="BX141" s="275">
        <f t="shared" ref="BX141:BX172" si="167">IF(O141="n","",COUNT(BM141,BJ141,BG141,BE141,BC141,AW141,AV141,AU141,AT141,AS141,AZ141))</f>
        <v>11</v>
      </c>
      <c r="BY141" s="398">
        <f t="shared" si="144"/>
        <v>11</v>
      </c>
      <c r="BZ141" s="399">
        <f t="shared" si="130"/>
        <v>1</v>
      </c>
      <c r="CA141" s="168" t="str">
        <f t="shared" si="141"/>
        <v/>
      </c>
      <c r="CB141" s="151" t="str">
        <f t="shared" si="131"/>
        <v/>
      </c>
      <c r="CC141" s="153" t="str">
        <f t="shared" ca="1" si="132"/>
        <v/>
      </c>
      <c r="CD141" s="153" t="str">
        <f t="shared" si="133"/>
        <v/>
      </c>
      <c r="CE141" s="153" t="str">
        <f t="shared" si="134"/>
        <v/>
      </c>
      <c r="CF141" s="396" t="str">
        <f t="shared" si="135"/>
        <v/>
      </c>
      <c r="CG141" s="397" t="str">
        <f t="shared" si="136"/>
        <v/>
      </c>
      <c r="CH141" s="153" t="str">
        <f t="shared" si="137"/>
        <v/>
      </c>
      <c r="CI141" s="151" t="str">
        <f t="shared" si="162"/>
        <v/>
      </c>
      <c r="CJ141" s="151" t="str">
        <f t="shared" si="146"/>
        <v/>
      </c>
      <c r="CK141" s="153">
        <f t="shared" si="147"/>
        <v>9</v>
      </c>
      <c r="CL141" s="153">
        <f t="shared" si="148"/>
        <v>8</v>
      </c>
      <c r="CM141" s="153">
        <f t="shared" si="149"/>
        <v>8</v>
      </c>
      <c r="CN141" s="153">
        <f t="shared" si="150"/>
        <v>7</v>
      </c>
      <c r="CO141" s="153">
        <f t="shared" si="151"/>
        <v>7</v>
      </c>
      <c r="CP141" s="153">
        <f t="shared" si="152"/>
        <v>7</v>
      </c>
      <c r="CQ141" s="153">
        <f t="shared" si="153"/>
        <v>7</v>
      </c>
      <c r="CR141" s="153">
        <f t="shared" si="154"/>
        <v>8</v>
      </c>
      <c r="CS141" s="153">
        <f t="shared" si="155"/>
        <v>9</v>
      </c>
      <c r="CT141" s="153">
        <f t="shared" si="156"/>
        <v>9</v>
      </c>
      <c r="CU141" s="153">
        <f t="shared" si="157"/>
        <v>8</v>
      </c>
      <c r="CV141" s="153">
        <f t="shared" si="158"/>
        <v>8</v>
      </c>
      <c r="CW141" s="153">
        <f t="shared" si="159"/>
        <v>7</v>
      </c>
      <c r="CX141" s="153">
        <f t="shared" si="160"/>
        <v>5</v>
      </c>
      <c r="CY141" s="153">
        <f t="shared" si="161"/>
        <v>9</v>
      </c>
      <c r="CZ141" s="317">
        <f t="shared" si="163"/>
        <v>23</v>
      </c>
      <c r="DA141" s="317">
        <f t="shared" si="164"/>
        <v>1</v>
      </c>
      <c r="DB141" s="317">
        <f t="shared" si="165"/>
        <v>1</v>
      </c>
    </row>
    <row r="142" spans="1:106" s="317" customFormat="1" x14ac:dyDescent="0.25">
      <c r="A142" s="384">
        <v>188</v>
      </c>
      <c r="B142" s="318">
        <v>42079</v>
      </c>
      <c r="C142" s="317">
        <v>1082358</v>
      </c>
      <c r="D142" s="317" t="s">
        <v>1542</v>
      </c>
      <c r="E142" s="317" t="str">
        <f t="shared" si="138"/>
        <v/>
      </c>
      <c r="F142" s="317" t="str">
        <f t="shared" si="139"/>
        <v xml:space="preserve">2x2, </v>
      </c>
      <c r="G142" s="321" t="s">
        <v>473</v>
      </c>
      <c r="H142" s="321"/>
      <c r="I142" s="321"/>
      <c r="J142" s="321"/>
      <c r="K142" s="152" t="str">
        <f t="shared" ca="1" si="145"/>
        <v/>
      </c>
      <c r="M142" s="318">
        <v>42082</v>
      </c>
      <c r="N142" s="153" t="str">
        <f t="shared" si="142"/>
        <v/>
      </c>
      <c r="O142" s="317" t="s">
        <v>302</v>
      </c>
      <c r="Q142" s="317" t="s">
        <v>1507</v>
      </c>
      <c r="R142" s="317">
        <v>9266966613</v>
      </c>
      <c r="S142" s="153">
        <f t="shared" si="140"/>
        <v>9266966613</v>
      </c>
      <c r="T142" s="153" t="str">
        <f t="shared" si="166"/>
        <v/>
      </c>
      <c r="U142" s="317" t="s">
        <v>1543</v>
      </c>
      <c r="V142" s="317" t="s">
        <v>1471</v>
      </c>
      <c r="W142" s="317" t="s">
        <v>1470</v>
      </c>
      <c r="X142" s="317" t="s">
        <v>256</v>
      </c>
      <c r="Y142" s="317" t="s">
        <v>1976</v>
      </c>
      <c r="Z142" s="317" t="s">
        <v>74</v>
      </c>
      <c r="AB142" s="317" t="s">
        <v>2341</v>
      </c>
      <c r="AC142" s="317" t="s">
        <v>2397</v>
      </c>
      <c r="AD142" s="317" t="s">
        <v>1038</v>
      </c>
      <c r="AH142" s="321" t="s">
        <v>52</v>
      </c>
      <c r="AI142" s="317" t="s">
        <v>253</v>
      </c>
      <c r="AJ142" s="153" t="str">
        <f t="shared" si="120"/>
        <v/>
      </c>
      <c r="AL142" s="317" t="s">
        <v>259</v>
      </c>
      <c r="AM142" s="317" t="s">
        <v>854</v>
      </c>
      <c r="AN142" s="318">
        <v>31879</v>
      </c>
      <c r="AO142" s="317" t="s">
        <v>1593</v>
      </c>
      <c r="AP142" s="317" t="s">
        <v>1594</v>
      </c>
      <c r="AQ142" s="317" t="s">
        <v>53</v>
      </c>
      <c r="AR142" s="317" t="s">
        <v>378</v>
      </c>
      <c r="AS142" s="332">
        <v>42081</v>
      </c>
      <c r="AT142" s="318">
        <v>42081</v>
      </c>
      <c r="AU142" s="318">
        <v>42077</v>
      </c>
      <c r="AV142" s="318">
        <v>42083</v>
      </c>
      <c r="AW142" s="332">
        <v>42081</v>
      </c>
      <c r="AX142" s="317" t="s">
        <v>1589</v>
      </c>
      <c r="AZ142" s="318">
        <v>42081</v>
      </c>
      <c r="BA142" s="318">
        <v>42081</v>
      </c>
      <c r="BB142" s="318">
        <v>42081</v>
      </c>
      <c r="BC142" s="332">
        <v>42081</v>
      </c>
      <c r="BD142" s="317" t="s">
        <v>1591</v>
      </c>
      <c r="BE142" s="332">
        <v>42083</v>
      </c>
      <c r="BF142" s="317" t="s">
        <v>1644</v>
      </c>
      <c r="BG142" s="332">
        <v>42081</v>
      </c>
      <c r="BH142" s="385" t="s">
        <v>1590</v>
      </c>
      <c r="BI142" s="318">
        <v>42083</v>
      </c>
      <c r="BJ142" s="332">
        <v>42081</v>
      </c>
      <c r="BM142" s="332">
        <v>42081</v>
      </c>
      <c r="BP142" s="337"/>
      <c r="BQ142" s="318">
        <v>42081</v>
      </c>
      <c r="BR142" s="318">
        <v>42081</v>
      </c>
      <c r="BS142" s="332">
        <v>42082</v>
      </c>
      <c r="BT142" s="318">
        <v>42082</v>
      </c>
      <c r="BU142" s="318">
        <v>42082</v>
      </c>
      <c r="BV142" s="337" t="s">
        <v>1600</v>
      </c>
      <c r="BW142" s="276" t="str">
        <f t="shared" si="129"/>
        <v>1905 3/18/2015, 2305 3/18/2015, MDR 3/20/2015, 2316 (2015) 3/18/2015,</v>
      </c>
      <c r="BX142" s="275">
        <f t="shared" si="167"/>
        <v>11</v>
      </c>
      <c r="BY142" s="398">
        <f t="shared" si="144"/>
        <v>11</v>
      </c>
      <c r="BZ142" s="399">
        <f t="shared" si="130"/>
        <v>1</v>
      </c>
      <c r="CA142" s="168" t="str">
        <f t="shared" si="141"/>
        <v/>
      </c>
      <c r="CB142" s="151" t="str">
        <f t="shared" si="131"/>
        <v/>
      </c>
      <c r="CC142" s="153" t="str">
        <f t="shared" ca="1" si="132"/>
        <v/>
      </c>
      <c r="CD142" s="153" t="str">
        <f t="shared" si="133"/>
        <v/>
      </c>
      <c r="CE142" s="153" t="str">
        <f t="shared" si="134"/>
        <v/>
      </c>
      <c r="CF142" s="396" t="str">
        <f t="shared" si="135"/>
        <v/>
      </c>
      <c r="CG142" s="397" t="str">
        <f t="shared" si="136"/>
        <v/>
      </c>
      <c r="CH142" s="153" t="str">
        <f t="shared" si="137"/>
        <v/>
      </c>
      <c r="CI142" s="151" t="str">
        <f t="shared" si="162"/>
        <v/>
      </c>
      <c r="CJ142" s="151" t="str">
        <f t="shared" si="146"/>
        <v/>
      </c>
      <c r="CK142" s="153">
        <f t="shared" si="147"/>
        <v>10</v>
      </c>
      <c r="CL142" s="153">
        <f t="shared" si="148"/>
        <v>9</v>
      </c>
      <c r="CM142" s="153">
        <f t="shared" si="149"/>
        <v>9</v>
      </c>
      <c r="CN142" s="153">
        <f t="shared" si="150"/>
        <v>8</v>
      </c>
      <c r="CO142" s="153">
        <f t="shared" si="151"/>
        <v>8</v>
      </c>
      <c r="CP142" s="153">
        <f t="shared" si="152"/>
        <v>8</v>
      </c>
      <c r="CQ142" s="153">
        <f t="shared" si="153"/>
        <v>8</v>
      </c>
      <c r="CR142" s="153">
        <f t="shared" si="154"/>
        <v>9</v>
      </c>
      <c r="CS142" s="153">
        <f t="shared" si="155"/>
        <v>10</v>
      </c>
      <c r="CT142" s="153">
        <f t="shared" si="156"/>
        <v>10</v>
      </c>
      <c r="CU142" s="153">
        <f t="shared" si="157"/>
        <v>9</v>
      </c>
      <c r="CV142" s="153">
        <f t="shared" si="158"/>
        <v>9</v>
      </c>
      <c r="CW142" s="153">
        <f t="shared" si="159"/>
        <v>8</v>
      </c>
      <c r="CX142" s="153">
        <f t="shared" si="160"/>
        <v>5</v>
      </c>
      <c r="CY142" s="153">
        <f t="shared" si="161"/>
        <v>10</v>
      </c>
      <c r="CZ142" s="317">
        <f t="shared" si="163"/>
        <v>3</v>
      </c>
      <c r="DA142" s="317">
        <f t="shared" si="164"/>
        <v>1</v>
      </c>
      <c r="DB142" s="317">
        <f t="shared" si="165"/>
        <v>1</v>
      </c>
    </row>
    <row r="143" spans="1:106" s="113" customFormat="1" x14ac:dyDescent="0.25">
      <c r="A143" s="132">
        <v>188</v>
      </c>
      <c r="B143" s="129">
        <v>42079</v>
      </c>
      <c r="C143" s="113">
        <v>1082359</v>
      </c>
      <c r="D143" s="113" t="s">
        <v>1544</v>
      </c>
      <c r="E143" s="113" t="str">
        <f t="shared" si="138"/>
        <v/>
      </c>
      <c r="F143" s="113" t="str">
        <f t="shared" si="139"/>
        <v/>
      </c>
      <c r="G143" s="8" t="s">
        <v>473</v>
      </c>
      <c r="H143" s="8"/>
      <c r="I143" s="8"/>
      <c r="J143" s="8"/>
      <c r="K143" s="152" t="str">
        <f t="shared" ca="1" si="145"/>
        <v/>
      </c>
      <c r="N143" s="153" t="str">
        <f t="shared" si="142"/>
        <v/>
      </c>
      <c r="O143" s="113" t="s">
        <v>298</v>
      </c>
      <c r="P143" s="113" t="s">
        <v>689</v>
      </c>
      <c r="Q143" s="113" t="s">
        <v>1509</v>
      </c>
      <c r="R143" s="113">
        <v>9151271965</v>
      </c>
      <c r="S143" s="153">
        <f t="shared" si="140"/>
        <v>9151271965</v>
      </c>
      <c r="T143" s="153" t="str">
        <f t="shared" si="166"/>
        <v/>
      </c>
      <c r="U143" s="113" t="s">
        <v>1545</v>
      </c>
      <c r="V143" s="113" t="s">
        <v>1473</v>
      </c>
      <c r="W143" s="113" t="s">
        <v>1472</v>
      </c>
      <c r="X143" s="113" t="s">
        <v>1508</v>
      </c>
      <c r="Y143" s="113" t="s">
        <v>73</v>
      </c>
      <c r="Z143" s="113" t="s">
        <v>70</v>
      </c>
      <c r="AA143" s="113" t="s">
        <v>1233</v>
      </c>
      <c r="AC143" s="113" t="s">
        <v>741</v>
      </c>
      <c r="AD143" s="113" t="s">
        <v>1038</v>
      </c>
      <c r="AH143" s="8" t="s">
        <v>52</v>
      </c>
      <c r="AI143" s="113" t="s">
        <v>253</v>
      </c>
      <c r="AJ143" s="153" t="str">
        <f t="shared" si="120"/>
        <v/>
      </c>
      <c r="AL143" s="113" t="s">
        <v>247</v>
      </c>
      <c r="AM143" s="113" t="s">
        <v>854</v>
      </c>
      <c r="AN143" s="129">
        <v>32398</v>
      </c>
      <c r="AS143" s="165"/>
      <c r="AT143" s="129"/>
      <c r="AU143" s="129">
        <v>42077</v>
      </c>
      <c r="AV143" s="129">
        <v>42082</v>
      </c>
      <c r="AW143" s="187"/>
      <c r="BC143" s="165"/>
      <c r="BE143" s="165"/>
      <c r="BG143" s="165"/>
      <c r="BH143" s="274"/>
      <c r="BJ143" s="187">
        <v>42081</v>
      </c>
      <c r="BM143" s="165"/>
      <c r="BP143" s="165"/>
      <c r="BS143" s="187">
        <v>42082</v>
      </c>
      <c r="BT143" s="129">
        <v>42082</v>
      </c>
      <c r="BU143" s="129">
        <v>42082</v>
      </c>
      <c r="BV143" s="165"/>
      <c r="BW143" s="276" t="str">
        <f t="shared" si="129"/>
        <v/>
      </c>
      <c r="BX143" s="275" t="str">
        <f t="shared" si="167"/>
        <v/>
      </c>
      <c r="BY143" s="398" t="str">
        <f t="shared" si="144"/>
        <v/>
      </c>
      <c r="BZ143" s="399" t="str">
        <f t="shared" si="130"/>
        <v/>
      </c>
      <c r="CA143" s="168" t="str">
        <f t="shared" si="141"/>
        <v/>
      </c>
      <c r="CB143" s="151" t="str">
        <f t="shared" si="131"/>
        <v/>
      </c>
      <c r="CC143" s="153" t="str">
        <f t="shared" ca="1" si="132"/>
        <v/>
      </c>
      <c r="CD143" s="153" t="str">
        <f t="shared" si="133"/>
        <v/>
      </c>
      <c r="CE143" s="153" t="str">
        <f t="shared" si="134"/>
        <v/>
      </c>
      <c r="CF143" s="396" t="str">
        <f t="shared" si="135"/>
        <v/>
      </c>
      <c r="CG143" s="397" t="str">
        <f t="shared" si="136"/>
        <v/>
      </c>
      <c r="CH143" s="153" t="str">
        <f t="shared" si="137"/>
        <v/>
      </c>
      <c r="CI143" s="151" t="str">
        <f t="shared" si="162"/>
        <v/>
      </c>
      <c r="CJ143" s="151" t="str">
        <f t="shared" si="146"/>
        <v/>
      </c>
      <c r="CK143" s="153">
        <f t="shared" si="147"/>
        <v>10</v>
      </c>
      <c r="CL143" s="153">
        <f t="shared" si="148"/>
        <v>9</v>
      </c>
      <c r="CM143" s="153">
        <f t="shared" si="149"/>
        <v>9</v>
      </c>
      <c r="CN143" s="153">
        <f t="shared" si="150"/>
        <v>8</v>
      </c>
      <c r="CO143" s="153">
        <f t="shared" si="151"/>
        <v>8</v>
      </c>
      <c r="CP143" s="153">
        <f t="shared" si="152"/>
        <v>8</v>
      </c>
      <c r="CQ143" s="153">
        <f t="shared" si="153"/>
        <v>8</v>
      </c>
      <c r="CR143" s="153">
        <f t="shared" si="154"/>
        <v>9</v>
      </c>
      <c r="CS143" s="153">
        <f t="shared" si="155"/>
        <v>10</v>
      </c>
      <c r="CT143" s="153">
        <f t="shared" si="156"/>
        <v>10</v>
      </c>
      <c r="CU143" s="153">
        <f t="shared" si="157"/>
        <v>9</v>
      </c>
      <c r="CV143" s="153">
        <f t="shared" si="158"/>
        <v>9</v>
      </c>
      <c r="CW143" s="153">
        <f t="shared" si="159"/>
        <v>8</v>
      </c>
      <c r="CX143" s="153">
        <f t="shared" si="160"/>
        <v>6</v>
      </c>
      <c r="CY143" s="153">
        <f t="shared" si="161"/>
        <v>10</v>
      </c>
      <c r="CZ143" s="113" t="str">
        <f t="shared" si="163"/>
        <v/>
      </c>
      <c r="DA143" s="113">
        <f t="shared" si="164"/>
        <v>0</v>
      </c>
      <c r="DB143" s="113">
        <f t="shared" si="165"/>
        <v>0</v>
      </c>
    </row>
    <row r="144" spans="1:106" s="113" customFormat="1" x14ac:dyDescent="0.25">
      <c r="A144" s="132">
        <v>188</v>
      </c>
      <c r="B144" s="129">
        <v>42079</v>
      </c>
      <c r="C144" s="113">
        <v>1082360</v>
      </c>
      <c r="D144" s="113" t="s">
        <v>1546</v>
      </c>
      <c r="E144" s="113" t="str">
        <f t="shared" si="138"/>
        <v/>
      </c>
      <c r="F144" s="113" t="str">
        <f t="shared" si="139"/>
        <v/>
      </c>
      <c r="G144" s="8" t="s">
        <v>473</v>
      </c>
      <c r="H144" s="8"/>
      <c r="I144" s="8"/>
      <c r="J144" s="8"/>
      <c r="K144" s="152" t="str">
        <f t="shared" ca="1" si="145"/>
        <v/>
      </c>
      <c r="N144" s="153" t="str">
        <f t="shared" si="142"/>
        <v/>
      </c>
      <c r="O144" s="113" t="s">
        <v>298</v>
      </c>
      <c r="P144" s="113" t="s">
        <v>689</v>
      </c>
      <c r="Q144" s="113" t="s">
        <v>1511</v>
      </c>
      <c r="R144" s="113">
        <v>9056722297</v>
      </c>
      <c r="S144" s="153">
        <f t="shared" si="140"/>
        <v>9056722297</v>
      </c>
      <c r="T144" s="153" t="str">
        <f t="shared" si="166"/>
        <v/>
      </c>
      <c r="U144" s="113" t="s">
        <v>1547</v>
      </c>
      <c r="V144" s="113" t="s">
        <v>1330</v>
      </c>
      <c r="W144" s="113" t="s">
        <v>1474</v>
      </c>
      <c r="X144" s="113" t="s">
        <v>1510</v>
      </c>
      <c r="Y144" s="113" t="s">
        <v>73</v>
      </c>
      <c r="Z144" s="113" t="s">
        <v>74</v>
      </c>
      <c r="AA144" s="113" t="s">
        <v>1232</v>
      </c>
      <c r="AC144" s="113" t="s">
        <v>741</v>
      </c>
      <c r="AD144" s="113" t="s">
        <v>1234</v>
      </c>
      <c r="AH144" s="8" t="s">
        <v>52</v>
      </c>
      <c r="AI144" s="113" t="s">
        <v>1476</v>
      </c>
      <c r="AJ144" s="153" t="str">
        <f t="shared" si="120"/>
        <v/>
      </c>
      <c r="AL144" s="113" t="s">
        <v>1475</v>
      </c>
      <c r="AM144" s="113" t="s">
        <v>854</v>
      </c>
      <c r="AN144" s="129">
        <v>32314</v>
      </c>
      <c r="AO144" s="113" t="s">
        <v>1641</v>
      </c>
      <c r="AP144" s="113" t="s">
        <v>1641</v>
      </c>
      <c r="AS144" s="187">
        <v>42083</v>
      </c>
      <c r="AV144" s="129">
        <v>42082</v>
      </c>
      <c r="AW144" s="187"/>
      <c r="BC144" s="165"/>
      <c r="BE144" s="165"/>
      <c r="BG144" s="165"/>
      <c r="BH144" s="274"/>
      <c r="BJ144" s="165"/>
      <c r="BM144" s="187"/>
      <c r="BP144" s="165"/>
      <c r="BS144" s="187">
        <v>42082</v>
      </c>
      <c r="BT144" s="129">
        <v>42082</v>
      </c>
      <c r="BU144" s="129">
        <v>42082</v>
      </c>
      <c r="BV144" s="165" t="s">
        <v>1642</v>
      </c>
      <c r="BW144" s="276" t="str">
        <f t="shared" si="129"/>
        <v>Municipal Certificate of Birth 3/20/2015</v>
      </c>
      <c r="BX144" s="275" t="str">
        <f t="shared" si="167"/>
        <v/>
      </c>
      <c r="BY144" s="398" t="str">
        <f t="shared" si="144"/>
        <v/>
      </c>
      <c r="BZ144" s="399" t="str">
        <f t="shared" si="130"/>
        <v/>
      </c>
      <c r="CA144" s="168" t="str">
        <f t="shared" si="141"/>
        <v/>
      </c>
      <c r="CB144" s="151" t="str">
        <f t="shared" si="131"/>
        <v/>
      </c>
      <c r="CC144" s="153" t="str">
        <f t="shared" ca="1" si="132"/>
        <v/>
      </c>
      <c r="CD144" s="153" t="str">
        <f t="shared" si="133"/>
        <v/>
      </c>
      <c r="CE144" s="153" t="str">
        <f t="shared" si="134"/>
        <v/>
      </c>
      <c r="CF144" s="396" t="str">
        <f t="shared" si="135"/>
        <v/>
      </c>
      <c r="CG144" s="397" t="str">
        <f t="shared" si="136"/>
        <v/>
      </c>
      <c r="CH144" s="153" t="str">
        <f t="shared" si="137"/>
        <v/>
      </c>
      <c r="CI144" s="151" t="str">
        <f t="shared" si="162"/>
        <v/>
      </c>
      <c r="CJ144" s="151" t="str">
        <f t="shared" si="146"/>
        <v/>
      </c>
      <c r="CK144" s="153">
        <f t="shared" si="147"/>
        <v>10</v>
      </c>
      <c r="CL144" s="153">
        <f t="shared" si="148"/>
        <v>9</v>
      </c>
      <c r="CM144" s="153">
        <f t="shared" si="149"/>
        <v>9</v>
      </c>
      <c r="CN144" s="153">
        <f t="shared" si="150"/>
        <v>8</v>
      </c>
      <c r="CO144" s="153">
        <f t="shared" si="151"/>
        <v>8</v>
      </c>
      <c r="CP144" s="153">
        <f t="shared" si="152"/>
        <v>8</v>
      </c>
      <c r="CQ144" s="153">
        <f t="shared" si="153"/>
        <v>8</v>
      </c>
      <c r="CR144" s="153">
        <f t="shared" si="154"/>
        <v>9</v>
      </c>
      <c r="CS144" s="153">
        <f t="shared" si="155"/>
        <v>10</v>
      </c>
      <c r="CT144" s="153">
        <f t="shared" si="156"/>
        <v>10</v>
      </c>
      <c r="CU144" s="153">
        <f t="shared" si="157"/>
        <v>9</v>
      </c>
      <c r="CV144" s="153">
        <f t="shared" si="158"/>
        <v>9</v>
      </c>
      <c r="CW144" s="153">
        <f t="shared" si="159"/>
        <v>8</v>
      </c>
      <c r="CX144" s="153">
        <f t="shared" si="160"/>
        <v>7</v>
      </c>
      <c r="CY144" s="153">
        <f t="shared" si="161"/>
        <v>10</v>
      </c>
      <c r="CZ144" s="113" t="str">
        <f t="shared" si="163"/>
        <v/>
      </c>
      <c r="DA144" s="113">
        <f t="shared" si="164"/>
        <v>0</v>
      </c>
      <c r="DB144" s="113">
        <f t="shared" si="165"/>
        <v>0</v>
      </c>
    </row>
    <row r="145" spans="1:106" s="343" customFormat="1" ht="15.75" thickBot="1" x14ac:dyDescent="0.3">
      <c r="A145" s="391">
        <v>188</v>
      </c>
      <c r="B145" s="344">
        <v>42079</v>
      </c>
      <c r="C145" s="343">
        <v>1082361</v>
      </c>
      <c r="D145" s="343" t="s">
        <v>1548</v>
      </c>
      <c r="E145" s="343" t="str">
        <f t="shared" si="138"/>
        <v/>
      </c>
      <c r="F145" s="343" t="str">
        <f t="shared" si="139"/>
        <v xml:space="preserve">MDR, </v>
      </c>
      <c r="G145" s="343" t="s">
        <v>473</v>
      </c>
      <c r="K145" s="491" t="str">
        <f t="shared" ca="1" si="145"/>
        <v/>
      </c>
      <c r="M145" s="344">
        <v>42102</v>
      </c>
      <c r="N145" s="487" t="str">
        <f t="shared" si="142"/>
        <v/>
      </c>
      <c r="O145" s="343" t="s">
        <v>302</v>
      </c>
      <c r="Q145" s="343" t="s">
        <v>1513</v>
      </c>
      <c r="R145" s="343">
        <v>9352854499</v>
      </c>
      <c r="S145" s="487">
        <f t="shared" si="140"/>
        <v>9352854499</v>
      </c>
      <c r="T145" s="487" t="str">
        <f t="shared" si="166"/>
        <v/>
      </c>
      <c r="U145" s="343" t="s">
        <v>1549</v>
      </c>
      <c r="V145" s="343" t="s">
        <v>1478</v>
      </c>
      <c r="W145" s="343" t="s">
        <v>1477</v>
      </c>
      <c r="X145" s="343" t="s">
        <v>1512</v>
      </c>
      <c r="Y145" s="343" t="s">
        <v>73</v>
      </c>
      <c r="Z145" s="343" t="s">
        <v>74</v>
      </c>
      <c r="AA145" s="343" t="s">
        <v>1232</v>
      </c>
      <c r="AC145" s="343" t="s">
        <v>741</v>
      </c>
      <c r="AD145" s="343" t="s">
        <v>1234</v>
      </c>
      <c r="AH145" s="343" t="s">
        <v>52</v>
      </c>
      <c r="AI145" s="343" t="s">
        <v>1479</v>
      </c>
      <c r="AJ145" s="487" t="str">
        <f t="shared" si="120"/>
        <v/>
      </c>
      <c r="AL145" s="343" t="s">
        <v>1475</v>
      </c>
      <c r="AM145" s="343" t="s">
        <v>854</v>
      </c>
      <c r="AN145" s="344">
        <v>33907</v>
      </c>
      <c r="AO145" s="343" t="s">
        <v>1764</v>
      </c>
      <c r="AP145" s="343" t="s">
        <v>1764</v>
      </c>
      <c r="AQ145" s="343" t="s">
        <v>50</v>
      </c>
      <c r="AR145" s="343" t="s">
        <v>378</v>
      </c>
      <c r="AS145" s="356">
        <v>42090</v>
      </c>
      <c r="AT145" s="344">
        <v>42090</v>
      </c>
      <c r="AU145" s="344">
        <v>42090</v>
      </c>
      <c r="AV145" s="344">
        <v>42082</v>
      </c>
      <c r="AW145" s="356">
        <v>42090</v>
      </c>
      <c r="AX145" s="343" t="s">
        <v>1908</v>
      </c>
      <c r="AZ145" s="344">
        <v>42090</v>
      </c>
      <c r="BA145" s="344">
        <v>42090</v>
      </c>
      <c r="BC145" s="356">
        <v>42090</v>
      </c>
      <c r="BD145" s="343" t="s">
        <v>1910</v>
      </c>
      <c r="BE145" s="356">
        <v>42090</v>
      </c>
      <c r="BF145" s="343" t="s">
        <v>1909</v>
      </c>
      <c r="BG145" s="356">
        <v>42090</v>
      </c>
      <c r="BH145" s="464" t="s">
        <v>2782</v>
      </c>
      <c r="BJ145" s="356">
        <v>42095</v>
      </c>
      <c r="BM145" s="356">
        <v>42090</v>
      </c>
      <c r="BO145" s="344">
        <v>42090</v>
      </c>
      <c r="BP145" s="356">
        <v>42090</v>
      </c>
      <c r="BQ145" s="344">
        <v>42090</v>
      </c>
      <c r="BR145" s="344">
        <v>42090</v>
      </c>
      <c r="BS145" s="356">
        <v>42082</v>
      </c>
      <c r="BT145" s="344">
        <v>42082</v>
      </c>
      <c r="BU145" s="344">
        <v>42082</v>
      </c>
      <c r="BV145" s="467"/>
      <c r="BW145" s="520" t="str">
        <f t="shared" si="129"/>
        <v xml:space="preserve">1905 3/27/2015, 2305 3/27/2015, </v>
      </c>
      <c r="BX145" s="520">
        <f t="shared" si="167"/>
        <v>11</v>
      </c>
      <c r="BY145" s="522">
        <f t="shared" si="144"/>
        <v>11</v>
      </c>
      <c r="BZ145" s="523">
        <f t="shared" si="130"/>
        <v>1</v>
      </c>
      <c r="CA145" s="524">
        <f t="shared" si="141"/>
        <v>188</v>
      </c>
      <c r="CB145" s="503">
        <f t="shared" si="131"/>
        <v>42079</v>
      </c>
      <c r="CC145" s="487">
        <f t="shared" ca="1" si="132"/>
        <v>10</v>
      </c>
      <c r="CD145" s="487">
        <f t="shared" si="133"/>
        <v>11</v>
      </c>
      <c r="CE145" s="487">
        <f t="shared" si="134"/>
        <v>9</v>
      </c>
      <c r="CF145" s="504">
        <f t="shared" si="135"/>
        <v>2</v>
      </c>
      <c r="CG145" s="505">
        <f t="shared" si="136"/>
        <v>0.90082644628099173</v>
      </c>
      <c r="CH145" s="487" t="str">
        <f t="shared" si="137"/>
        <v/>
      </c>
      <c r="CI145" s="503" t="str">
        <f t="shared" si="162"/>
        <v/>
      </c>
      <c r="CJ145" s="503" t="str">
        <f t="shared" si="146"/>
        <v/>
      </c>
      <c r="CK145" s="487">
        <f t="shared" si="147"/>
        <v>11</v>
      </c>
      <c r="CL145" s="487">
        <f t="shared" si="148"/>
        <v>10</v>
      </c>
      <c r="CM145" s="487">
        <f t="shared" si="149"/>
        <v>10</v>
      </c>
      <c r="CN145" s="487">
        <f t="shared" si="150"/>
        <v>9</v>
      </c>
      <c r="CO145" s="487">
        <f t="shared" si="151"/>
        <v>9</v>
      </c>
      <c r="CP145" s="487">
        <f t="shared" si="152"/>
        <v>9</v>
      </c>
      <c r="CQ145" s="487">
        <f t="shared" si="153"/>
        <v>9</v>
      </c>
      <c r="CR145" s="487">
        <f t="shared" si="154"/>
        <v>10</v>
      </c>
      <c r="CS145" s="487">
        <f t="shared" si="155"/>
        <v>11</v>
      </c>
      <c r="CT145" s="487">
        <f t="shared" si="156"/>
        <v>11</v>
      </c>
      <c r="CU145" s="487">
        <f t="shared" si="157"/>
        <v>10</v>
      </c>
      <c r="CV145" s="487">
        <f t="shared" si="158"/>
        <v>10</v>
      </c>
      <c r="CW145" s="487">
        <f t="shared" si="159"/>
        <v>9</v>
      </c>
      <c r="CX145" s="487">
        <f t="shared" si="160"/>
        <v>7</v>
      </c>
      <c r="CY145" s="487">
        <f t="shared" si="161"/>
        <v>11</v>
      </c>
      <c r="CZ145" s="343">
        <f t="shared" si="163"/>
        <v>23</v>
      </c>
      <c r="DA145" s="343">
        <f t="shared" si="164"/>
        <v>1</v>
      </c>
      <c r="DB145" s="343">
        <f t="shared" si="165"/>
        <v>1</v>
      </c>
    </row>
    <row r="146" spans="1:106" s="321" customFormat="1" ht="15.75" thickTop="1" x14ac:dyDescent="0.25">
      <c r="A146" s="382">
        <v>189</v>
      </c>
      <c r="B146" s="334">
        <v>42089</v>
      </c>
      <c r="C146" s="321">
        <v>1082362</v>
      </c>
      <c r="D146" s="321" t="s">
        <v>1709</v>
      </c>
      <c r="E146" s="321" t="str">
        <f t="shared" si="138"/>
        <v/>
      </c>
      <c r="F146" s="321" t="str">
        <f t="shared" si="139"/>
        <v xml:space="preserve">2x2, </v>
      </c>
      <c r="K146" s="152" t="str">
        <f t="shared" ca="1" si="145"/>
        <v/>
      </c>
      <c r="M146" s="334">
        <v>42117</v>
      </c>
      <c r="N146" s="153" t="str">
        <f t="shared" si="142"/>
        <v/>
      </c>
      <c r="O146" s="321" t="s">
        <v>302</v>
      </c>
      <c r="Q146" s="9" t="s">
        <v>1657</v>
      </c>
      <c r="R146" s="9">
        <v>9157582738</v>
      </c>
      <c r="S146" s="153">
        <f t="shared" ref="S146:S159" si="168">IFERROR(IF(SEARCH("/",R146)&gt;0,REPLACE(R146,11,11,""),R146),R146)</f>
        <v>9157582738</v>
      </c>
      <c r="T146" s="153" t="str">
        <f t="shared" ref="T146:T159" si="169">IFERROR(IF(SEARCH("/",R146)&gt;0,REPLACE(R146,1,11,""),""),"")</f>
        <v/>
      </c>
      <c r="U146" s="9" t="s">
        <v>1731</v>
      </c>
      <c r="V146" s="9" t="s">
        <v>1656</v>
      </c>
      <c r="W146" s="9" t="s">
        <v>1654</v>
      </c>
      <c r="X146" s="9" t="s">
        <v>1655</v>
      </c>
      <c r="Y146" s="9" t="s">
        <v>884</v>
      </c>
      <c r="Z146" s="9" t="s">
        <v>128</v>
      </c>
      <c r="AA146" s="9" t="s">
        <v>1024</v>
      </c>
      <c r="AB146" s="9"/>
      <c r="AC146" s="9" t="s">
        <v>1025</v>
      </c>
      <c r="AD146" s="9"/>
      <c r="AE146" s="9" t="s">
        <v>1026</v>
      </c>
      <c r="AF146" s="9" t="s">
        <v>1027</v>
      </c>
      <c r="AG146" s="9"/>
      <c r="AH146" s="10" t="s">
        <v>52</v>
      </c>
      <c r="AI146" s="9" t="s">
        <v>253</v>
      </c>
      <c r="AJ146" s="153" t="str">
        <f t="shared" si="120"/>
        <v/>
      </c>
      <c r="AK146" s="9"/>
      <c r="AL146" s="9" t="s">
        <v>339</v>
      </c>
      <c r="AM146" s="9" t="s">
        <v>1658</v>
      </c>
      <c r="AN146" s="17">
        <v>32106</v>
      </c>
      <c r="AO146" s="9" t="s">
        <v>1825</v>
      </c>
      <c r="AP146" s="9"/>
      <c r="AQ146" s="9" t="s">
        <v>50</v>
      </c>
      <c r="AR146" s="9" t="s">
        <v>495</v>
      </c>
      <c r="AS146" s="166">
        <v>42083</v>
      </c>
      <c r="AT146" s="135">
        <v>42083</v>
      </c>
      <c r="AU146" s="135">
        <v>42083</v>
      </c>
      <c r="AV146" s="179">
        <v>42115</v>
      </c>
      <c r="AW146" s="166">
        <v>42083</v>
      </c>
      <c r="AX146" s="10" t="s">
        <v>1826</v>
      </c>
      <c r="AY146" s="10" t="s">
        <v>485</v>
      </c>
      <c r="AZ146" s="10">
        <v>3</v>
      </c>
      <c r="BA146" s="135">
        <v>42115</v>
      </c>
      <c r="BB146" s="178"/>
      <c r="BC146" s="166">
        <v>42083</v>
      </c>
      <c r="BD146" s="178" t="s">
        <v>1748</v>
      </c>
      <c r="BE146" s="166">
        <v>42083</v>
      </c>
      <c r="BF146" s="178" t="s">
        <v>1749</v>
      </c>
      <c r="BG146" s="166">
        <v>42083</v>
      </c>
      <c r="BH146" s="420" t="s">
        <v>1750</v>
      </c>
      <c r="BI146" s="179">
        <v>42118</v>
      </c>
      <c r="BJ146" s="166">
        <v>42115</v>
      </c>
      <c r="BK146" s="10"/>
      <c r="BL146" s="178"/>
      <c r="BM146" s="166">
        <v>42091</v>
      </c>
      <c r="BN146" s="135">
        <v>42091</v>
      </c>
      <c r="BO146" s="178"/>
      <c r="BP146" s="167"/>
      <c r="BQ146" s="135">
        <v>42083</v>
      </c>
      <c r="BR146" s="179">
        <v>42083</v>
      </c>
      <c r="BS146" s="166">
        <v>42083</v>
      </c>
      <c r="BT146" s="135">
        <v>42083</v>
      </c>
      <c r="BU146" s="179">
        <v>42083</v>
      </c>
      <c r="BV146" s="178">
        <v>2303</v>
      </c>
      <c r="BW146" s="276" t="str">
        <f t="shared" si="129"/>
        <v>2305 4/21/2015, MDR 4/24/2015, 2303</v>
      </c>
      <c r="BX146" s="276">
        <f t="shared" si="167"/>
        <v>11</v>
      </c>
      <c r="BY146" s="398">
        <f t="shared" si="144"/>
        <v>11</v>
      </c>
      <c r="BZ146" s="399">
        <f t="shared" ref="BZ146:BZ160" si="170">IFERROR(BX146/BY146,"")</f>
        <v>1</v>
      </c>
      <c r="CA146" s="168" t="str">
        <f t="shared" si="141"/>
        <v/>
      </c>
      <c r="CB146" s="151" t="str">
        <f t="shared" ref="CB146:CB160" si="171">IFERROR(CA146*7+40763,"")</f>
        <v/>
      </c>
      <c r="CC146" s="153" t="str">
        <f t="shared" ref="CC146:CC160" ca="1" si="172">IFERROR(ROUND(IF(CB146="","",(TODAY()-CB146)/7)+1,0),"")</f>
        <v/>
      </c>
      <c r="CD146" s="153" t="str">
        <f t="shared" ref="CD146:CD160" si="173">IF(CG146="","",CY146)</f>
        <v/>
      </c>
      <c r="CE146" s="153" t="str">
        <f t="shared" ref="CE146:CE160" si="174">IF(CG146="","",CW146)</f>
        <v/>
      </c>
      <c r="CF146" s="396" t="str">
        <f t="shared" ref="CF146:CF160" si="175">IF(CG146="","",CY146-CW146)</f>
        <v/>
      </c>
      <c r="CG146" s="397" t="str">
        <f t="shared" ref="CG146:CG160" si="176">IF(CB146="","",SUM(CK146:CU146)/((CY146)*11))</f>
        <v/>
      </c>
      <c r="CH146" s="153" t="str">
        <f t="shared" ref="CH146:CH160" si="177">IF(CB146="","",IF(MIN(CK146:CU146)&gt;CY146,"",CONCATENATE(IF(SUM(IF(CK146&lt;CL146,1,0),IF(CK146&lt;CM146,1,0),IF(CK146&lt;CN146,1,0),IF(CK146&lt;CO146,1,0),IF(CK146&lt;CP146,1,0),IF(CK146&lt;CQ146,1,0),IF(CK146&lt;CR146,1,0),IF(CK146&lt;CS146,1,0),IF(CK146&lt;CT146,1,0),IF(CK146&lt;CU146,1,0))&gt;7,"SSS ("&amp;CY146-CK146&amp;") ",""),IF(SUM(IF(CL146&lt;CK146,1,0),IF(CL146&lt;CM146,1,0),IF(CL146&lt;CN146,1,0),IF(CL146&lt;CO146,1,0),IF(CL146&lt;CP146,1,0),IF(CL146&lt;CQ146,1,0),IF(CL146&lt;CR146,1,0),IF(CL146&lt;CS146,1,0),IF(CL146&lt;CT146,1,0),IF(CL146&lt;CU146,1,0))&gt;7,"HDMF ("&amp;CY146-CL146&amp;") ",""),IF(SUM(IF(CM146&lt;CK146,1,0),IF(CM146&lt;CL146,1,0),IF(CM146&lt;CN146,1,0),IF(CM146&lt;CO146,1,0),IF(CM146&lt;CP146,1,0),IF(CM146&lt;CQ146,1,0),IF(CM146&lt;CR146,1,0),IF(CM146&lt;CS146,1,0),IF(CM146&lt;CT146,1,0),IF(CM146&lt;CU146,1,0))&gt;7,"PHIC ("&amp;CY146-CM146&amp;") ",""),IF(SUM(IF(CN146&lt;CK146,1,0),IF(CN146&lt;CL146,1,0),IF(CN146&lt;CM146,1,0),IF(CN146&lt;CO146,1,0),IF(CN146&lt;CP146,1,0),IF(CN146&lt;CQ146,1,0),IF(CN146&lt;CR146,1,0),IF(CN146&lt;CS146,1,0),IF(CN146&lt;CT146,1,0),IF(CN146&lt;CU146,1,0))&gt;7,"NBI ("&amp;CY146-CN146&amp;") ",""),IF(SUM(IF(CO146&lt;CK146,1,0),IF(CO146&lt;CL146,1,0),IF(CO146&lt;CN146,1,0),IF(CO146&lt;CM146,1,0),IF(CO146&lt;CP146,1,0),IF(CO146&lt;CQ146,1,0),IF(CO146&lt;CR146,1,0),IF(CO146&lt;CS146,1,0),IF(CO146&lt;CT146,1,0),IF(CO146&lt;CU146,1,0))&gt;7,"NSO ("&amp;CY146-CO146&amp;") ",""),IF(SUM(IF(CP146&lt;CK146,1,0),IF(CP146&lt;CL146,1,0),IF(CP146&lt;CN146,1,0),IF(CP146&lt;CO146,1,0),IF(CP146&lt;CM146,1,0),IF(CP146&lt;CQ146,1,0),IF(CP146&lt;CR146,1,0),IF(CP146&lt;CS146,1,0),IF(CP146&lt;CT146,1,0),IF(CP146&lt;CU146,1,0))&gt;7,"Info ("&amp;CY146-CP146&amp;") ",""),IF(SUM(IF(CQ146&lt;CK146,1,0),IF(CQ146&lt;CL146,1,0),IF(CQ146&lt;CN146,1,0),IF(CQ146&lt;CO146,1,0),IF(CQ146&lt;CP146,1,0),IF(CQ146&lt;CM146,1,0),IF(CQ146&lt;CR146,1,0),IF(CQ146&lt;CS146,1,0),IF(CQ146&lt;CT146,1,0),IF(CQ146&lt;CU146,1,0))&gt;7,"AWOL ("&amp;CY146-CQ146&amp;") ",""),IF(SUM(IF(CR146&lt;CK146,1,0),IF(CR146&lt;CL146,1,0),IF(CR146&lt;CN146,1,0),IF(CR146&lt;CO146,1,0),IF(CR146&lt;CP146,1,0),IF(CR146&lt;CQ146,1,0),IF(CR146&lt;CM146,1,0),IF(CR146&lt;CS146,1,0),IF(CR146&lt;CT146,1,0),IF(CR146&lt;CU146,1,0))&gt;7,"Hand ("&amp;CY146-CR146&amp;") ",""),IF(SUM(IF(CS146&lt;CK146,1,0),IF(CS146&lt;CL146,1,0),IF(CS146&lt;CN146,1,0),IF(CS146&lt;CO146,1,0),IF(CS146&lt;CP146,1,0),IF(CS146&lt;CQ146,1,0),IF(CS146&lt;CR146,1,0),IF(CS146&lt;CM146,1,0),IF(CS146&lt;CT146,1,0),IF(CS146&lt;CU146,1,0))&gt;7,"Waiver ("&amp;CY146-CS146&amp;") ",""),IF(SUM(IF(CT146&lt;CK146,1,0),IF(CT146&lt;CL146,1,0),IF(CT146&lt;CN146,1,0),IF(CT146&lt;CO146,1,0),IF(CT146&lt;CP146,1,0),IF(CT146&lt;CQ146,1,0),IF(CT146&lt;CR146,1,0),IF(CT146&lt;CS146,1,0),IF(CT146&lt;CM146,1,0),IF(CT146&lt;CU146,1,0))&gt;7,"TIN ("&amp;CY146-CT146&amp;") ",""),IF(SUM(IF(CU146&lt;CK146,1,0),IF(CU146&lt;CL146,1,0),IF(CU146&lt;CN146,1,0),IF(CU146&lt;CO146,1,0),IF(CU146&lt;CP146,1,0),IF(CU146&lt;CQ146,1,0),IF(CU146&lt;CR146,1,0),IF(CU146&lt;CS146,1,0),IF(CU146&lt;CT146,1,0),IF(CU146&lt;CM146,1,0))&gt;7,"1905 ("&amp;CY146-CU146&amp;") ",""))))</f>
        <v/>
      </c>
      <c r="CI146" s="151" t="str">
        <f t="shared" ref="CI146:CI160" si="178">IF(CA146="","",CJ146)</f>
        <v/>
      </c>
      <c r="CJ146" s="151" t="str">
        <f t="shared" si="146"/>
        <v/>
      </c>
      <c r="CK146" s="153">
        <f t="shared" si="147"/>
        <v>1</v>
      </c>
      <c r="CL146" s="153">
        <f t="shared" si="148"/>
        <v>1</v>
      </c>
      <c r="CM146" s="153">
        <f t="shared" si="149"/>
        <v>1</v>
      </c>
      <c r="CN146" s="153">
        <f t="shared" si="150"/>
        <v>1</v>
      </c>
      <c r="CO146" s="153">
        <f t="shared" si="151"/>
        <v>1</v>
      </c>
      <c r="CP146" s="153">
        <f t="shared" si="152"/>
        <v>1</v>
      </c>
      <c r="CQ146" s="153">
        <f t="shared" si="153"/>
        <v>1</v>
      </c>
      <c r="CR146" s="153">
        <f t="shared" si="154"/>
        <v>1</v>
      </c>
      <c r="CS146" s="153">
        <f t="shared" si="155"/>
        <v>1</v>
      </c>
      <c r="CT146" s="153">
        <f t="shared" si="156"/>
        <v>1</v>
      </c>
      <c r="CU146" s="153">
        <f t="shared" si="157"/>
        <v>1</v>
      </c>
      <c r="CV146" s="153">
        <f t="shared" si="158"/>
        <v>1</v>
      </c>
      <c r="CW146" s="153">
        <f t="shared" si="159"/>
        <v>1</v>
      </c>
      <c r="CX146" s="153">
        <f t="shared" si="160"/>
        <v>0</v>
      </c>
      <c r="CY146" s="153">
        <f t="shared" si="161"/>
        <v>1</v>
      </c>
      <c r="DA146" s="321">
        <f>SUM(DA7:DA145)</f>
        <v>56</v>
      </c>
      <c r="DB146" s="321">
        <f>SUM(DB7:DB145)</f>
        <v>72</v>
      </c>
    </row>
    <row r="147" spans="1:106" s="317" customFormat="1" x14ac:dyDescent="0.25">
      <c r="A147" s="384">
        <v>189</v>
      </c>
      <c r="B147" s="318">
        <v>42086</v>
      </c>
      <c r="C147" s="317">
        <v>1082363</v>
      </c>
      <c r="D147" s="317" t="s">
        <v>1710</v>
      </c>
      <c r="E147" s="317" t="str">
        <f t="shared" si="138"/>
        <v/>
      </c>
      <c r="F147" s="317" t="str">
        <f t="shared" si="139"/>
        <v xml:space="preserve">MDR, </v>
      </c>
      <c r="G147" s="317" t="s">
        <v>474</v>
      </c>
      <c r="I147" s="318">
        <v>42102</v>
      </c>
      <c r="K147" s="152" t="str">
        <f t="shared" ca="1" si="145"/>
        <v/>
      </c>
      <c r="M147" s="318">
        <v>42102</v>
      </c>
      <c r="N147" s="153" t="str">
        <f t="shared" si="142"/>
        <v/>
      </c>
      <c r="O147" s="317" t="s">
        <v>302</v>
      </c>
      <c r="Q147" s="317" t="s">
        <v>1661</v>
      </c>
      <c r="R147" s="317">
        <v>9154162083</v>
      </c>
      <c r="S147" s="153">
        <f t="shared" si="168"/>
        <v>9154162083</v>
      </c>
      <c r="T147" s="153" t="str">
        <f t="shared" si="169"/>
        <v/>
      </c>
      <c r="U147" s="317" t="s">
        <v>1732</v>
      </c>
      <c r="V147" s="317" t="s">
        <v>1660</v>
      </c>
      <c r="W147" s="317" t="s">
        <v>1659</v>
      </c>
      <c r="X147" s="317" t="s">
        <v>1505</v>
      </c>
      <c r="Y147" s="317" t="s">
        <v>73</v>
      </c>
      <c r="Z147" s="317" t="s">
        <v>74</v>
      </c>
      <c r="AA147" s="317" t="s">
        <v>1232</v>
      </c>
      <c r="AC147" s="317" t="s">
        <v>741</v>
      </c>
      <c r="AD147" s="317" t="s">
        <v>1234</v>
      </c>
      <c r="AH147" s="317" t="s">
        <v>52</v>
      </c>
      <c r="AI147" s="317" t="s">
        <v>1662</v>
      </c>
      <c r="AJ147" s="153" t="str">
        <f t="shared" si="120"/>
        <v>Bubbles Tienzo</v>
      </c>
      <c r="AL147" s="317" t="s">
        <v>265</v>
      </c>
      <c r="AM147" s="317" t="s">
        <v>854</v>
      </c>
      <c r="AN147" s="318">
        <v>32529</v>
      </c>
      <c r="AO147" s="317" t="s">
        <v>1775</v>
      </c>
      <c r="AP147" s="317" t="s">
        <v>1776</v>
      </c>
      <c r="AQ147" s="317" t="s">
        <v>53</v>
      </c>
      <c r="AR147" s="317" t="s">
        <v>378</v>
      </c>
      <c r="AS147" s="332">
        <v>42088</v>
      </c>
      <c r="AT147" s="318">
        <v>42088</v>
      </c>
      <c r="AU147" s="318">
        <v>42088</v>
      </c>
      <c r="AV147" s="318">
        <v>42088</v>
      </c>
      <c r="AW147" s="332">
        <v>42088</v>
      </c>
      <c r="AX147" s="317" t="s">
        <v>1780</v>
      </c>
      <c r="AZ147" s="318">
        <v>42088</v>
      </c>
      <c r="BA147" s="318">
        <v>42088</v>
      </c>
      <c r="BC147" s="332">
        <v>42088</v>
      </c>
      <c r="BD147" s="317" t="s">
        <v>1777</v>
      </c>
      <c r="BE147" s="332">
        <v>42088</v>
      </c>
      <c r="BF147" s="317" t="s">
        <v>1779</v>
      </c>
      <c r="BG147" s="332">
        <v>42088</v>
      </c>
      <c r="BH147" s="385" t="s">
        <v>1778</v>
      </c>
      <c r="BJ147" s="332">
        <v>42088</v>
      </c>
      <c r="BM147" s="332">
        <v>42088</v>
      </c>
      <c r="BP147" s="332">
        <v>42118</v>
      </c>
      <c r="BQ147" s="318">
        <v>42088</v>
      </c>
      <c r="BR147" s="318">
        <v>42118</v>
      </c>
      <c r="BS147" s="332">
        <v>42088</v>
      </c>
      <c r="BT147" s="318">
        <v>42088</v>
      </c>
      <c r="BU147" s="318">
        <v>42088</v>
      </c>
      <c r="BV147" s="337"/>
      <c r="BW147" s="398" t="str">
        <f t="shared" si="129"/>
        <v xml:space="preserve">1905 3/25/2015, 2305 3/25/2015, </v>
      </c>
      <c r="BX147" s="398">
        <f t="shared" si="167"/>
        <v>11</v>
      </c>
      <c r="BY147" s="398">
        <f t="shared" si="144"/>
        <v>11</v>
      </c>
      <c r="BZ147" s="278">
        <f t="shared" si="170"/>
        <v>1</v>
      </c>
      <c r="CA147" s="168" t="str">
        <f t="shared" si="141"/>
        <v/>
      </c>
      <c r="CB147" s="151" t="str">
        <f t="shared" si="171"/>
        <v/>
      </c>
      <c r="CC147" s="153" t="str">
        <f t="shared" ca="1" si="172"/>
        <v/>
      </c>
      <c r="CD147" s="153" t="str">
        <f t="shared" si="173"/>
        <v/>
      </c>
      <c r="CE147" s="153" t="str">
        <f t="shared" si="174"/>
        <v/>
      </c>
      <c r="CF147" s="396" t="str">
        <f t="shared" si="175"/>
        <v/>
      </c>
      <c r="CG147" s="397" t="str">
        <f t="shared" si="176"/>
        <v/>
      </c>
      <c r="CH147" s="153" t="str">
        <f t="shared" si="177"/>
        <v/>
      </c>
      <c r="CI147" s="151" t="str">
        <f t="shared" si="178"/>
        <v/>
      </c>
      <c r="CJ147" s="151" t="str">
        <f t="shared" si="146"/>
        <v/>
      </c>
      <c r="CK147" s="153">
        <f t="shared" si="147"/>
        <v>2</v>
      </c>
      <c r="CL147" s="153">
        <f t="shared" si="148"/>
        <v>2</v>
      </c>
      <c r="CM147" s="153">
        <f t="shared" si="149"/>
        <v>2</v>
      </c>
      <c r="CN147" s="153">
        <f t="shared" si="150"/>
        <v>2</v>
      </c>
      <c r="CO147" s="153">
        <f t="shared" si="151"/>
        <v>2</v>
      </c>
      <c r="CP147" s="153">
        <f t="shared" si="152"/>
        <v>2</v>
      </c>
      <c r="CQ147" s="153">
        <f t="shared" si="153"/>
        <v>2</v>
      </c>
      <c r="CR147" s="153">
        <f t="shared" si="154"/>
        <v>2</v>
      </c>
      <c r="CS147" s="153">
        <f t="shared" si="155"/>
        <v>2</v>
      </c>
      <c r="CT147" s="153">
        <f t="shared" si="156"/>
        <v>2</v>
      </c>
      <c r="CU147" s="153">
        <f t="shared" si="157"/>
        <v>2</v>
      </c>
      <c r="CV147" s="153">
        <f t="shared" si="158"/>
        <v>2</v>
      </c>
      <c r="CW147" s="153">
        <f t="shared" si="159"/>
        <v>2</v>
      </c>
      <c r="CX147" s="153">
        <f t="shared" si="160"/>
        <v>0</v>
      </c>
      <c r="CY147" s="153">
        <f t="shared" si="161"/>
        <v>2</v>
      </c>
      <c r="DB147" s="317">
        <f>DA146/DB146</f>
        <v>0.77777777777777779</v>
      </c>
    </row>
    <row r="148" spans="1:106" s="317" customFormat="1" x14ac:dyDescent="0.25">
      <c r="A148" s="384">
        <v>189</v>
      </c>
      <c r="B148" s="318">
        <v>42086</v>
      </c>
      <c r="C148" s="317">
        <v>1082364</v>
      </c>
      <c r="D148" s="317" t="s">
        <v>1751</v>
      </c>
      <c r="E148" s="317" t="str">
        <f t="shared" si="138"/>
        <v/>
      </c>
      <c r="F148" s="317" t="str">
        <f t="shared" si="139"/>
        <v xml:space="preserve">MDR, TOR, COE, 2x2, </v>
      </c>
      <c r="G148" s="317" t="s">
        <v>475</v>
      </c>
      <c r="I148" s="318">
        <v>42102</v>
      </c>
      <c r="K148" s="152" t="str">
        <f t="shared" ca="1" si="145"/>
        <v/>
      </c>
      <c r="M148" s="318">
        <v>42117</v>
      </c>
      <c r="N148" s="153" t="str">
        <f t="shared" si="142"/>
        <v/>
      </c>
      <c r="O148" s="317" t="s">
        <v>302</v>
      </c>
      <c r="Q148" s="317" t="s">
        <v>1665</v>
      </c>
      <c r="R148" s="317">
        <v>9209776328</v>
      </c>
      <c r="S148" s="153">
        <f t="shared" si="168"/>
        <v>9209776328</v>
      </c>
      <c r="T148" s="153" t="str">
        <f t="shared" si="169"/>
        <v/>
      </c>
      <c r="U148" s="317" t="s">
        <v>1733</v>
      </c>
      <c r="V148" s="317" t="s">
        <v>1664</v>
      </c>
      <c r="W148" s="317" t="s">
        <v>1752</v>
      </c>
      <c r="X148" s="317" t="s">
        <v>1663</v>
      </c>
      <c r="Y148" s="317" t="s">
        <v>1976</v>
      </c>
      <c r="Z148" s="317" t="s">
        <v>74</v>
      </c>
      <c r="AB148" s="317" t="s">
        <v>2341</v>
      </c>
      <c r="AC148" s="317" t="s">
        <v>2397</v>
      </c>
      <c r="AD148" s="317" t="s">
        <v>1038</v>
      </c>
      <c r="AH148" s="317" t="s">
        <v>52</v>
      </c>
      <c r="AI148" s="317" t="s">
        <v>253</v>
      </c>
      <c r="AJ148" s="153" t="str">
        <f t="shared" si="120"/>
        <v/>
      </c>
      <c r="AL148" s="317" t="s">
        <v>259</v>
      </c>
      <c r="AM148" s="317" t="s">
        <v>854</v>
      </c>
      <c r="AN148" s="318">
        <v>33330</v>
      </c>
      <c r="AO148" s="317" t="s">
        <v>1788</v>
      </c>
      <c r="AP148" s="317" t="s">
        <v>1788</v>
      </c>
      <c r="AQ148" s="317" t="s">
        <v>50</v>
      </c>
      <c r="AR148" s="317" t="s">
        <v>378</v>
      </c>
      <c r="AS148" s="332">
        <v>42090</v>
      </c>
      <c r="AT148" s="318">
        <v>42084</v>
      </c>
      <c r="AU148" s="318">
        <v>42084</v>
      </c>
      <c r="AV148" s="318">
        <v>42084</v>
      </c>
      <c r="AW148" s="332">
        <v>42103</v>
      </c>
      <c r="AX148" s="317" t="s">
        <v>2041</v>
      </c>
      <c r="AZ148" s="318">
        <v>42103</v>
      </c>
      <c r="BA148" s="318">
        <v>42090</v>
      </c>
      <c r="BC148" s="332">
        <v>42103</v>
      </c>
      <c r="BD148" s="317" t="s">
        <v>2040</v>
      </c>
      <c r="BE148" s="332">
        <v>42103</v>
      </c>
      <c r="BF148" s="317" t="s">
        <v>2042</v>
      </c>
      <c r="BG148" s="332">
        <v>42090</v>
      </c>
      <c r="BH148" s="385" t="s">
        <v>1799</v>
      </c>
      <c r="BJ148" s="332">
        <v>42090</v>
      </c>
      <c r="BM148" s="332">
        <v>42090</v>
      </c>
      <c r="BP148" s="337"/>
      <c r="BS148" s="332">
        <v>42088</v>
      </c>
      <c r="BT148" s="318">
        <v>42088</v>
      </c>
      <c r="BU148" s="318">
        <v>42088</v>
      </c>
      <c r="BV148" s="337"/>
      <c r="BW148" s="398" t="str">
        <f t="shared" si="129"/>
        <v xml:space="preserve">1905 4/9/2015, 2305 3/27/2015, </v>
      </c>
      <c r="BX148" s="398">
        <f t="shared" si="167"/>
        <v>11</v>
      </c>
      <c r="BY148" s="398">
        <f t="shared" si="144"/>
        <v>11</v>
      </c>
      <c r="BZ148" s="278">
        <f t="shared" si="170"/>
        <v>1</v>
      </c>
      <c r="CA148" s="168" t="str">
        <f t="shared" si="141"/>
        <v/>
      </c>
      <c r="CB148" s="151" t="str">
        <f t="shared" si="171"/>
        <v/>
      </c>
      <c r="CC148" s="153" t="str">
        <f t="shared" ca="1" si="172"/>
        <v/>
      </c>
      <c r="CD148" s="153" t="str">
        <f t="shared" si="173"/>
        <v/>
      </c>
      <c r="CE148" s="153" t="str">
        <f t="shared" si="174"/>
        <v/>
      </c>
      <c r="CF148" s="396" t="str">
        <f t="shared" si="175"/>
        <v/>
      </c>
      <c r="CG148" s="397" t="str">
        <f t="shared" si="176"/>
        <v/>
      </c>
      <c r="CH148" s="153" t="str">
        <f t="shared" si="177"/>
        <v/>
      </c>
      <c r="CI148" s="151" t="str">
        <f t="shared" si="178"/>
        <v/>
      </c>
      <c r="CJ148" s="151" t="str">
        <f t="shared" si="146"/>
        <v/>
      </c>
      <c r="CK148" s="153">
        <f t="shared" si="147"/>
        <v>3</v>
      </c>
      <c r="CL148" s="153">
        <f t="shared" si="148"/>
        <v>3</v>
      </c>
      <c r="CM148" s="153">
        <f t="shared" si="149"/>
        <v>3</v>
      </c>
      <c r="CN148" s="153">
        <f t="shared" si="150"/>
        <v>3</v>
      </c>
      <c r="CO148" s="153">
        <f t="shared" si="151"/>
        <v>3</v>
      </c>
      <c r="CP148" s="153">
        <f t="shared" si="152"/>
        <v>3</v>
      </c>
      <c r="CQ148" s="153">
        <f t="shared" si="153"/>
        <v>3</v>
      </c>
      <c r="CR148" s="153">
        <f t="shared" si="154"/>
        <v>3</v>
      </c>
      <c r="CS148" s="153">
        <f t="shared" si="155"/>
        <v>3</v>
      </c>
      <c r="CT148" s="153">
        <f t="shared" si="156"/>
        <v>3</v>
      </c>
      <c r="CU148" s="153">
        <f t="shared" si="157"/>
        <v>3</v>
      </c>
      <c r="CV148" s="153">
        <f t="shared" si="158"/>
        <v>3</v>
      </c>
      <c r="CW148" s="153">
        <f t="shared" si="159"/>
        <v>3</v>
      </c>
      <c r="CX148" s="153">
        <f t="shared" si="160"/>
        <v>0</v>
      </c>
      <c r="CY148" s="153">
        <f t="shared" si="161"/>
        <v>3</v>
      </c>
    </row>
    <row r="149" spans="1:106" s="317" customFormat="1" x14ac:dyDescent="0.25">
      <c r="A149" s="384">
        <v>189</v>
      </c>
      <c r="B149" s="318">
        <v>42086</v>
      </c>
      <c r="C149" s="317">
        <v>1082365</v>
      </c>
      <c r="D149" s="317" t="s">
        <v>1711</v>
      </c>
      <c r="E149" s="317" t="str">
        <f t="shared" si="138"/>
        <v/>
      </c>
      <c r="F149" s="317" t="str">
        <f t="shared" si="139"/>
        <v xml:space="preserve">TOR, 2x2, </v>
      </c>
      <c r="G149" s="317" t="s">
        <v>474</v>
      </c>
      <c r="I149" s="318">
        <v>42102</v>
      </c>
      <c r="K149" s="152" t="str">
        <f t="shared" ca="1" si="145"/>
        <v/>
      </c>
      <c r="N149" s="153" t="str">
        <f t="shared" si="142"/>
        <v>READY!</v>
      </c>
      <c r="O149" s="317" t="s">
        <v>302</v>
      </c>
      <c r="Q149" s="317" t="s">
        <v>1669</v>
      </c>
      <c r="R149" s="317">
        <v>9278685201</v>
      </c>
      <c r="S149" s="153">
        <f t="shared" si="168"/>
        <v>9278685201</v>
      </c>
      <c r="T149" s="153" t="str">
        <f t="shared" si="169"/>
        <v/>
      </c>
      <c r="U149" s="317" t="s">
        <v>1734</v>
      </c>
      <c r="V149" s="317" t="s">
        <v>1668</v>
      </c>
      <c r="W149" s="317" t="s">
        <v>1666</v>
      </c>
      <c r="X149" s="317" t="s">
        <v>1667</v>
      </c>
      <c r="Y149" s="317" t="s">
        <v>73</v>
      </c>
      <c r="Z149" s="317" t="s">
        <v>74</v>
      </c>
      <c r="AA149" s="317" t="s">
        <v>1232</v>
      </c>
      <c r="AC149" s="317" t="s">
        <v>741</v>
      </c>
      <c r="AD149" s="317" t="s">
        <v>1234</v>
      </c>
      <c r="AH149" s="317" t="s">
        <v>52</v>
      </c>
      <c r="AI149" s="317" t="s">
        <v>1670</v>
      </c>
      <c r="AJ149" s="153" t="str">
        <f t="shared" si="120"/>
        <v>Joel Escobar</v>
      </c>
      <c r="AL149" s="317" t="s">
        <v>254</v>
      </c>
      <c r="AM149" s="317" t="s">
        <v>854</v>
      </c>
      <c r="AN149" s="318">
        <v>31940</v>
      </c>
      <c r="AO149" s="317" t="s">
        <v>1768</v>
      </c>
      <c r="AP149" s="317" t="s">
        <v>1768</v>
      </c>
      <c r="AQ149" s="317" t="s">
        <v>53</v>
      </c>
      <c r="AR149" s="317" t="s">
        <v>495</v>
      </c>
      <c r="AS149" s="332">
        <v>42086</v>
      </c>
      <c r="AT149" s="318">
        <v>42086</v>
      </c>
      <c r="AU149" s="318">
        <v>42086</v>
      </c>
      <c r="AV149" s="318">
        <v>42088</v>
      </c>
      <c r="AW149" s="332">
        <v>42108</v>
      </c>
      <c r="AX149" s="317" t="s">
        <v>2270</v>
      </c>
      <c r="AZ149" s="318">
        <v>42108</v>
      </c>
      <c r="BA149" s="318">
        <v>42102</v>
      </c>
      <c r="BB149" s="318">
        <v>42104</v>
      </c>
      <c r="BC149" s="332">
        <v>42090</v>
      </c>
      <c r="BD149" s="317" t="s">
        <v>1815</v>
      </c>
      <c r="BE149" s="332">
        <v>42090</v>
      </c>
      <c r="BF149" s="317" t="s">
        <v>1816</v>
      </c>
      <c r="BG149" s="332">
        <v>42090</v>
      </c>
      <c r="BH149" s="385" t="s">
        <v>1817</v>
      </c>
      <c r="BI149" s="318">
        <v>42094</v>
      </c>
      <c r="BJ149" s="332">
        <v>42108</v>
      </c>
      <c r="BM149" s="332">
        <v>42090</v>
      </c>
      <c r="BN149" s="318">
        <v>42090</v>
      </c>
      <c r="BO149" s="318">
        <v>42090</v>
      </c>
      <c r="BP149" s="337"/>
      <c r="BR149" s="318">
        <v>42104</v>
      </c>
      <c r="BS149" s="332">
        <v>42088</v>
      </c>
      <c r="BT149" s="318">
        <v>42088</v>
      </c>
      <c r="BU149" s="318">
        <v>42088</v>
      </c>
      <c r="BV149" s="337"/>
      <c r="BW149" s="398" t="str">
        <f t="shared" si="129"/>
        <v xml:space="preserve">1905 (for processing) 4/14/2015, 2305 (for processing) 4/8/2015, MDR 3/31/2015, </v>
      </c>
      <c r="BX149" s="398">
        <f t="shared" si="167"/>
        <v>11</v>
      </c>
      <c r="BY149" s="398">
        <f t="shared" si="144"/>
        <v>11</v>
      </c>
      <c r="BZ149" s="278">
        <f t="shared" si="170"/>
        <v>1</v>
      </c>
      <c r="CA149" s="168" t="str">
        <f t="shared" si="141"/>
        <v/>
      </c>
      <c r="CB149" s="151" t="str">
        <f t="shared" si="171"/>
        <v/>
      </c>
      <c r="CC149" s="153" t="str">
        <f t="shared" ca="1" si="172"/>
        <v/>
      </c>
      <c r="CD149" s="153" t="str">
        <f t="shared" si="173"/>
        <v/>
      </c>
      <c r="CE149" s="153" t="str">
        <f t="shared" si="174"/>
        <v/>
      </c>
      <c r="CF149" s="396" t="str">
        <f t="shared" si="175"/>
        <v/>
      </c>
      <c r="CG149" s="397" t="str">
        <f t="shared" si="176"/>
        <v/>
      </c>
      <c r="CH149" s="153" t="str">
        <f t="shared" si="177"/>
        <v/>
      </c>
      <c r="CI149" s="151" t="str">
        <f t="shared" si="178"/>
        <v/>
      </c>
      <c r="CJ149" s="151" t="str">
        <f t="shared" si="146"/>
        <v/>
      </c>
      <c r="CK149" s="153">
        <f t="shared" si="147"/>
        <v>4</v>
      </c>
      <c r="CL149" s="153">
        <f t="shared" si="148"/>
        <v>4</v>
      </c>
      <c r="CM149" s="153">
        <f t="shared" si="149"/>
        <v>4</v>
      </c>
      <c r="CN149" s="153">
        <f t="shared" si="150"/>
        <v>4</v>
      </c>
      <c r="CO149" s="153">
        <f t="shared" si="151"/>
        <v>4</v>
      </c>
      <c r="CP149" s="153">
        <f t="shared" si="152"/>
        <v>4</v>
      </c>
      <c r="CQ149" s="153">
        <f t="shared" si="153"/>
        <v>4</v>
      </c>
      <c r="CR149" s="153">
        <f t="shared" si="154"/>
        <v>4</v>
      </c>
      <c r="CS149" s="153">
        <f t="shared" si="155"/>
        <v>4</v>
      </c>
      <c r="CT149" s="153">
        <f t="shared" si="156"/>
        <v>4</v>
      </c>
      <c r="CU149" s="153">
        <f t="shared" si="157"/>
        <v>4</v>
      </c>
      <c r="CV149" s="153">
        <f t="shared" si="158"/>
        <v>4</v>
      </c>
      <c r="CW149" s="153">
        <f t="shared" si="159"/>
        <v>4</v>
      </c>
      <c r="CX149" s="153">
        <f t="shared" si="160"/>
        <v>0</v>
      </c>
      <c r="CY149" s="153">
        <f t="shared" si="161"/>
        <v>4</v>
      </c>
    </row>
    <row r="150" spans="1:106" s="317" customFormat="1" x14ac:dyDescent="0.25">
      <c r="A150" s="384">
        <v>189</v>
      </c>
      <c r="B150" s="318">
        <v>42086</v>
      </c>
      <c r="C150" s="317">
        <v>1082366</v>
      </c>
      <c r="D150" s="317" t="s">
        <v>1712</v>
      </c>
      <c r="E150" s="317" t="str">
        <f t="shared" si="138"/>
        <v/>
      </c>
      <c r="F150" s="317" t="str">
        <f t="shared" si="139"/>
        <v xml:space="preserve">MDR, 2x2, </v>
      </c>
      <c r="G150" s="317" t="s">
        <v>474</v>
      </c>
      <c r="I150" s="318">
        <v>42102</v>
      </c>
      <c r="K150" s="152" t="str">
        <f t="shared" ca="1" si="145"/>
        <v/>
      </c>
      <c r="M150" s="318">
        <v>42102</v>
      </c>
      <c r="N150" s="153" t="str">
        <f t="shared" si="142"/>
        <v/>
      </c>
      <c r="O150" s="317" t="s">
        <v>302</v>
      </c>
      <c r="Q150" s="317" t="s">
        <v>1674</v>
      </c>
      <c r="R150" s="317">
        <v>9175613667</v>
      </c>
      <c r="S150" s="153">
        <f t="shared" si="168"/>
        <v>9175613667</v>
      </c>
      <c r="T150" s="153" t="str">
        <f t="shared" si="169"/>
        <v/>
      </c>
      <c r="U150" s="317" t="s">
        <v>1735</v>
      </c>
      <c r="V150" s="317" t="s">
        <v>1673</v>
      </c>
      <c r="W150" s="317" t="s">
        <v>1671</v>
      </c>
      <c r="X150" s="317" t="s">
        <v>1672</v>
      </c>
      <c r="Y150" s="317" t="s">
        <v>73</v>
      </c>
      <c r="Z150" s="317" t="s">
        <v>74</v>
      </c>
      <c r="AA150" s="317" t="s">
        <v>1232</v>
      </c>
      <c r="AC150" s="317" t="s">
        <v>741</v>
      </c>
      <c r="AD150" s="317" t="s">
        <v>1234</v>
      </c>
      <c r="AH150" s="317" t="s">
        <v>52</v>
      </c>
      <c r="AI150" s="317" t="s">
        <v>1662</v>
      </c>
      <c r="AJ150" s="153" t="str">
        <f t="shared" si="120"/>
        <v>Bubbles Tienzo</v>
      </c>
      <c r="AL150" s="317" t="s">
        <v>571</v>
      </c>
      <c r="AM150" s="317" t="s">
        <v>854</v>
      </c>
      <c r="AN150" s="318">
        <v>32821</v>
      </c>
      <c r="AO150" s="317" t="s">
        <v>1773</v>
      </c>
      <c r="AP150" s="317" t="s">
        <v>1774</v>
      </c>
      <c r="AQ150" s="317" t="s">
        <v>53</v>
      </c>
      <c r="AR150" s="317" t="s">
        <v>378</v>
      </c>
      <c r="AS150" s="332">
        <v>42088</v>
      </c>
      <c r="AT150" s="318">
        <v>42088</v>
      </c>
      <c r="AU150" s="318">
        <v>42088</v>
      </c>
      <c r="AV150" s="318">
        <v>42088</v>
      </c>
      <c r="AW150" s="332">
        <v>42088</v>
      </c>
      <c r="AX150" s="317" t="s">
        <v>1770</v>
      </c>
      <c r="AZ150" s="318">
        <v>42088</v>
      </c>
      <c r="BA150" s="318">
        <v>42088</v>
      </c>
      <c r="BC150" s="332">
        <v>42088</v>
      </c>
      <c r="BD150" s="317" t="s">
        <v>1769</v>
      </c>
      <c r="BE150" s="332">
        <v>42088</v>
      </c>
      <c r="BF150" s="317" t="s">
        <v>1771</v>
      </c>
      <c r="BG150" s="332">
        <v>42088</v>
      </c>
      <c r="BH150" s="385" t="s">
        <v>1772</v>
      </c>
      <c r="BJ150" s="332">
        <v>42088</v>
      </c>
      <c r="BM150" s="332">
        <v>42088</v>
      </c>
      <c r="BP150" s="337"/>
      <c r="BQ150" s="318">
        <v>42088</v>
      </c>
      <c r="BR150" s="318">
        <v>42118</v>
      </c>
      <c r="BS150" s="332">
        <v>42088</v>
      </c>
      <c r="BT150" s="318">
        <v>42088</v>
      </c>
      <c r="BU150" s="318">
        <v>42088</v>
      </c>
      <c r="BV150" s="337"/>
      <c r="BW150" s="398" t="str">
        <f t="shared" si="129"/>
        <v xml:space="preserve">1905 3/25/2015, 2305 3/25/2015, </v>
      </c>
      <c r="BX150" s="398">
        <f t="shared" si="167"/>
        <v>11</v>
      </c>
      <c r="BY150" s="398">
        <f t="shared" si="144"/>
        <v>11</v>
      </c>
      <c r="BZ150" s="278">
        <f t="shared" si="170"/>
        <v>1</v>
      </c>
      <c r="CA150" s="168" t="str">
        <f t="shared" si="141"/>
        <v/>
      </c>
      <c r="CB150" s="151" t="str">
        <f t="shared" si="171"/>
        <v/>
      </c>
      <c r="CC150" s="153" t="str">
        <f t="shared" ca="1" si="172"/>
        <v/>
      </c>
      <c r="CD150" s="153" t="str">
        <f t="shared" si="173"/>
        <v/>
      </c>
      <c r="CE150" s="153" t="str">
        <f t="shared" si="174"/>
        <v/>
      </c>
      <c r="CF150" s="396" t="str">
        <f t="shared" si="175"/>
        <v/>
      </c>
      <c r="CG150" s="397" t="str">
        <f t="shared" si="176"/>
        <v/>
      </c>
      <c r="CH150" s="153" t="str">
        <f t="shared" si="177"/>
        <v/>
      </c>
      <c r="CI150" s="151" t="str">
        <f t="shared" si="178"/>
        <v/>
      </c>
      <c r="CJ150" s="151" t="str">
        <f t="shared" si="146"/>
        <v/>
      </c>
      <c r="CK150" s="153">
        <f t="shared" si="147"/>
        <v>5</v>
      </c>
      <c r="CL150" s="153">
        <f t="shared" si="148"/>
        <v>5</v>
      </c>
      <c r="CM150" s="153">
        <f t="shared" si="149"/>
        <v>5</v>
      </c>
      <c r="CN150" s="153">
        <f t="shared" si="150"/>
        <v>5</v>
      </c>
      <c r="CO150" s="153">
        <f t="shared" si="151"/>
        <v>5</v>
      </c>
      <c r="CP150" s="153">
        <f t="shared" si="152"/>
        <v>5</v>
      </c>
      <c r="CQ150" s="153">
        <f t="shared" si="153"/>
        <v>5</v>
      </c>
      <c r="CR150" s="153">
        <f t="shared" si="154"/>
        <v>5</v>
      </c>
      <c r="CS150" s="153">
        <f t="shared" si="155"/>
        <v>5</v>
      </c>
      <c r="CT150" s="153">
        <f t="shared" si="156"/>
        <v>5</v>
      </c>
      <c r="CU150" s="153">
        <f t="shared" si="157"/>
        <v>5</v>
      </c>
      <c r="CV150" s="153">
        <f t="shared" si="158"/>
        <v>5</v>
      </c>
      <c r="CW150" s="153">
        <f t="shared" si="159"/>
        <v>5</v>
      </c>
      <c r="CX150" s="153">
        <f t="shared" si="160"/>
        <v>0</v>
      </c>
      <c r="CY150" s="153">
        <f t="shared" si="161"/>
        <v>5</v>
      </c>
    </row>
    <row r="151" spans="1:106" s="317" customFormat="1" x14ac:dyDescent="0.25">
      <c r="A151" s="384">
        <v>189</v>
      </c>
      <c r="B151" s="318">
        <v>42086</v>
      </c>
      <c r="C151" s="317">
        <v>1082367</v>
      </c>
      <c r="D151" s="317" t="s">
        <v>1713</v>
      </c>
      <c r="E151" s="317" t="str">
        <f t="shared" si="138"/>
        <v/>
      </c>
      <c r="F151" s="317" t="str">
        <f t="shared" si="139"/>
        <v xml:space="preserve">2x2, </v>
      </c>
      <c r="G151" s="317" t="s">
        <v>474</v>
      </c>
      <c r="I151" s="318">
        <v>42102</v>
      </c>
      <c r="K151" s="152" t="str">
        <f t="shared" ca="1" si="145"/>
        <v/>
      </c>
      <c r="M151" s="318">
        <v>42102</v>
      </c>
      <c r="N151" s="153" t="str">
        <f t="shared" si="142"/>
        <v/>
      </c>
      <c r="O151" s="317" t="s">
        <v>302</v>
      </c>
      <c r="Q151" s="317" t="s">
        <v>1678</v>
      </c>
      <c r="R151" s="317">
        <v>9202670597</v>
      </c>
      <c r="S151" s="153">
        <f t="shared" si="168"/>
        <v>9202670597</v>
      </c>
      <c r="T151" s="153" t="str">
        <f t="shared" si="169"/>
        <v/>
      </c>
      <c r="U151" s="317" t="s">
        <v>1736</v>
      </c>
      <c r="V151" s="317" t="s">
        <v>1677</v>
      </c>
      <c r="W151" s="317" t="s">
        <v>1675</v>
      </c>
      <c r="X151" s="317" t="s">
        <v>1676</v>
      </c>
      <c r="Y151" s="317" t="s">
        <v>73</v>
      </c>
      <c r="Z151" s="317" t="s">
        <v>74</v>
      </c>
      <c r="AA151" s="317" t="s">
        <v>1232</v>
      </c>
      <c r="AC151" s="317" t="s">
        <v>741</v>
      </c>
      <c r="AD151" s="317" t="s">
        <v>1234</v>
      </c>
      <c r="AH151" s="317" t="s">
        <v>52</v>
      </c>
      <c r="AI151" s="317" t="s">
        <v>253</v>
      </c>
      <c r="AJ151" s="153" t="str">
        <f t="shared" si="120"/>
        <v/>
      </c>
      <c r="AL151" s="317" t="s">
        <v>254</v>
      </c>
      <c r="AM151" s="317" t="s">
        <v>854</v>
      </c>
      <c r="AN151" s="318">
        <v>32986</v>
      </c>
      <c r="AO151" s="317" t="s">
        <v>1814</v>
      </c>
      <c r="AQ151" s="317" t="s">
        <v>53</v>
      </c>
      <c r="AR151" s="317" t="s">
        <v>378</v>
      </c>
      <c r="AS151" s="332">
        <v>42090</v>
      </c>
      <c r="AT151" s="318">
        <v>42084</v>
      </c>
      <c r="AU151" s="318">
        <v>42084</v>
      </c>
      <c r="AV151" s="318">
        <v>42088</v>
      </c>
      <c r="AW151" s="332">
        <v>42090</v>
      </c>
      <c r="AX151" s="317" t="s">
        <v>1810</v>
      </c>
      <c r="AZ151" s="317">
        <v>1</v>
      </c>
      <c r="BA151" s="318">
        <v>42084</v>
      </c>
      <c r="BC151" s="332">
        <v>42090</v>
      </c>
      <c r="BD151" s="317" t="s">
        <v>1813</v>
      </c>
      <c r="BE151" s="332">
        <v>42090</v>
      </c>
      <c r="BF151" s="317" t="s">
        <v>1811</v>
      </c>
      <c r="BG151" s="332">
        <v>42090</v>
      </c>
      <c r="BH151" s="385" t="s">
        <v>1812</v>
      </c>
      <c r="BI151" s="318">
        <v>42094</v>
      </c>
      <c r="BJ151" s="332">
        <v>42090</v>
      </c>
      <c r="BM151" s="332">
        <v>42090</v>
      </c>
      <c r="BP151" s="337"/>
      <c r="BQ151" s="318">
        <v>42090</v>
      </c>
      <c r="BR151" s="318">
        <v>42090</v>
      </c>
      <c r="BS151" s="332">
        <v>42088</v>
      </c>
      <c r="BT151" s="318">
        <v>42088</v>
      </c>
      <c r="BU151" s="318">
        <v>42088</v>
      </c>
      <c r="BV151" s="337"/>
      <c r="BW151" s="398" t="str">
        <f t="shared" si="129"/>
        <v xml:space="preserve">2305 3/21/2015, MDR 3/31/2015, </v>
      </c>
      <c r="BX151" s="398">
        <f t="shared" si="167"/>
        <v>11</v>
      </c>
      <c r="BY151" s="398">
        <f t="shared" si="144"/>
        <v>11</v>
      </c>
      <c r="BZ151" s="278">
        <f t="shared" si="170"/>
        <v>1</v>
      </c>
      <c r="CA151" s="168" t="str">
        <f t="shared" si="141"/>
        <v/>
      </c>
      <c r="CB151" s="151" t="str">
        <f t="shared" si="171"/>
        <v/>
      </c>
      <c r="CC151" s="153" t="str">
        <f t="shared" ca="1" si="172"/>
        <v/>
      </c>
      <c r="CD151" s="153" t="str">
        <f t="shared" si="173"/>
        <v/>
      </c>
      <c r="CE151" s="153" t="str">
        <f t="shared" si="174"/>
        <v/>
      </c>
      <c r="CF151" s="396" t="str">
        <f t="shared" si="175"/>
        <v/>
      </c>
      <c r="CG151" s="397" t="str">
        <f t="shared" si="176"/>
        <v/>
      </c>
      <c r="CH151" s="153" t="str">
        <f t="shared" si="177"/>
        <v/>
      </c>
      <c r="CI151" s="151" t="str">
        <f t="shared" si="178"/>
        <v/>
      </c>
      <c r="CJ151" s="151" t="str">
        <f t="shared" si="146"/>
        <v/>
      </c>
      <c r="CK151" s="153">
        <f t="shared" si="147"/>
        <v>6</v>
      </c>
      <c r="CL151" s="153">
        <f t="shared" si="148"/>
        <v>6</v>
      </c>
      <c r="CM151" s="153">
        <f t="shared" si="149"/>
        <v>6</v>
      </c>
      <c r="CN151" s="153">
        <f t="shared" si="150"/>
        <v>6</v>
      </c>
      <c r="CO151" s="153">
        <f t="shared" si="151"/>
        <v>6</v>
      </c>
      <c r="CP151" s="153">
        <f t="shared" si="152"/>
        <v>6</v>
      </c>
      <c r="CQ151" s="153">
        <f t="shared" si="153"/>
        <v>6</v>
      </c>
      <c r="CR151" s="153">
        <f t="shared" si="154"/>
        <v>6</v>
      </c>
      <c r="CS151" s="153">
        <f t="shared" si="155"/>
        <v>6</v>
      </c>
      <c r="CT151" s="153">
        <f t="shared" si="156"/>
        <v>6</v>
      </c>
      <c r="CU151" s="153">
        <f t="shared" si="157"/>
        <v>6</v>
      </c>
      <c r="CV151" s="153">
        <f t="shared" si="158"/>
        <v>6</v>
      </c>
      <c r="CW151" s="153">
        <f t="shared" si="159"/>
        <v>6</v>
      </c>
      <c r="CX151" s="153">
        <f t="shared" si="160"/>
        <v>0</v>
      </c>
      <c r="CY151" s="153">
        <f t="shared" si="161"/>
        <v>6</v>
      </c>
    </row>
    <row r="152" spans="1:106" s="317" customFormat="1" x14ac:dyDescent="0.25">
      <c r="A152" s="384">
        <v>189</v>
      </c>
      <c r="B152" s="318">
        <v>42086</v>
      </c>
      <c r="C152" s="317">
        <v>1082368</v>
      </c>
      <c r="D152" s="590" t="s">
        <v>1714</v>
      </c>
      <c r="E152" s="317" t="str">
        <f t="shared" si="138"/>
        <v/>
      </c>
      <c r="F152" s="317" t="str">
        <f t="shared" si="139"/>
        <v xml:space="preserve">MDR, TOR, COE, </v>
      </c>
      <c r="G152" s="317" t="s">
        <v>475</v>
      </c>
      <c r="I152" s="318">
        <v>42102</v>
      </c>
      <c r="K152" s="384" t="str">
        <f t="shared" ca="1" si="145"/>
        <v/>
      </c>
      <c r="N152" s="317" t="str">
        <f t="shared" si="142"/>
        <v>READY!</v>
      </c>
      <c r="O152" s="317" t="s">
        <v>302</v>
      </c>
      <c r="Q152" s="10" t="s">
        <v>1681</v>
      </c>
      <c r="R152" s="10">
        <v>9154414696</v>
      </c>
      <c r="S152" s="153">
        <f t="shared" si="168"/>
        <v>9154414696</v>
      </c>
      <c r="T152" s="153" t="str">
        <f t="shared" si="169"/>
        <v/>
      </c>
      <c r="U152" s="10" t="s">
        <v>1737</v>
      </c>
      <c r="V152" s="10" t="s">
        <v>1680</v>
      </c>
      <c r="W152" s="10" t="s">
        <v>1474</v>
      </c>
      <c r="X152" s="10" t="s">
        <v>1679</v>
      </c>
      <c r="Y152" s="10" t="s">
        <v>73</v>
      </c>
      <c r="Z152" s="10" t="s">
        <v>74</v>
      </c>
      <c r="AA152" s="10" t="s">
        <v>1232</v>
      </c>
      <c r="AB152" s="10"/>
      <c r="AC152" s="10" t="s">
        <v>741</v>
      </c>
      <c r="AD152" s="10" t="s">
        <v>1234</v>
      </c>
      <c r="AE152" s="10"/>
      <c r="AF152" s="10"/>
      <c r="AG152" s="10"/>
      <c r="AH152" s="10" t="s">
        <v>52</v>
      </c>
      <c r="AI152" s="10" t="s">
        <v>253</v>
      </c>
      <c r="AJ152" s="153" t="str">
        <f t="shared" si="120"/>
        <v/>
      </c>
      <c r="AK152" s="10"/>
      <c r="AL152" s="10" t="s">
        <v>259</v>
      </c>
      <c r="AM152" s="10" t="s">
        <v>854</v>
      </c>
      <c r="AN152" s="135">
        <v>32636</v>
      </c>
      <c r="AO152" s="10" t="s">
        <v>1781</v>
      </c>
      <c r="AP152" s="10" t="s">
        <v>1781</v>
      </c>
      <c r="AQ152" s="10" t="s">
        <v>50</v>
      </c>
      <c r="AR152" s="10" t="s">
        <v>378</v>
      </c>
      <c r="AS152" s="166">
        <v>42118</v>
      </c>
      <c r="AT152" s="135">
        <v>42084</v>
      </c>
      <c r="AU152" s="135">
        <v>42084</v>
      </c>
      <c r="AV152" s="135">
        <v>42084</v>
      </c>
      <c r="AW152" s="166">
        <v>42130</v>
      </c>
      <c r="AX152" s="10" t="s">
        <v>2377</v>
      </c>
      <c r="AY152" s="10"/>
      <c r="AZ152" s="135">
        <v>42130</v>
      </c>
      <c r="BA152" s="135">
        <v>42084</v>
      </c>
      <c r="BB152" s="10"/>
      <c r="BC152" s="166">
        <v>42090</v>
      </c>
      <c r="BD152" s="10" t="s">
        <v>1803</v>
      </c>
      <c r="BE152" s="166">
        <v>42102</v>
      </c>
      <c r="BF152" s="10" t="s">
        <v>1802</v>
      </c>
      <c r="BG152" s="166">
        <v>42102</v>
      </c>
      <c r="BH152" s="420" t="s">
        <v>2030</v>
      </c>
      <c r="BI152" s="10"/>
      <c r="BJ152" s="166">
        <v>42139</v>
      </c>
      <c r="BK152" s="10"/>
      <c r="BL152" s="10"/>
      <c r="BM152" s="166">
        <v>42118</v>
      </c>
      <c r="BN152" s="10"/>
      <c r="BO152" s="10"/>
      <c r="BP152" s="166">
        <v>42118</v>
      </c>
      <c r="BQ152" s="10"/>
      <c r="BR152" s="10"/>
      <c r="BS152" s="166">
        <v>42088</v>
      </c>
      <c r="BT152" s="135">
        <v>42088</v>
      </c>
      <c r="BU152" s="135">
        <v>42088</v>
      </c>
      <c r="BV152" s="167" t="s">
        <v>2376</v>
      </c>
      <c r="BW152" s="398" t="str">
        <f t="shared" si="129"/>
        <v>1905 (for processing) 5/6/2015, 2305 (for processing) 3/21/2015, TIN from MDF</v>
      </c>
      <c r="BX152" s="398">
        <f t="shared" si="167"/>
        <v>11</v>
      </c>
      <c r="BY152" s="398">
        <f t="shared" si="144"/>
        <v>11</v>
      </c>
      <c r="BZ152" s="278">
        <f t="shared" si="170"/>
        <v>1</v>
      </c>
      <c r="CA152" s="168" t="str">
        <f t="shared" si="141"/>
        <v/>
      </c>
      <c r="CB152" s="151" t="str">
        <f t="shared" si="171"/>
        <v/>
      </c>
      <c r="CC152" s="153" t="str">
        <f t="shared" ca="1" si="172"/>
        <v/>
      </c>
      <c r="CD152" s="153" t="str">
        <f t="shared" si="173"/>
        <v/>
      </c>
      <c r="CE152" s="153" t="str">
        <f t="shared" si="174"/>
        <v/>
      </c>
      <c r="CF152" s="396" t="str">
        <f t="shared" si="175"/>
        <v/>
      </c>
      <c r="CG152" s="397" t="str">
        <f t="shared" si="176"/>
        <v/>
      </c>
      <c r="CH152" s="153" t="str">
        <f t="shared" si="177"/>
        <v/>
      </c>
      <c r="CI152" s="151" t="str">
        <f t="shared" si="178"/>
        <v/>
      </c>
      <c r="CJ152" s="151" t="str">
        <f t="shared" si="146"/>
        <v/>
      </c>
      <c r="CK152" s="153">
        <f t="shared" si="147"/>
        <v>7</v>
      </c>
      <c r="CL152" s="153">
        <f t="shared" si="148"/>
        <v>7</v>
      </c>
      <c r="CM152" s="153">
        <f t="shared" si="149"/>
        <v>7</v>
      </c>
      <c r="CN152" s="153">
        <f t="shared" si="150"/>
        <v>7</v>
      </c>
      <c r="CO152" s="153">
        <f t="shared" si="151"/>
        <v>7</v>
      </c>
      <c r="CP152" s="153">
        <f t="shared" si="152"/>
        <v>7</v>
      </c>
      <c r="CQ152" s="153">
        <f t="shared" si="153"/>
        <v>7</v>
      </c>
      <c r="CR152" s="153">
        <f t="shared" si="154"/>
        <v>7</v>
      </c>
      <c r="CS152" s="153">
        <f t="shared" si="155"/>
        <v>7</v>
      </c>
      <c r="CT152" s="153">
        <f t="shared" si="156"/>
        <v>7</v>
      </c>
      <c r="CU152" s="153">
        <f t="shared" si="157"/>
        <v>7</v>
      </c>
      <c r="CV152" s="153">
        <f t="shared" si="158"/>
        <v>7</v>
      </c>
      <c r="CW152" s="153">
        <f t="shared" si="159"/>
        <v>7</v>
      </c>
      <c r="CX152" s="153">
        <f t="shared" si="160"/>
        <v>0</v>
      </c>
      <c r="CY152" s="153">
        <f t="shared" si="161"/>
        <v>7</v>
      </c>
    </row>
    <row r="153" spans="1:106" s="317" customFormat="1" x14ac:dyDescent="0.25">
      <c r="A153" s="384">
        <v>189</v>
      </c>
      <c r="B153" s="318">
        <v>42086</v>
      </c>
      <c r="C153" s="317">
        <v>1082369</v>
      </c>
      <c r="D153" s="317" t="s">
        <v>1715</v>
      </c>
      <c r="E153" s="317" t="str">
        <f t="shared" si="138"/>
        <v/>
      </c>
      <c r="F153" s="317" t="str">
        <f t="shared" si="139"/>
        <v xml:space="preserve">MDR, COE, </v>
      </c>
      <c r="G153" s="317" t="s">
        <v>475</v>
      </c>
      <c r="I153" s="318">
        <v>42102</v>
      </c>
      <c r="K153" s="152" t="str">
        <f t="shared" ca="1" si="145"/>
        <v/>
      </c>
      <c r="M153" s="318">
        <v>42102</v>
      </c>
      <c r="N153" s="153" t="str">
        <f t="shared" si="142"/>
        <v/>
      </c>
      <c r="O153" s="317" t="s">
        <v>302</v>
      </c>
      <c r="Q153" s="153" t="s">
        <v>1685</v>
      </c>
      <c r="R153" s="153">
        <v>9154139575</v>
      </c>
      <c r="S153" s="153">
        <f t="shared" si="168"/>
        <v>9154139575</v>
      </c>
      <c r="T153" s="153" t="str">
        <f t="shared" si="169"/>
        <v/>
      </c>
      <c r="U153" s="153" t="s">
        <v>1738</v>
      </c>
      <c r="V153" s="153" t="s">
        <v>1684</v>
      </c>
      <c r="W153" s="153" t="s">
        <v>1682</v>
      </c>
      <c r="X153" s="153" t="s">
        <v>1683</v>
      </c>
      <c r="Y153" s="153" t="s">
        <v>73</v>
      </c>
      <c r="Z153" s="153" t="s">
        <v>74</v>
      </c>
      <c r="AA153" s="153" t="s">
        <v>1232</v>
      </c>
      <c r="AB153" s="153"/>
      <c r="AC153" s="153" t="s">
        <v>741</v>
      </c>
      <c r="AD153" s="153" t="s">
        <v>1234</v>
      </c>
      <c r="AE153" s="153"/>
      <c r="AF153" s="153"/>
      <c r="AG153" s="153"/>
      <c r="AH153" s="153" t="s">
        <v>52</v>
      </c>
      <c r="AI153" s="153" t="s">
        <v>253</v>
      </c>
      <c r="AJ153" s="153" t="str">
        <f t="shared" si="120"/>
        <v/>
      </c>
      <c r="AK153" s="153"/>
      <c r="AL153" s="153" t="s">
        <v>282</v>
      </c>
      <c r="AM153" s="153" t="s">
        <v>854</v>
      </c>
      <c r="AN153" s="151">
        <v>32707</v>
      </c>
      <c r="AO153" s="153" t="s">
        <v>1782</v>
      </c>
      <c r="AP153" s="153"/>
      <c r="AQ153" s="153" t="s">
        <v>50</v>
      </c>
      <c r="AR153" s="153" t="s">
        <v>378</v>
      </c>
      <c r="AS153" s="171">
        <v>42118</v>
      </c>
      <c r="AT153" s="151">
        <v>42090</v>
      </c>
      <c r="AU153" s="151">
        <v>42090</v>
      </c>
      <c r="AV153" s="151">
        <v>42088</v>
      </c>
      <c r="AW153" s="171">
        <v>42102</v>
      </c>
      <c r="AX153" s="153" t="s">
        <v>1991</v>
      </c>
      <c r="AY153" s="153"/>
      <c r="AZ153" s="153">
        <v>1</v>
      </c>
      <c r="BA153" s="151">
        <v>42084</v>
      </c>
      <c r="BB153" s="153"/>
      <c r="BC153" s="171">
        <v>42108</v>
      </c>
      <c r="BD153" s="153" t="s">
        <v>2271</v>
      </c>
      <c r="BE153" s="171">
        <v>42108</v>
      </c>
      <c r="BF153" s="153" t="s">
        <v>2272</v>
      </c>
      <c r="BG153" s="171">
        <v>42090</v>
      </c>
      <c r="BH153" s="154" t="s">
        <v>1818</v>
      </c>
      <c r="BI153" s="153"/>
      <c r="BJ153" s="171">
        <v>42090</v>
      </c>
      <c r="BK153" s="153"/>
      <c r="BL153" s="153"/>
      <c r="BM153" s="171">
        <v>42090</v>
      </c>
      <c r="BN153" s="153"/>
      <c r="BO153" s="153"/>
      <c r="BP153" s="171">
        <v>42118</v>
      </c>
      <c r="BQ153" s="151">
        <v>42118</v>
      </c>
      <c r="BR153" s="153"/>
      <c r="BS153" s="171">
        <v>42088</v>
      </c>
      <c r="BT153" s="151">
        <v>42088</v>
      </c>
      <c r="BU153" s="151">
        <v>42088</v>
      </c>
      <c r="BV153" s="168"/>
      <c r="BW153" s="398" t="str">
        <f t="shared" ref="BW153:BW184" si="179">IF(AZ153&gt;3,"1905 ","")&amp;IF(AND(M153="",AZ153&gt;3)=TRUE,"(for processing) ","")&amp;IF(AZ153&lt;4,"",MONTH(AZ153)&amp;"/"&amp;DAY(AZ153)&amp;"/"&amp;YEAR(AZ153)&amp;", ")&amp;IF(BA153&gt;3,"2305 ","")&amp;IF(AND(M153="",BA153&gt;3)=TRUE,"(for processing) ","")&amp;IF(BA153&lt;4,"",MONTH(BA153)&amp;"/"&amp;DAY(BA153)&amp;"/"&amp;YEAR(BA153)&amp;", ")&amp;IF(BI153&gt;0,"MDR ","")&amp;IF(BI153=0,"",MONTH(BI153)&amp;"/"&amp;DAY(BI153)&amp;"/"&amp;YEAR(BI153)&amp;", ")&amp;IF(BK153&gt;0,"NBI receipt "&amp;MONTH(BK153)&amp;"/"&amp;DAY(BK153)&amp;"/"&amp;YEAR(BK153)&amp;", ","") &amp;BV153</f>
        <v xml:space="preserve">2305 3/21/2015, </v>
      </c>
      <c r="BX153" s="398">
        <f t="shared" si="167"/>
        <v>11</v>
      </c>
      <c r="BY153" s="398">
        <f t="shared" si="144"/>
        <v>11</v>
      </c>
      <c r="BZ153" s="278">
        <f t="shared" si="170"/>
        <v>1</v>
      </c>
      <c r="CA153" s="168" t="str">
        <f t="shared" si="141"/>
        <v/>
      </c>
      <c r="CB153" s="151" t="str">
        <f t="shared" si="171"/>
        <v/>
      </c>
      <c r="CC153" s="153" t="str">
        <f t="shared" ca="1" si="172"/>
        <v/>
      </c>
      <c r="CD153" s="153" t="str">
        <f t="shared" si="173"/>
        <v/>
      </c>
      <c r="CE153" s="153" t="str">
        <f t="shared" si="174"/>
        <v/>
      </c>
      <c r="CF153" s="396" t="str">
        <f t="shared" si="175"/>
        <v/>
      </c>
      <c r="CG153" s="397" t="str">
        <f t="shared" si="176"/>
        <v/>
      </c>
      <c r="CH153" s="153" t="str">
        <f t="shared" si="177"/>
        <v/>
      </c>
      <c r="CI153" s="151" t="str">
        <f t="shared" si="178"/>
        <v/>
      </c>
      <c r="CJ153" s="151" t="str">
        <f t="shared" si="146"/>
        <v/>
      </c>
      <c r="CK153" s="153">
        <f t="shared" si="147"/>
        <v>8</v>
      </c>
      <c r="CL153" s="153">
        <f t="shared" si="148"/>
        <v>8</v>
      </c>
      <c r="CM153" s="153">
        <f t="shared" si="149"/>
        <v>8</v>
      </c>
      <c r="CN153" s="153">
        <f t="shared" si="150"/>
        <v>8</v>
      </c>
      <c r="CO153" s="153">
        <f t="shared" si="151"/>
        <v>8</v>
      </c>
      <c r="CP153" s="153">
        <f t="shared" si="152"/>
        <v>8</v>
      </c>
      <c r="CQ153" s="153">
        <f t="shared" si="153"/>
        <v>8</v>
      </c>
      <c r="CR153" s="153">
        <f t="shared" si="154"/>
        <v>8</v>
      </c>
      <c r="CS153" s="153">
        <f t="shared" si="155"/>
        <v>8</v>
      </c>
      <c r="CT153" s="153">
        <f t="shared" si="156"/>
        <v>8</v>
      </c>
      <c r="CU153" s="153">
        <f t="shared" si="157"/>
        <v>8</v>
      </c>
      <c r="CV153" s="153">
        <f t="shared" si="158"/>
        <v>8</v>
      </c>
      <c r="CW153" s="153">
        <f t="shared" si="159"/>
        <v>8</v>
      </c>
      <c r="CX153" s="153">
        <f t="shared" si="160"/>
        <v>0</v>
      </c>
      <c r="CY153" s="153">
        <f t="shared" si="161"/>
        <v>8</v>
      </c>
    </row>
    <row r="154" spans="1:106" s="113" customFormat="1" x14ac:dyDescent="0.25">
      <c r="A154" s="132">
        <v>189</v>
      </c>
      <c r="B154" s="129">
        <v>42086</v>
      </c>
      <c r="C154" s="113">
        <v>1082370</v>
      </c>
      <c r="D154" s="113" t="s">
        <v>1716</v>
      </c>
      <c r="E154" s="113" t="str">
        <f t="shared" si="138"/>
        <v/>
      </c>
      <c r="F154" s="113" t="str">
        <f t="shared" si="139"/>
        <v/>
      </c>
      <c r="G154" s="113" t="s">
        <v>475</v>
      </c>
      <c r="K154" s="152" t="str">
        <f t="shared" ca="1" si="145"/>
        <v/>
      </c>
      <c r="N154" s="153" t="str">
        <f t="shared" si="142"/>
        <v/>
      </c>
      <c r="O154" s="113" t="s">
        <v>298</v>
      </c>
      <c r="P154" s="113" t="s">
        <v>689</v>
      </c>
      <c r="Q154" s="113" t="s">
        <v>1689</v>
      </c>
      <c r="R154" s="113">
        <v>9351053610</v>
      </c>
      <c r="S154" s="153">
        <f t="shared" si="168"/>
        <v>9351053610</v>
      </c>
      <c r="T154" s="153" t="str">
        <f t="shared" si="169"/>
        <v/>
      </c>
      <c r="U154" s="113" t="s">
        <v>1739</v>
      </c>
      <c r="V154" s="113" t="s">
        <v>1688</v>
      </c>
      <c r="W154" s="113" t="s">
        <v>1686</v>
      </c>
      <c r="X154" s="113" t="s">
        <v>1687</v>
      </c>
      <c r="Y154" s="113" t="s">
        <v>73</v>
      </c>
      <c r="Z154" s="113" t="s">
        <v>70</v>
      </c>
      <c r="AA154" s="113" t="s">
        <v>1233</v>
      </c>
      <c r="AC154" s="113" t="s">
        <v>741</v>
      </c>
      <c r="AD154" s="113" t="s">
        <v>1038</v>
      </c>
      <c r="AH154" s="113" t="s">
        <v>52</v>
      </c>
      <c r="AI154" s="113" t="s">
        <v>253</v>
      </c>
      <c r="AJ154" s="153" t="str">
        <f t="shared" si="120"/>
        <v/>
      </c>
      <c r="AL154" s="113" t="s">
        <v>259</v>
      </c>
      <c r="AM154" s="113" t="s">
        <v>854</v>
      </c>
      <c r="AN154" s="129">
        <v>31117</v>
      </c>
      <c r="AO154" s="113" t="s">
        <v>1783</v>
      </c>
      <c r="AP154" s="113" t="s">
        <v>1783</v>
      </c>
      <c r="AQ154" s="113" t="s">
        <v>50</v>
      </c>
      <c r="AR154" s="113" t="s">
        <v>378</v>
      </c>
      <c r="AS154" s="187">
        <v>42090</v>
      </c>
      <c r="AT154" s="129">
        <v>42084</v>
      </c>
      <c r="AU154" s="129">
        <v>42084</v>
      </c>
      <c r="AV154" s="129">
        <v>42084</v>
      </c>
      <c r="AW154" s="187">
        <v>42090</v>
      </c>
      <c r="AX154" s="113" t="s">
        <v>1795</v>
      </c>
      <c r="AZ154" s="113">
        <v>1</v>
      </c>
      <c r="BA154" s="129">
        <v>42090</v>
      </c>
      <c r="BB154" s="129">
        <v>42062</v>
      </c>
      <c r="BC154" s="187">
        <v>42090</v>
      </c>
      <c r="BD154" s="113" t="s">
        <v>1796</v>
      </c>
      <c r="BE154" s="187">
        <v>42090</v>
      </c>
      <c r="BF154" s="113" t="s">
        <v>1802</v>
      </c>
      <c r="BG154" s="187">
        <v>42090</v>
      </c>
      <c r="BH154" s="274" t="s">
        <v>1797</v>
      </c>
      <c r="BJ154" s="187">
        <v>42090</v>
      </c>
      <c r="BM154" s="187">
        <v>42090</v>
      </c>
      <c r="BP154" s="165"/>
      <c r="BQ154" s="129">
        <v>42090</v>
      </c>
      <c r="BR154" s="129">
        <v>42090</v>
      </c>
      <c r="BS154" s="187">
        <v>42088</v>
      </c>
      <c r="BT154" s="129">
        <v>42088</v>
      </c>
      <c r="BU154" s="129">
        <v>42088</v>
      </c>
      <c r="BV154" s="165"/>
      <c r="BW154" s="398" t="str">
        <f t="shared" si="179"/>
        <v xml:space="preserve">2305 (for processing) 3/27/2015, </v>
      </c>
      <c r="BX154" s="398" t="str">
        <f t="shared" si="167"/>
        <v/>
      </c>
      <c r="BY154" s="398" t="str">
        <f t="shared" si="144"/>
        <v/>
      </c>
      <c r="BZ154" s="278" t="str">
        <f t="shared" si="170"/>
        <v/>
      </c>
      <c r="CA154" s="168" t="str">
        <f t="shared" si="141"/>
        <v/>
      </c>
      <c r="CB154" s="151" t="str">
        <f t="shared" si="171"/>
        <v/>
      </c>
      <c r="CC154" s="153" t="str">
        <f t="shared" ca="1" si="172"/>
        <v/>
      </c>
      <c r="CD154" s="153" t="str">
        <f t="shared" si="173"/>
        <v/>
      </c>
      <c r="CE154" s="153" t="str">
        <f t="shared" si="174"/>
        <v/>
      </c>
      <c r="CF154" s="396" t="str">
        <f t="shared" si="175"/>
        <v/>
      </c>
      <c r="CG154" s="397" t="str">
        <f t="shared" si="176"/>
        <v/>
      </c>
      <c r="CH154" s="153" t="str">
        <f t="shared" si="177"/>
        <v/>
      </c>
      <c r="CI154" s="151" t="str">
        <f t="shared" si="178"/>
        <v/>
      </c>
      <c r="CJ154" s="151" t="str">
        <f t="shared" si="146"/>
        <v/>
      </c>
      <c r="CK154" s="153">
        <f t="shared" si="147"/>
        <v>8</v>
      </c>
      <c r="CL154" s="153">
        <f t="shared" si="148"/>
        <v>8</v>
      </c>
      <c r="CM154" s="153">
        <f t="shared" si="149"/>
        <v>8</v>
      </c>
      <c r="CN154" s="153">
        <f t="shared" si="150"/>
        <v>8</v>
      </c>
      <c r="CO154" s="153">
        <f t="shared" si="151"/>
        <v>8</v>
      </c>
      <c r="CP154" s="153">
        <f t="shared" si="152"/>
        <v>8</v>
      </c>
      <c r="CQ154" s="153">
        <f t="shared" si="153"/>
        <v>8</v>
      </c>
      <c r="CR154" s="153">
        <f t="shared" si="154"/>
        <v>8</v>
      </c>
      <c r="CS154" s="153">
        <f t="shared" si="155"/>
        <v>8</v>
      </c>
      <c r="CT154" s="153">
        <f t="shared" si="156"/>
        <v>8</v>
      </c>
      <c r="CU154" s="153">
        <f t="shared" si="157"/>
        <v>8</v>
      </c>
      <c r="CV154" s="153">
        <f t="shared" si="158"/>
        <v>8</v>
      </c>
      <c r="CW154" s="153">
        <f t="shared" si="159"/>
        <v>8</v>
      </c>
      <c r="CX154" s="153">
        <f t="shared" si="160"/>
        <v>1</v>
      </c>
      <c r="CY154" s="153">
        <f t="shared" si="161"/>
        <v>8</v>
      </c>
    </row>
    <row r="155" spans="1:106" s="113" customFormat="1" x14ac:dyDescent="0.25">
      <c r="A155" s="132">
        <v>189</v>
      </c>
      <c r="B155" s="129">
        <v>42086</v>
      </c>
      <c r="C155" s="113">
        <v>1082371</v>
      </c>
      <c r="D155" s="113" t="s">
        <v>1717</v>
      </c>
      <c r="E155" s="113" t="str">
        <f t="shared" si="138"/>
        <v/>
      </c>
      <c r="F155" s="113" t="str">
        <f t="shared" si="139"/>
        <v/>
      </c>
      <c r="G155" s="113" t="s">
        <v>475</v>
      </c>
      <c r="I155" s="129">
        <v>42102</v>
      </c>
      <c r="K155" s="152" t="str">
        <f t="shared" ca="1" si="145"/>
        <v/>
      </c>
      <c r="N155" s="153" t="str">
        <f t="shared" si="142"/>
        <v/>
      </c>
      <c r="O155" s="113" t="s">
        <v>298</v>
      </c>
      <c r="P155" s="113" t="s">
        <v>689</v>
      </c>
      <c r="Q155" s="113" t="s">
        <v>1693</v>
      </c>
      <c r="R155" s="113">
        <v>9166633005</v>
      </c>
      <c r="S155" s="153">
        <f t="shared" si="168"/>
        <v>9166633005</v>
      </c>
      <c r="T155" s="153" t="str">
        <f t="shared" si="169"/>
        <v/>
      </c>
      <c r="U155" s="113" t="s">
        <v>1740</v>
      </c>
      <c r="V155" s="113" t="s">
        <v>1692</v>
      </c>
      <c r="W155" s="113" t="s">
        <v>1690</v>
      </c>
      <c r="X155" s="113" t="s">
        <v>1691</v>
      </c>
      <c r="Y155" s="113" t="s">
        <v>73</v>
      </c>
      <c r="Z155" s="113" t="s">
        <v>70</v>
      </c>
      <c r="AA155" s="113" t="s">
        <v>1233</v>
      </c>
      <c r="AC155" s="113" t="s">
        <v>741</v>
      </c>
      <c r="AD155" s="113" t="s">
        <v>1038</v>
      </c>
      <c r="AH155" s="113" t="s">
        <v>52</v>
      </c>
      <c r="AI155" s="113" t="s">
        <v>253</v>
      </c>
      <c r="AJ155" s="153" t="str">
        <f t="shared" si="120"/>
        <v/>
      </c>
      <c r="AL155" s="113" t="s">
        <v>265</v>
      </c>
      <c r="AM155" s="113" t="s">
        <v>854</v>
      </c>
      <c r="AN155" s="129">
        <v>33675</v>
      </c>
      <c r="AO155" s="113" t="s">
        <v>1784</v>
      </c>
      <c r="AQ155" s="113" t="s">
        <v>53</v>
      </c>
      <c r="AR155" s="113" t="s">
        <v>378</v>
      </c>
      <c r="AS155" s="187">
        <v>42102</v>
      </c>
      <c r="AT155" s="129">
        <v>42102</v>
      </c>
      <c r="AU155" s="129">
        <v>42107</v>
      </c>
      <c r="AV155" s="129">
        <v>42088</v>
      </c>
      <c r="AW155" s="129">
        <v>42102</v>
      </c>
      <c r="AX155" s="113" t="s">
        <v>2038</v>
      </c>
      <c r="BC155" s="187">
        <v>42102</v>
      </c>
      <c r="BD155" s="113" t="s">
        <v>2039</v>
      </c>
      <c r="BE155" s="165"/>
      <c r="BG155" s="187">
        <v>42102</v>
      </c>
      <c r="BH155" s="274" t="s">
        <v>2032</v>
      </c>
      <c r="BI155" s="129">
        <v>42102</v>
      </c>
      <c r="BJ155" s="165"/>
      <c r="BM155" s="187">
        <v>42102</v>
      </c>
      <c r="BO155" s="129">
        <v>42102</v>
      </c>
      <c r="BP155" s="165"/>
      <c r="BQ155" s="129">
        <v>42102</v>
      </c>
      <c r="BS155" s="187">
        <v>42088</v>
      </c>
      <c r="BT155" s="129">
        <v>42088</v>
      </c>
      <c r="BU155" s="129">
        <v>42088</v>
      </c>
      <c r="BV155" s="165"/>
      <c r="BW155" s="398" t="str">
        <f t="shared" si="179"/>
        <v xml:space="preserve">MDR 4/8/2015, </v>
      </c>
      <c r="BX155" s="398" t="str">
        <f t="shared" si="167"/>
        <v/>
      </c>
      <c r="BY155" s="398" t="str">
        <f t="shared" si="144"/>
        <v/>
      </c>
      <c r="BZ155" s="278" t="str">
        <f t="shared" si="170"/>
        <v/>
      </c>
      <c r="CA155" s="168" t="str">
        <f t="shared" si="141"/>
        <v/>
      </c>
      <c r="CB155" s="151" t="str">
        <f t="shared" si="171"/>
        <v/>
      </c>
      <c r="CC155" s="153" t="str">
        <f t="shared" ca="1" si="172"/>
        <v/>
      </c>
      <c r="CD155" s="153" t="str">
        <f t="shared" si="173"/>
        <v/>
      </c>
      <c r="CE155" s="153" t="str">
        <f t="shared" si="174"/>
        <v/>
      </c>
      <c r="CF155" s="396" t="str">
        <f t="shared" si="175"/>
        <v/>
      </c>
      <c r="CG155" s="397" t="str">
        <f t="shared" si="176"/>
        <v/>
      </c>
      <c r="CH155" s="153" t="str">
        <f t="shared" si="177"/>
        <v/>
      </c>
      <c r="CI155" s="151" t="str">
        <f t="shared" si="178"/>
        <v/>
      </c>
      <c r="CJ155" s="151" t="str">
        <f t="shared" si="146"/>
        <v/>
      </c>
      <c r="CK155" s="153">
        <f t="shared" si="147"/>
        <v>8</v>
      </c>
      <c r="CL155" s="153">
        <f t="shared" si="148"/>
        <v>8</v>
      </c>
      <c r="CM155" s="153">
        <f t="shared" si="149"/>
        <v>8</v>
      </c>
      <c r="CN155" s="153">
        <f t="shared" si="150"/>
        <v>8</v>
      </c>
      <c r="CO155" s="153">
        <f t="shared" si="151"/>
        <v>8</v>
      </c>
      <c r="CP155" s="153">
        <f t="shared" si="152"/>
        <v>8</v>
      </c>
      <c r="CQ155" s="153">
        <f t="shared" si="153"/>
        <v>8</v>
      </c>
      <c r="CR155" s="153">
        <f t="shared" si="154"/>
        <v>8</v>
      </c>
      <c r="CS155" s="153">
        <f t="shared" si="155"/>
        <v>8</v>
      </c>
      <c r="CT155" s="153">
        <f>IF(CB154="",CT154+IF(IF(O155="n",0,COUNT(#REF!))=1,1,0),IF(IF(O155="n",0,COUNT(#REF!))=1,1,0))</f>
        <v>8</v>
      </c>
      <c r="CU155" s="153">
        <f>IF(CB154="",CU154+IF(IF(O155="n",0,COUNT(AW155))=1,1,0),IF(IF(O155="n",0,COUNT(AW155))=1,1,0))</f>
        <v>8</v>
      </c>
      <c r="CV155" s="153">
        <f>IF(CB154="",CV154+IF(IF(O155="n",0,COUNT(AX155))=1,1,0),IF(IF(O155="n",0,COUNT(AX155))=1,1,0))</f>
        <v>8</v>
      </c>
      <c r="CW155" s="153">
        <f t="shared" si="159"/>
        <v>8</v>
      </c>
      <c r="CX155" s="153">
        <f t="shared" si="160"/>
        <v>2</v>
      </c>
      <c r="CY155" s="153">
        <f t="shared" si="161"/>
        <v>8</v>
      </c>
    </row>
    <row r="156" spans="1:106" s="317" customFormat="1" x14ac:dyDescent="0.25">
      <c r="A156" s="384">
        <v>189</v>
      </c>
      <c r="B156" s="318">
        <v>42086</v>
      </c>
      <c r="C156" s="317">
        <v>1082372</v>
      </c>
      <c r="D156" s="317" t="s">
        <v>1718</v>
      </c>
      <c r="E156" s="317" t="str">
        <f t="shared" si="138"/>
        <v/>
      </c>
      <c r="F156" s="317" t="str">
        <f t="shared" si="139"/>
        <v xml:space="preserve">COE, 2x2, </v>
      </c>
      <c r="G156" s="317" t="s">
        <v>475</v>
      </c>
      <c r="I156" s="318">
        <v>42102</v>
      </c>
      <c r="K156" s="152" t="str">
        <f t="shared" ca="1" si="145"/>
        <v/>
      </c>
      <c r="M156" s="318">
        <v>42084</v>
      </c>
      <c r="N156" s="153" t="str">
        <f t="shared" si="142"/>
        <v/>
      </c>
      <c r="O156" s="317" t="s">
        <v>302</v>
      </c>
      <c r="Q156" s="317" t="s">
        <v>1697</v>
      </c>
      <c r="R156" s="317">
        <v>9179514319</v>
      </c>
      <c r="S156" s="153">
        <f t="shared" si="168"/>
        <v>9179514319</v>
      </c>
      <c r="T156" s="153" t="str">
        <f t="shared" si="169"/>
        <v/>
      </c>
      <c r="U156" s="317" t="s">
        <v>1741</v>
      </c>
      <c r="V156" s="317" t="s">
        <v>1696</v>
      </c>
      <c r="W156" s="317" t="s">
        <v>1694</v>
      </c>
      <c r="X156" s="317" t="s">
        <v>1695</v>
      </c>
      <c r="Y156" s="317" t="s">
        <v>73</v>
      </c>
      <c r="Z156" s="317" t="s">
        <v>70</v>
      </c>
      <c r="AA156" s="317" t="s">
        <v>1233</v>
      </c>
      <c r="AC156" s="317" t="s">
        <v>741</v>
      </c>
      <c r="AD156" s="317" t="s">
        <v>1038</v>
      </c>
      <c r="AH156" s="317" t="s">
        <v>52</v>
      </c>
      <c r="AI156" s="317" t="s">
        <v>253</v>
      </c>
      <c r="AJ156" s="153" t="str">
        <f t="shared" si="120"/>
        <v/>
      </c>
      <c r="AL156" s="317" t="s">
        <v>265</v>
      </c>
      <c r="AM156" s="317" t="s">
        <v>854</v>
      </c>
      <c r="AN156" s="318">
        <v>31638</v>
      </c>
      <c r="AO156" s="317" t="s">
        <v>1785</v>
      </c>
      <c r="AP156" s="317" t="s">
        <v>1785</v>
      </c>
      <c r="AQ156" s="317" t="s">
        <v>53</v>
      </c>
      <c r="AR156" s="317" t="s">
        <v>378</v>
      </c>
      <c r="AS156" s="332">
        <v>42090</v>
      </c>
      <c r="AT156" s="318">
        <v>42084</v>
      </c>
      <c r="AU156" s="318">
        <v>42084</v>
      </c>
      <c r="AV156" s="318">
        <v>42088</v>
      </c>
      <c r="AW156" s="332">
        <v>42087</v>
      </c>
      <c r="AX156" s="317" t="s">
        <v>1723</v>
      </c>
      <c r="AZ156" s="317">
        <v>1</v>
      </c>
      <c r="BA156" s="318">
        <v>42084</v>
      </c>
      <c r="BC156" s="332">
        <v>42090</v>
      </c>
      <c r="BD156" s="317" t="s">
        <v>1805</v>
      </c>
      <c r="BE156" s="332">
        <v>42090</v>
      </c>
      <c r="BF156" s="317" t="s">
        <v>1804</v>
      </c>
      <c r="BG156" s="332">
        <v>42090</v>
      </c>
      <c r="BH156" s="385" t="s">
        <v>1762</v>
      </c>
      <c r="BI156" s="318">
        <v>42090</v>
      </c>
      <c r="BJ156" s="332">
        <v>42090</v>
      </c>
      <c r="BM156" s="332">
        <v>42090</v>
      </c>
      <c r="BP156" s="337"/>
      <c r="BQ156" s="318">
        <v>42090</v>
      </c>
      <c r="BS156" s="332">
        <v>42088</v>
      </c>
      <c r="BT156" s="318">
        <v>42088</v>
      </c>
      <c r="BU156" s="318">
        <v>42088</v>
      </c>
      <c r="BV156" s="337"/>
      <c r="BW156" s="398" t="str">
        <f t="shared" si="179"/>
        <v xml:space="preserve">2305 3/21/2015, MDR 3/27/2015, </v>
      </c>
      <c r="BX156" s="398">
        <f t="shared" si="167"/>
        <v>11</v>
      </c>
      <c r="BY156" s="398">
        <f t="shared" si="144"/>
        <v>11</v>
      </c>
      <c r="BZ156" s="278">
        <f t="shared" si="170"/>
        <v>1</v>
      </c>
      <c r="CA156" s="168" t="str">
        <f t="shared" si="141"/>
        <v/>
      </c>
      <c r="CB156" s="151" t="str">
        <f t="shared" si="171"/>
        <v/>
      </c>
      <c r="CC156" s="153" t="str">
        <f t="shared" ca="1" si="172"/>
        <v/>
      </c>
      <c r="CD156" s="153" t="str">
        <f t="shared" si="173"/>
        <v/>
      </c>
      <c r="CE156" s="153" t="str">
        <f t="shared" si="174"/>
        <v/>
      </c>
      <c r="CF156" s="396" t="str">
        <f t="shared" si="175"/>
        <v/>
      </c>
      <c r="CG156" s="397" t="str">
        <f t="shared" si="176"/>
        <v/>
      </c>
      <c r="CH156" s="153" t="str">
        <f t="shared" si="177"/>
        <v/>
      </c>
      <c r="CI156" s="151" t="str">
        <f t="shared" si="178"/>
        <v/>
      </c>
      <c r="CJ156" s="151" t="str">
        <f t="shared" si="146"/>
        <v/>
      </c>
      <c r="CK156" s="153">
        <f t="shared" si="147"/>
        <v>9</v>
      </c>
      <c r="CL156" s="153">
        <f t="shared" si="148"/>
        <v>9</v>
      </c>
      <c r="CM156" s="153">
        <f t="shared" si="149"/>
        <v>9</v>
      </c>
      <c r="CN156" s="153">
        <f t="shared" si="150"/>
        <v>9</v>
      </c>
      <c r="CO156" s="153">
        <f t="shared" si="151"/>
        <v>9</v>
      </c>
      <c r="CP156" s="153">
        <f t="shared" si="152"/>
        <v>9</v>
      </c>
      <c r="CQ156" s="153">
        <f t="shared" si="153"/>
        <v>9</v>
      </c>
      <c r="CR156" s="153">
        <f t="shared" si="154"/>
        <v>9</v>
      </c>
      <c r="CS156" s="153">
        <f t="shared" si="155"/>
        <v>9</v>
      </c>
      <c r="CT156" s="153">
        <f t="shared" ref="CT156:CT187" si="180">IF(CB155="",CT155+IF(IF(O156="n",0,COUNT(AW156))=1,1,0),IF(IF(O156="n",0,COUNT(AW156))=1,1,0))</f>
        <v>9</v>
      </c>
      <c r="CU156" s="153">
        <f t="shared" ref="CU156:CU187" si="181">IF(CB155="",CU155+IF(IF(O156="n",0,COUNT(AZ156))=1,1,0),IF(IF(O156="n",0,COUNT(AZ156))=1,1,0))</f>
        <v>9</v>
      </c>
      <c r="CV156" s="153">
        <f t="shared" ref="CV156:CV187" si="182">IF(CB155="",CV155+IF(IF(O156="n",0,COUNT(BA156))=1,1,0),IF(IF(O156="n",0,COUNT(BA156))=1,1,0))</f>
        <v>9</v>
      </c>
      <c r="CW156" s="153">
        <f t="shared" si="159"/>
        <v>9</v>
      </c>
      <c r="CX156" s="153">
        <f t="shared" si="160"/>
        <v>2</v>
      </c>
      <c r="CY156" s="153">
        <f t="shared" si="161"/>
        <v>9</v>
      </c>
    </row>
    <row r="157" spans="1:106" s="113" customFormat="1" x14ac:dyDescent="0.25">
      <c r="A157" s="132">
        <v>189</v>
      </c>
      <c r="B157" s="129">
        <v>42086</v>
      </c>
      <c r="C157" s="113">
        <v>1082373</v>
      </c>
      <c r="D157" s="113" t="s">
        <v>1754</v>
      </c>
      <c r="E157" s="113" t="str">
        <f t="shared" si="138"/>
        <v/>
      </c>
      <c r="F157" s="113" t="str">
        <f t="shared" si="139"/>
        <v/>
      </c>
      <c r="G157" s="113" t="s">
        <v>475</v>
      </c>
      <c r="I157" s="129">
        <v>42102</v>
      </c>
      <c r="K157" s="152" t="str">
        <f t="shared" ca="1" si="145"/>
        <v/>
      </c>
      <c r="N157" s="153" t="str">
        <f t="shared" si="142"/>
        <v/>
      </c>
      <c r="O157" s="113" t="s">
        <v>298</v>
      </c>
      <c r="P157" s="113" t="s">
        <v>689</v>
      </c>
      <c r="Q157" s="113" t="s">
        <v>1699</v>
      </c>
      <c r="R157" s="113">
        <v>9771924290</v>
      </c>
      <c r="S157" s="153">
        <f t="shared" si="168"/>
        <v>9771924290</v>
      </c>
      <c r="T157" s="153" t="str">
        <f t="shared" si="169"/>
        <v/>
      </c>
      <c r="U157" s="113" t="s">
        <v>1742</v>
      </c>
      <c r="V157" s="113" t="s">
        <v>1698</v>
      </c>
      <c r="W157" s="113" t="s">
        <v>1753</v>
      </c>
      <c r="X157" s="113" t="s">
        <v>568</v>
      </c>
      <c r="Y157" s="113" t="s">
        <v>73</v>
      </c>
      <c r="Z157" s="113" t="s">
        <v>70</v>
      </c>
      <c r="AA157" s="113" t="s">
        <v>1233</v>
      </c>
      <c r="AC157" s="113" t="s">
        <v>741</v>
      </c>
      <c r="AD157" s="113" t="s">
        <v>1038</v>
      </c>
      <c r="AH157" s="113" t="s">
        <v>52</v>
      </c>
      <c r="AI157" s="113" t="s">
        <v>253</v>
      </c>
      <c r="AJ157" s="153" t="str">
        <f t="shared" si="120"/>
        <v/>
      </c>
      <c r="AL157" s="113" t="s">
        <v>265</v>
      </c>
      <c r="AM157" s="113" t="s">
        <v>854</v>
      </c>
      <c r="AN157" s="129">
        <v>33639</v>
      </c>
      <c r="AO157" s="113" t="s">
        <v>1786</v>
      </c>
      <c r="AP157" s="113" t="s">
        <v>1786</v>
      </c>
      <c r="AQ157" s="113" t="s">
        <v>50</v>
      </c>
      <c r="AR157" s="113" t="s">
        <v>378</v>
      </c>
      <c r="AS157" s="187">
        <v>42090</v>
      </c>
      <c r="AT157" s="129">
        <v>42084</v>
      </c>
      <c r="AU157" s="129">
        <v>42084</v>
      </c>
      <c r="AV157" s="129">
        <v>42088</v>
      </c>
      <c r="AW157" s="187"/>
      <c r="BA157" s="129">
        <v>42090</v>
      </c>
      <c r="BC157" s="165"/>
      <c r="BE157" s="165"/>
      <c r="BG157" s="187">
        <v>42090</v>
      </c>
      <c r="BH157" s="274" t="s">
        <v>1798</v>
      </c>
      <c r="BI157" s="129">
        <v>42090</v>
      </c>
      <c r="BJ157" s="165"/>
      <c r="BM157" s="187">
        <v>42090</v>
      </c>
      <c r="BP157" s="165"/>
      <c r="BQ157" s="129">
        <v>42090</v>
      </c>
      <c r="BR157" s="129">
        <v>42090</v>
      </c>
      <c r="BS157" s="187">
        <v>42088</v>
      </c>
      <c r="BT157" s="129">
        <v>42088</v>
      </c>
      <c r="BU157" s="129">
        <v>42088</v>
      </c>
      <c r="BV157" s="165"/>
      <c r="BW157" s="398" t="str">
        <f t="shared" si="179"/>
        <v xml:space="preserve">2305 (for processing) 3/27/2015, MDR 3/27/2015, </v>
      </c>
      <c r="BX157" s="398" t="str">
        <f t="shared" si="167"/>
        <v/>
      </c>
      <c r="BY157" s="398" t="str">
        <f t="shared" si="144"/>
        <v/>
      </c>
      <c r="BZ157" s="278" t="str">
        <f t="shared" si="170"/>
        <v/>
      </c>
      <c r="CA157" s="168" t="str">
        <f t="shared" si="141"/>
        <v/>
      </c>
      <c r="CB157" s="151" t="str">
        <f t="shared" si="171"/>
        <v/>
      </c>
      <c r="CC157" s="153" t="str">
        <f t="shared" ca="1" si="172"/>
        <v/>
      </c>
      <c r="CD157" s="153" t="str">
        <f t="shared" si="173"/>
        <v/>
      </c>
      <c r="CE157" s="153" t="str">
        <f t="shared" si="174"/>
        <v/>
      </c>
      <c r="CF157" s="396" t="str">
        <f t="shared" si="175"/>
        <v/>
      </c>
      <c r="CG157" s="397" t="str">
        <f t="shared" si="176"/>
        <v/>
      </c>
      <c r="CH157" s="153" t="str">
        <f t="shared" si="177"/>
        <v/>
      </c>
      <c r="CI157" s="151" t="str">
        <f t="shared" si="178"/>
        <v/>
      </c>
      <c r="CJ157" s="151" t="str">
        <f t="shared" si="146"/>
        <v/>
      </c>
      <c r="CK157" s="153">
        <f t="shared" si="147"/>
        <v>9</v>
      </c>
      <c r="CL157" s="153">
        <f t="shared" si="148"/>
        <v>9</v>
      </c>
      <c r="CM157" s="153">
        <f t="shared" si="149"/>
        <v>9</v>
      </c>
      <c r="CN157" s="153">
        <f t="shared" si="150"/>
        <v>9</v>
      </c>
      <c r="CO157" s="153">
        <f t="shared" si="151"/>
        <v>9</v>
      </c>
      <c r="CP157" s="153">
        <f t="shared" si="152"/>
        <v>9</v>
      </c>
      <c r="CQ157" s="153">
        <f t="shared" si="153"/>
        <v>9</v>
      </c>
      <c r="CR157" s="153">
        <f t="shared" si="154"/>
        <v>9</v>
      </c>
      <c r="CS157" s="153">
        <f t="shared" si="155"/>
        <v>9</v>
      </c>
      <c r="CT157" s="153">
        <f t="shared" si="180"/>
        <v>9</v>
      </c>
      <c r="CU157" s="153">
        <f t="shared" si="181"/>
        <v>9</v>
      </c>
      <c r="CV157" s="153">
        <f t="shared" si="182"/>
        <v>9</v>
      </c>
      <c r="CW157" s="153">
        <f t="shared" si="159"/>
        <v>9</v>
      </c>
      <c r="CX157" s="153">
        <f t="shared" si="160"/>
        <v>3</v>
      </c>
      <c r="CY157" s="153">
        <f t="shared" si="161"/>
        <v>9</v>
      </c>
    </row>
    <row r="158" spans="1:106" s="317" customFormat="1" x14ac:dyDescent="0.25">
      <c r="A158" s="384">
        <v>189</v>
      </c>
      <c r="B158" s="318">
        <v>42086</v>
      </c>
      <c r="C158" s="317">
        <v>1082374</v>
      </c>
      <c r="D158" s="317" t="s">
        <v>1719</v>
      </c>
      <c r="E158" s="317" t="str">
        <f t="shared" si="138"/>
        <v/>
      </c>
      <c r="F158" s="317" t="str">
        <f t="shared" si="139"/>
        <v xml:space="preserve">COE, 2x2, </v>
      </c>
      <c r="G158" s="317" t="s">
        <v>475</v>
      </c>
      <c r="K158" s="152" t="str">
        <f t="shared" ca="1" si="145"/>
        <v/>
      </c>
      <c r="M158" s="318">
        <v>42117</v>
      </c>
      <c r="N158" s="153" t="str">
        <f t="shared" si="142"/>
        <v/>
      </c>
      <c r="O158" s="317" t="s">
        <v>302</v>
      </c>
      <c r="Q158" s="153"/>
      <c r="R158" s="153">
        <v>9178718056</v>
      </c>
      <c r="S158" s="153">
        <f t="shared" si="168"/>
        <v>9178718056</v>
      </c>
      <c r="T158" s="153" t="str">
        <f t="shared" si="169"/>
        <v/>
      </c>
      <c r="U158" s="153" t="s">
        <v>1743</v>
      </c>
      <c r="V158" s="153" t="s">
        <v>1702</v>
      </c>
      <c r="W158" s="153" t="s">
        <v>1700</v>
      </c>
      <c r="X158" s="153" t="s">
        <v>1701</v>
      </c>
      <c r="Y158" s="153" t="s">
        <v>73</v>
      </c>
      <c r="Z158" s="153" t="s">
        <v>74</v>
      </c>
      <c r="AA158" s="153" t="s">
        <v>1232</v>
      </c>
      <c r="AB158" s="153"/>
      <c r="AC158" s="153" t="s">
        <v>741</v>
      </c>
      <c r="AD158" s="153" t="s">
        <v>1234</v>
      </c>
      <c r="AE158" s="153"/>
      <c r="AF158" s="153"/>
      <c r="AG158" s="153"/>
      <c r="AH158" s="153" t="s">
        <v>52</v>
      </c>
      <c r="AI158" s="153" t="s">
        <v>1476</v>
      </c>
      <c r="AJ158" s="153" t="str">
        <f t="shared" si="120"/>
        <v/>
      </c>
      <c r="AK158" s="153"/>
      <c r="AL158" s="153" t="s">
        <v>1703</v>
      </c>
      <c r="AM158" s="153" t="s">
        <v>854</v>
      </c>
      <c r="AN158" s="151">
        <v>31536</v>
      </c>
      <c r="AO158" s="153" t="s">
        <v>1824</v>
      </c>
      <c r="AP158" s="153" t="s">
        <v>2671</v>
      </c>
      <c r="AQ158" s="153" t="s">
        <v>53</v>
      </c>
      <c r="AR158" s="153" t="s">
        <v>378</v>
      </c>
      <c r="AS158" s="171">
        <v>42118</v>
      </c>
      <c r="AT158" s="151">
        <v>42084</v>
      </c>
      <c r="AU158" s="151">
        <v>42084</v>
      </c>
      <c r="AV158" s="151">
        <v>42088</v>
      </c>
      <c r="AW158" s="171">
        <v>42102</v>
      </c>
      <c r="AX158" s="153" t="s">
        <v>2033</v>
      </c>
      <c r="AY158" s="153"/>
      <c r="AZ158" s="151">
        <v>42102</v>
      </c>
      <c r="BA158" s="151">
        <v>42102</v>
      </c>
      <c r="BB158" s="153"/>
      <c r="BC158" s="171">
        <v>42102</v>
      </c>
      <c r="BD158" s="153" t="s">
        <v>2031</v>
      </c>
      <c r="BE158" s="171">
        <v>42090</v>
      </c>
      <c r="BF158" s="153" t="s">
        <v>1801</v>
      </c>
      <c r="BG158" s="171">
        <v>42090</v>
      </c>
      <c r="BH158" s="154" t="s">
        <v>1800</v>
      </c>
      <c r="BI158" s="151">
        <v>42102</v>
      </c>
      <c r="BJ158" s="171">
        <v>42102</v>
      </c>
      <c r="BK158" s="153"/>
      <c r="BL158" s="153"/>
      <c r="BM158" s="171">
        <v>42090</v>
      </c>
      <c r="BN158" s="153"/>
      <c r="BO158" s="153"/>
      <c r="BP158" s="168"/>
      <c r="BQ158" s="151">
        <v>42090</v>
      </c>
      <c r="BR158" s="153"/>
      <c r="BS158" s="171">
        <v>42088</v>
      </c>
      <c r="BT158" s="151">
        <v>42088</v>
      </c>
      <c r="BU158" s="151">
        <v>42088</v>
      </c>
      <c r="BV158" s="168"/>
      <c r="BW158" s="398" t="str">
        <f t="shared" si="179"/>
        <v xml:space="preserve">1905 4/8/2015, 2305 4/8/2015, MDR 4/8/2015, </v>
      </c>
      <c r="BX158" s="398">
        <f t="shared" si="167"/>
        <v>11</v>
      </c>
      <c r="BY158" s="398">
        <f t="shared" si="144"/>
        <v>11</v>
      </c>
      <c r="BZ158" s="278">
        <f t="shared" si="170"/>
        <v>1</v>
      </c>
      <c r="CA158" s="168" t="str">
        <f t="shared" si="141"/>
        <v/>
      </c>
      <c r="CB158" s="151" t="str">
        <f t="shared" si="171"/>
        <v/>
      </c>
      <c r="CC158" s="153" t="str">
        <f t="shared" ca="1" si="172"/>
        <v/>
      </c>
      <c r="CD158" s="153" t="str">
        <f t="shared" si="173"/>
        <v/>
      </c>
      <c r="CE158" s="153" t="str">
        <f t="shared" si="174"/>
        <v/>
      </c>
      <c r="CF158" s="396" t="str">
        <f t="shared" si="175"/>
        <v/>
      </c>
      <c r="CG158" s="397" t="str">
        <f t="shared" si="176"/>
        <v/>
      </c>
      <c r="CH158" s="153" t="str">
        <f t="shared" si="177"/>
        <v/>
      </c>
      <c r="CI158" s="151" t="str">
        <f t="shared" si="178"/>
        <v/>
      </c>
      <c r="CJ158" s="151" t="str">
        <f t="shared" si="146"/>
        <v/>
      </c>
      <c r="CK158" s="153">
        <f t="shared" si="147"/>
        <v>10</v>
      </c>
      <c r="CL158" s="153">
        <f t="shared" si="148"/>
        <v>10</v>
      </c>
      <c r="CM158" s="153">
        <f t="shared" si="149"/>
        <v>10</v>
      </c>
      <c r="CN158" s="153">
        <f t="shared" si="150"/>
        <v>10</v>
      </c>
      <c r="CO158" s="153">
        <f t="shared" si="151"/>
        <v>10</v>
      </c>
      <c r="CP158" s="153">
        <f t="shared" si="152"/>
        <v>10</v>
      </c>
      <c r="CQ158" s="153">
        <f t="shared" si="153"/>
        <v>10</v>
      </c>
      <c r="CR158" s="153">
        <f t="shared" si="154"/>
        <v>10</v>
      </c>
      <c r="CS158" s="153">
        <f t="shared" si="155"/>
        <v>10</v>
      </c>
      <c r="CT158" s="153">
        <f t="shared" si="180"/>
        <v>10</v>
      </c>
      <c r="CU158" s="153">
        <f t="shared" si="181"/>
        <v>10</v>
      </c>
      <c r="CV158" s="153">
        <f t="shared" si="182"/>
        <v>10</v>
      </c>
      <c r="CW158" s="153">
        <f t="shared" si="159"/>
        <v>10</v>
      </c>
      <c r="CX158" s="153">
        <f t="shared" si="160"/>
        <v>3</v>
      </c>
      <c r="CY158" s="153">
        <f t="shared" si="161"/>
        <v>10</v>
      </c>
    </row>
    <row r="159" spans="1:106" s="317" customFormat="1" x14ac:dyDescent="0.25">
      <c r="A159" s="384">
        <v>189</v>
      </c>
      <c r="B159" s="318">
        <v>42086</v>
      </c>
      <c r="C159" s="317">
        <v>1082375</v>
      </c>
      <c r="D159" s="317" t="s">
        <v>1720</v>
      </c>
      <c r="E159" s="317" t="str">
        <f t="shared" si="138"/>
        <v/>
      </c>
      <c r="F159" s="317" t="str">
        <f t="shared" si="139"/>
        <v xml:space="preserve">TOR, COE, </v>
      </c>
      <c r="G159" s="317" t="s">
        <v>475</v>
      </c>
      <c r="I159" s="318">
        <v>42102</v>
      </c>
      <c r="K159" s="152" t="str">
        <f t="shared" ca="1" si="145"/>
        <v/>
      </c>
      <c r="M159" s="318">
        <v>42117</v>
      </c>
      <c r="N159" s="153" t="str">
        <f t="shared" si="142"/>
        <v/>
      </c>
      <c r="O159" s="317" t="s">
        <v>302</v>
      </c>
      <c r="Q159" s="153" t="s">
        <v>1707</v>
      </c>
      <c r="R159" s="153">
        <v>9092749704</v>
      </c>
      <c r="S159" s="153">
        <f t="shared" si="168"/>
        <v>9092749704</v>
      </c>
      <c r="T159" s="153" t="str">
        <f t="shared" si="169"/>
        <v/>
      </c>
      <c r="U159" s="153" t="s">
        <v>1744</v>
      </c>
      <c r="V159" s="153" t="s">
        <v>1706</v>
      </c>
      <c r="W159" s="153" t="s">
        <v>1704</v>
      </c>
      <c r="X159" s="153" t="s">
        <v>1705</v>
      </c>
      <c r="Y159" s="153" t="s">
        <v>73</v>
      </c>
      <c r="Z159" s="153" t="s">
        <v>74</v>
      </c>
      <c r="AA159" s="153" t="s">
        <v>1232</v>
      </c>
      <c r="AB159" s="153"/>
      <c r="AC159" s="153" t="s">
        <v>741</v>
      </c>
      <c r="AD159" s="153" t="s">
        <v>1234</v>
      </c>
      <c r="AE159" s="153"/>
      <c r="AF159" s="153"/>
      <c r="AG159" s="153"/>
      <c r="AH159" s="153" t="s">
        <v>52</v>
      </c>
      <c r="AI159" s="153" t="s">
        <v>253</v>
      </c>
      <c r="AJ159" s="153"/>
      <c r="AK159" s="153"/>
      <c r="AL159" s="153" t="s">
        <v>254</v>
      </c>
      <c r="AM159" s="153" t="s">
        <v>854</v>
      </c>
      <c r="AN159" s="151">
        <v>33700</v>
      </c>
      <c r="AO159" s="153" t="s">
        <v>1787</v>
      </c>
      <c r="AP159" s="153" t="s">
        <v>1808</v>
      </c>
      <c r="AQ159" s="153" t="s">
        <v>50</v>
      </c>
      <c r="AR159" s="153" t="s">
        <v>378</v>
      </c>
      <c r="AS159" s="171">
        <v>42090</v>
      </c>
      <c r="AT159" s="151">
        <v>42084</v>
      </c>
      <c r="AU159" s="151">
        <v>42084</v>
      </c>
      <c r="AV159" s="151">
        <v>42088</v>
      </c>
      <c r="AW159" s="171">
        <v>42090</v>
      </c>
      <c r="AX159" s="153" t="s">
        <v>1806</v>
      </c>
      <c r="AY159" s="153"/>
      <c r="AZ159" s="153">
        <v>1</v>
      </c>
      <c r="BA159" s="151">
        <v>42084</v>
      </c>
      <c r="BB159" s="183"/>
      <c r="BC159" s="171">
        <v>42102</v>
      </c>
      <c r="BD159" s="183" t="s">
        <v>2037</v>
      </c>
      <c r="BE159" s="171">
        <v>42102</v>
      </c>
      <c r="BF159" s="183" t="s">
        <v>2036</v>
      </c>
      <c r="BG159" s="171">
        <v>42090</v>
      </c>
      <c r="BH159" s="154" t="s">
        <v>1807</v>
      </c>
      <c r="BI159" s="180">
        <v>42090</v>
      </c>
      <c r="BJ159" s="171">
        <v>42090</v>
      </c>
      <c r="BK159" s="153"/>
      <c r="BL159" s="183"/>
      <c r="BM159" s="171">
        <v>42104</v>
      </c>
      <c r="BN159" s="153"/>
      <c r="BO159" s="153"/>
      <c r="BP159" s="171">
        <v>42118</v>
      </c>
      <c r="BQ159" s="153"/>
      <c r="BR159" s="183"/>
      <c r="BS159" s="171">
        <v>42088</v>
      </c>
      <c r="BT159" s="151">
        <v>42088</v>
      </c>
      <c r="BU159" s="180">
        <v>42088</v>
      </c>
      <c r="BV159" s="183"/>
      <c r="BW159" s="398" t="str">
        <f t="shared" si="179"/>
        <v xml:space="preserve">2305 3/21/2015, MDR 3/27/2015, </v>
      </c>
      <c r="BX159" s="276">
        <f t="shared" si="167"/>
        <v>11</v>
      </c>
      <c r="BY159" s="398">
        <f t="shared" si="144"/>
        <v>11</v>
      </c>
      <c r="BZ159" s="399">
        <f t="shared" si="170"/>
        <v>1</v>
      </c>
      <c r="CA159" s="168" t="str">
        <f t="shared" si="141"/>
        <v/>
      </c>
      <c r="CB159" s="151" t="str">
        <f t="shared" si="171"/>
        <v/>
      </c>
      <c r="CC159" s="153" t="str">
        <f t="shared" ca="1" si="172"/>
        <v/>
      </c>
      <c r="CD159" s="153" t="str">
        <f t="shared" si="173"/>
        <v/>
      </c>
      <c r="CE159" s="153" t="str">
        <f t="shared" si="174"/>
        <v/>
      </c>
      <c r="CF159" s="396" t="str">
        <f t="shared" si="175"/>
        <v/>
      </c>
      <c r="CG159" s="397" t="str">
        <f t="shared" si="176"/>
        <v/>
      </c>
      <c r="CH159" s="153" t="str">
        <f t="shared" si="177"/>
        <v/>
      </c>
      <c r="CI159" s="151" t="str">
        <f t="shared" si="178"/>
        <v/>
      </c>
      <c r="CJ159" s="151" t="str">
        <f t="shared" si="146"/>
        <v/>
      </c>
      <c r="CK159" s="153">
        <f t="shared" si="147"/>
        <v>11</v>
      </c>
      <c r="CL159" s="153">
        <f t="shared" si="148"/>
        <v>11</v>
      </c>
      <c r="CM159" s="153">
        <f t="shared" si="149"/>
        <v>11</v>
      </c>
      <c r="CN159" s="153">
        <f t="shared" si="150"/>
        <v>11</v>
      </c>
      <c r="CO159" s="153">
        <f t="shared" si="151"/>
        <v>11</v>
      </c>
      <c r="CP159" s="153">
        <f t="shared" si="152"/>
        <v>11</v>
      </c>
      <c r="CQ159" s="153">
        <f t="shared" si="153"/>
        <v>11</v>
      </c>
      <c r="CR159" s="153">
        <f t="shared" si="154"/>
        <v>11</v>
      </c>
      <c r="CS159" s="153">
        <f t="shared" si="155"/>
        <v>11</v>
      </c>
      <c r="CT159" s="153">
        <f t="shared" si="180"/>
        <v>11</v>
      </c>
      <c r="CU159" s="153">
        <f t="shared" si="181"/>
        <v>11</v>
      </c>
      <c r="CV159" s="153">
        <f t="shared" si="182"/>
        <v>11</v>
      </c>
      <c r="CW159" s="153">
        <f t="shared" si="159"/>
        <v>11</v>
      </c>
      <c r="CX159" s="153">
        <f t="shared" si="160"/>
        <v>3</v>
      </c>
      <c r="CY159" s="153">
        <f t="shared" si="161"/>
        <v>11</v>
      </c>
    </row>
    <row r="160" spans="1:106" s="343" customFormat="1" ht="15.75" thickBot="1" x14ac:dyDescent="0.3">
      <c r="A160" s="391">
        <v>189</v>
      </c>
      <c r="B160" s="344">
        <v>42087</v>
      </c>
      <c r="C160" s="343">
        <v>1082376</v>
      </c>
      <c r="D160" s="343" t="s">
        <v>1728</v>
      </c>
      <c r="E160" s="343" t="str">
        <f t="shared" si="138"/>
        <v/>
      </c>
      <c r="F160" s="343" t="str">
        <f t="shared" si="139"/>
        <v xml:space="preserve">TOR, </v>
      </c>
      <c r="I160" s="344">
        <v>42088</v>
      </c>
      <c r="K160" s="491" t="str">
        <f t="shared" ca="1" si="145"/>
        <v/>
      </c>
      <c r="N160" s="487" t="str">
        <f t="shared" si="142"/>
        <v>READY!</v>
      </c>
      <c r="O160" s="343" t="s">
        <v>302</v>
      </c>
      <c r="Q160" s="343" t="s">
        <v>1727</v>
      </c>
      <c r="R160" s="343">
        <v>9178031624</v>
      </c>
      <c r="S160" s="487">
        <f>IFERROR(IF(SEARCH("/",R160)&gt;0,REPLACE(R160,11,11,""),R160),R160)</f>
        <v>9178031624</v>
      </c>
      <c r="T160" s="487" t="str">
        <f>IFERROR(IF(SEARCH("/",R160)&gt;0,REPLACE(R160,1,11,""),""),"")</f>
        <v/>
      </c>
      <c r="U160" s="343" t="s">
        <v>1745</v>
      </c>
      <c r="V160" s="343" t="s">
        <v>1726</v>
      </c>
      <c r="W160" s="343" t="s">
        <v>1724</v>
      </c>
      <c r="X160" s="343" t="s">
        <v>1725</v>
      </c>
      <c r="Y160" s="343" t="s">
        <v>135</v>
      </c>
      <c r="Z160" s="343" t="s">
        <v>74</v>
      </c>
      <c r="AA160" s="343" t="s">
        <v>517</v>
      </c>
      <c r="AC160" s="343" t="s">
        <v>1025</v>
      </c>
      <c r="AE160" s="343" t="s">
        <v>1026</v>
      </c>
      <c r="AF160" s="343" t="s">
        <v>1027</v>
      </c>
      <c r="AH160" s="343" t="s">
        <v>52</v>
      </c>
      <c r="AI160" s="343" t="s">
        <v>253</v>
      </c>
      <c r="AJ160" s="487" t="str">
        <f>IF(IFERROR(SEARCH("ERP",AI159),0)&gt;0,SUBSTITUTE(AI159,"ERP - ",""),"")</f>
        <v/>
      </c>
      <c r="AL160" s="343" t="s">
        <v>1250</v>
      </c>
      <c r="AM160" s="343" t="s">
        <v>854</v>
      </c>
      <c r="AN160" s="344">
        <v>32563</v>
      </c>
      <c r="AO160" s="343" t="s">
        <v>1747</v>
      </c>
      <c r="AP160" s="343" t="s">
        <v>1747</v>
      </c>
      <c r="AQ160" s="343" t="s">
        <v>53</v>
      </c>
      <c r="AR160" s="343" t="s">
        <v>378</v>
      </c>
      <c r="AS160" s="356">
        <v>42087</v>
      </c>
      <c r="AT160" s="344">
        <v>42087</v>
      </c>
      <c r="AU160" s="344">
        <v>42087</v>
      </c>
      <c r="AV160" s="344">
        <v>42087</v>
      </c>
      <c r="AW160" s="356">
        <v>42088</v>
      </c>
      <c r="AX160" s="343" t="s">
        <v>1927</v>
      </c>
      <c r="AZ160" s="344">
        <v>42088</v>
      </c>
      <c r="BA160" s="344">
        <v>42116</v>
      </c>
      <c r="BC160" s="356">
        <v>42090</v>
      </c>
      <c r="BD160" s="343" t="s">
        <v>1911</v>
      </c>
      <c r="BE160" s="356">
        <v>42090</v>
      </c>
      <c r="BF160" s="343" t="s">
        <v>1912</v>
      </c>
      <c r="BG160" s="356">
        <v>42090</v>
      </c>
      <c r="BH160" s="464" t="s">
        <v>1913</v>
      </c>
      <c r="BI160" s="344">
        <v>42090</v>
      </c>
      <c r="BJ160" s="356">
        <v>42087</v>
      </c>
      <c r="BM160" s="356">
        <v>42087</v>
      </c>
      <c r="BP160" s="356">
        <v>42087</v>
      </c>
      <c r="BR160" s="344">
        <v>42087</v>
      </c>
      <c r="BS160" s="356">
        <v>42087</v>
      </c>
      <c r="BT160" s="344">
        <v>42087</v>
      </c>
      <c r="BU160" s="344">
        <v>42087</v>
      </c>
      <c r="BV160" s="465"/>
      <c r="BW160" s="522" t="str">
        <f t="shared" si="179"/>
        <v xml:space="preserve">1905 (for processing) 3/25/2015, 2305 (for processing) 4/22/2015, MDR 3/27/2015, </v>
      </c>
      <c r="BX160" s="520">
        <f t="shared" si="167"/>
        <v>11</v>
      </c>
      <c r="BY160" s="522">
        <f t="shared" si="144"/>
        <v>11</v>
      </c>
      <c r="BZ160" s="523">
        <f t="shared" si="170"/>
        <v>1</v>
      </c>
      <c r="CA160" s="524" t="str">
        <f t="shared" si="141"/>
        <v/>
      </c>
      <c r="CB160" s="503" t="str">
        <f t="shared" si="171"/>
        <v/>
      </c>
      <c r="CC160" s="487" t="str">
        <f t="shared" ca="1" si="172"/>
        <v/>
      </c>
      <c r="CD160" s="487" t="str">
        <f t="shared" si="173"/>
        <v/>
      </c>
      <c r="CE160" s="487" t="str">
        <f t="shared" si="174"/>
        <v/>
      </c>
      <c r="CF160" s="504" t="str">
        <f t="shared" si="175"/>
        <v/>
      </c>
      <c r="CG160" s="505" t="str">
        <f t="shared" si="176"/>
        <v/>
      </c>
      <c r="CH160" s="487" t="str">
        <f t="shared" si="177"/>
        <v/>
      </c>
      <c r="CI160" s="503" t="str">
        <f t="shared" si="178"/>
        <v/>
      </c>
      <c r="CJ160" s="503" t="str">
        <f t="shared" si="146"/>
        <v/>
      </c>
      <c r="CK160" s="487">
        <f t="shared" si="147"/>
        <v>12</v>
      </c>
      <c r="CL160" s="487">
        <f t="shared" si="148"/>
        <v>12</v>
      </c>
      <c r="CM160" s="487">
        <f t="shared" si="149"/>
        <v>12</v>
      </c>
      <c r="CN160" s="487">
        <f t="shared" si="150"/>
        <v>12</v>
      </c>
      <c r="CO160" s="487">
        <f t="shared" si="151"/>
        <v>12</v>
      </c>
      <c r="CP160" s="487">
        <f t="shared" si="152"/>
        <v>12</v>
      </c>
      <c r="CQ160" s="487">
        <f t="shared" si="153"/>
        <v>12</v>
      </c>
      <c r="CR160" s="487">
        <f t="shared" si="154"/>
        <v>12</v>
      </c>
      <c r="CS160" s="487">
        <f t="shared" si="155"/>
        <v>12</v>
      </c>
      <c r="CT160" s="487">
        <f t="shared" si="180"/>
        <v>12</v>
      </c>
      <c r="CU160" s="487">
        <f t="shared" si="181"/>
        <v>12</v>
      </c>
      <c r="CV160" s="487">
        <f t="shared" si="182"/>
        <v>12</v>
      </c>
      <c r="CW160" s="487">
        <f t="shared" si="159"/>
        <v>12</v>
      </c>
      <c r="CX160" s="487">
        <f t="shared" si="160"/>
        <v>3</v>
      </c>
      <c r="CY160" s="487">
        <f t="shared" si="161"/>
        <v>12</v>
      </c>
    </row>
    <row r="161" spans="1:103" s="423" customFormat="1" ht="16.5" thickTop="1" thickBot="1" x14ac:dyDescent="0.3">
      <c r="A161" s="421">
        <v>189</v>
      </c>
      <c r="B161" s="422">
        <v>42087</v>
      </c>
      <c r="C161" s="423">
        <v>1082377</v>
      </c>
      <c r="D161" s="423" t="s">
        <v>1755</v>
      </c>
      <c r="I161" s="196"/>
      <c r="J161" s="196"/>
      <c r="K161" s="491" t="str">
        <f t="shared" ca="1" si="145"/>
        <v/>
      </c>
      <c r="N161" s="487" t="str">
        <f t="shared" si="142"/>
        <v/>
      </c>
      <c r="O161" s="423" t="s">
        <v>298</v>
      </c>
      <c r="S161" s="487">
        <f t="shared" ref="S161:S175" si="183">IFERROR(IF(SEARCH("/",R161)&gt;0,REPLACE(R161,11,11,""),R161),R161)</f>
        <v>0</v>
      </c>
      <c r="T161" s="487" t="str">
        <f t="shared" ref="T161:T175" si="184">IFERROR(IF(SEARCH("/",R161)&gt;0,REPLACE(R161,1,11,""),""),"")</f>
        <v/>
      </c>
      <c r="AH161" s="196" t="s">
        <v>52</v>
      </c>
      <c r="AJ161" s="487" t="str">
        <f>IF(IFERROR(SEARCH("ERP",AI160),0)&gt;0,SUBSTITUTE(AI160,"ERP - ",""),"")</f>
        <v/>
      </c>
      <c r="AN161" s="422"/>
      <c r="AS161" s="424"/>
      <c r="AV161" s="425"/>
      <c r="AW161" s="450"/>
      <c r="BB161" s="425"/>
      <c r="BC161" s="424"/>
      <c r="BD161" s="425"/>
      <c r="BE161" s="424"/>
      <c r="BF161" s="425"/>
      <c r="BG161" s="424"/>
      <c r="BH161" s="426"/>
      <c r="BI161" s="425"/>
      <c r="BJ161" s="424"/>
      <c r="BL161" s="425"/>
      <c r="BM161" s="424"/>
      <c r="BO161" s="425"/>
      <c r="BP161" s="424"/>
      <c r="BR161" s="425"/>
      <c r="BS161" s="450"/>
      <c r="BT161" s="422"/>
      <c r="BU161" s="451"/>
      <c r="BV161" s="425"/>
      <c r="BW161" s="522" t="str">
        <f t="shared" si="179"/>
        <v/>
      </c>
      <c r="BX161" s="520" t="str">
        <f t="shared" si="167"/>
        <v/>
      </c>
      <c r="BY161" s="522" t="str">
        <f t="shared" si="144"/>
        <v/>
      </c>
      <c r="BZ161" s="523" t="str">
        <f t="shared" ref="BZ161:BZ175" si="185">IFERROR(BX161/BY161,"")</f>
        <v/>
      </c>
      <c r="CA161" s="524">
        <f t="shared" si="141"/>
        <v>189</v>
      </c>
      <c r="CB161" s="503">
        <f t="shared" ref="CB161:CB175" si="186">IFERROR(CA161*7+40763,"")</f>
        <v>42086</v>
      </c>
      <c r="CC161" s="487">
        <f t="shared" ref="CC161:CC175" ca="1" si="187">IFERROR(ROUND(IF(CB161="","",(TODAY()-CB161)/7)+1,0),"")</f>
        <v>9</v>
      </c>
      <c r="CD161" s="487">
        <f t="shared" ref="CD161:CD175" si="188">IF(CG161="","",CY161)</f>
        <v>12</v>
      </c>
      <c r="CE161" s="487">
        <f t="shared" ref="CE161:CE175" si="189">IF(CG161="","",CW161)</f>
        <v>12</v>
      </c>
      <c r="CF161" s="504">
        <f t="shared" ref="CF161:CF175" si="190">IF(CG161="","",CY161-CW161)</f>
        <v>0</v>
      </c>
      <c r="CG161" s="505">
        <f t="shared" ref="CG161:CG175" si="191">IF(CB161="","",SUM(CK161:CU161)/((CY161)*11))</f>
        <v>1</v>
      </c>
      <c r="CH161" s="487" t="str">
        <f t="shared" ref="CH161:CH175" si="192">IF(CB161="","",IF(MIN(CK161:CU161)&gt;CY161,"",CONCATENATE(IF(SUM(IF(CK161&lt;CL161,1,0),IF(CK161&lt;CM161,1,0),IF(CK161&lt;CN161,1,0),IF(CK161&lt;CO161,1,0),IF(CK161&lt;CP161,1,0),IF(CK161&lt;CQ161,1,0),IF(CK161&lt;CR161,1,0),IF(CK161&lt;CS161,1,0),IF(CK161&lt;CT161,1,0),IF(CK161&lt;CU161,1,0))&gt;7,"SSS ("&amp;CY161-CK161&amp;") ",""),IF(SUM(IF(CL161&lt;CK161,1,0),IF(CL161&lt;CM161,1,0),IF(CL161&lt;CN161,1,0),IF(CL161&lt;CO161,1,0),IF(CL161&lt;CP161,1,0),IF(CL161&lt;CQ161,1,0),IF(CL161&lt;CR161,1,0),IF(CL161&lt;CS161,1,0),IF(CL161&lt;CT161,1,0),IF(CL161&lt;CU161,1,0))&gt;7,"HDMF ("&amp;CY161-CL161&amp;") ",""),IF(SUM(IF(CM161&lt;CK161,1,0),IF(CM161&lt;CL161,1,0),IF(CM161&lt;CN161,1,0),IF(CM161&lt;CO161,1,0),IF(CM161&lt;CP161,1,0),IF(CM161&lt;CQ161,1,0),IF(CM161&lt;CR161,1,0),IF(CM161&lt;CS161,1,0),IF(CM161&lt;CT161,1,0),IF(CM161&lt;CU161,1,0))&gt;7,"PHIC ("&amp;CY161-CM161&amp;") ",""),IF(SUM(IF(CN161&lt;CK161,1,0),IF(CN161&lt;CL161,1,0),IF(CN161&lt;CM161,1,0),IF(CN161&lt;CO161,1,0),IF(CN161&lt;CP161,1,0),IF(CN161&lt;CQ161,1,0),IF(CN161&lt;CR161,1,0),IF(CN161&lt;CS161,1,0),IF(CN161&lt;CT161,1,0),IF(CN161&lt;CU161,1,0))&gt;7,"NBI ("&amp;CY161-CN161&amp;") ",""),IF(SUM(IF(CO161&lt;CK161,1,0),IF(CO161&lt;CL161,1,0),IF(CO161&lt;CN161,1,0),IF(CO161&lt;CM161,1,0),IF(CO161&lt;CP161,1,0),IF(CO161&lt;CQ161,1,0),IF(CO161&lt;CR161,1,0),IF(CO161&lt;CS161,1,0),IF(CO161&lt;CT161,1,0),IF(CO161&lt;CU161,1,0))&gt;7,"NSO ("&amp;CY161-CO161&amp;") ",""),IF(SUM(IF(CP161&lt;CK161,1,0),IF(CP161&lt;CL161,1,0),IF(CP161&lt;CN161,1,0),IF(CP161&lt;CO161,1,0),IF(CP161&lt;CM161,1,0),IF(CP161&lt;CQ161,1,0),IF(CP161&lt;CR161,1,0),IF(CP161&lt;CS161,1,0),IF(CP161&lt;CT161,1,0),IF(CP161&lt;CU161,1,0))&gt;7,"Info ("&amp;CY161-CP161&amp;") ",""),IF(SUM(IF(CQ161&lt;CK161,1,0),IF(CQ161&lt;CL161,1,0),IF(CQ161&lt;CN161,1,0),IF(CQ161&lt;CO161,1,0),IF(CQ161&lt;CP161,1,0),IF(CQ161&lt;CM161,1,0),IF(CQ161&lt;CR161,1,0),IF(CQ161&lt;CS161,1,0),IF(CQ161&lt;CT161,1,0),IF(CQ161&lt;CU161,1,0))&gt;7,"AWOL ("&amp;CY161-CQ161&amp;") ",""),IF(SUM(IF(CR161&lt;CK161,1,0),IF(CR161&lt;CL161,1,0),IF(CR161&lt;CN161,1,0),IF(CR161&lt;CO161,1,0),IF(CR161&lt;CP161,1,0),IF(CR161&lt;CQ161,1,0),IF(CR161&lt;CM161,1,0),IF(CR161&lt;CS161,1,0),IF(CR161&lt;CT161,1,0),IF(CR161&lt;CU161,1,0))&gt;7,"Hand ("&amp;CY161-CR161&amp;") ",""),IF(SUM(IF(CS161&lt;CK161,1,0),IF(CS161&lt;CL161,1,0),IF(CS161&lt;CN161,1,0),IF(CS161&lt;CO161,1,0),IF(CS161&lt;CP161,1,0),IF(CS161&lt;CQ161,1,0),IF(CS161&lt;CR161,1,0),IF(CS161&lt;CM161,1,0),IF(CS161&lt;CT161,1,0),IF(CS161&lt;CU161,1,0))&gt;7,"Waiver ("&amp;CY161-CS161&amp;") ",""),IF(SUM(IF(CT161&lt;CK161,1,0),IF(CT161&lt;CL161,1,0),IF(CT161&lt;CN161,1,0),IF(CT161&lt;CO161,1,0),IF(CT161&lt;CP161,1,0),IF(CT161&lt;CQ161,1,0),IF(CT161&lt;CR161,1,0),IF(CT161&lt;CS161,1,0),IF(CT161&lt;CM161,1,0),IF(CT161&lt;CU161,1,0))&gt;7,"TIN ("&amp;CY161-CT161&amp;") ",""),IF(SUM(IF(CU161&lt;CK161,1,0),IF(CU161&lt;CL161,1,0),IF(CU161&lt;CN161,1,0),IF(CU161&lt;CO161,1,0),IF(CU161&lt;CP161,1,0),IF(CU161&lt;CQ161,1,0),IF(CU161&lt;CR161,1,0),IF(CU161&lt;CS161,1,0),IF(CU161&lt;CT161,1,0),IF(CU161&lt;CM161,1,0))&gt;7,"1905 ("&amp;CY161-CU161&amp;") ",""))))</f>
        <v/>
      </c>
      <c r="CI161" s="503" t="str">
        <f t="shared" ref="CI161:CI175" si="193">IF(CA161="","",CJ161)</f>
        <v/>
      </c>
      <c r="CJ161" s="503" t="str">
        <f t="shared" si="146"/>
        <v/>
      </c>
      <c r="CK161" s="487">
        <f t="shared" si="147"/>
        <v>12</v>
      </c>
      <c r="CL161" s="487">
        <f t="shared" si="148"/>
        <v>12</v>
      </c>
      <c r="CM161" s="487">
        <f t="shared" si="149"/>
        <v>12</v>
      </c>
      <c r="CN161" s="487">
        <f t="shared" si="150"/>
        <v>12</v>
      </c>
      <c r="CO161" s="487">
        <f t="shared" si="151"/>
        <v>12</v>
      </c>
      <c r="CP161" s="487">
        <f t="shared" si="152"/>
        <v>12</v>
      </c>
      <c r="CQ161" s="487">
        <f t="shared" si="153"/>
        <v>12</v>
      </c>
      <c r="CR161" s="487">
        <f t="shared" si="154"/>
        <v>12</v>
      </c>
      <c r="CS161" s="487">
        <f t="shared" si="155"/>
        <v>12</v>
      </c>
      <c r="CT161" s="487">
        <f t="shared" si="180"/>
        <v>12</v>
      </c>
      <c r="CU161" s="487">
        <f t="shared" si="181"/>
        <v>12</v>
      </c>
      <c r="CV161" s="487">
        <f t="shared" si="182"/>
        <v>12</v>
      </c>
      <c r="CW161" s="487">
        <f t="shared" si="159"/>
        <v>12</v>
      </c>
      <c r="CX161" s="487">
        <f t="shared" si="160"/>
        <v>4</v>
      </c>
      <c r="CY161" s="487">
        <f t="shared" si="161"/>
        <v>12</v>
      </c>
    </row>
    <row r="162" spans="1:103" s="9" customFormat="1" ht="15.75" thickTop="1" x14ac:dyDescent="0.25">
      <c r="A162" s="389">
        <v>190</v>
      </c>
      <c r="B162" s="17">
        <v>42093</v>
      </c>
      <c r="C162" s="9">
        <v>1082378</v>
      </c>
      <c r="D162" s="550" t="s">
        <v>1878</v>
      </c>
      <c r="E162" s="9" t="str">
        <f t="shared" ref="E162:E193" si="194">IF(P162="(*_*)","",IF(BC162&lt;1,"SSS, ","")&amp;IF(BE162&lt;1,"HDMF, ","")&amp;IF(BG162&lt;1,"PHIC, ","")&amp;IF(BJ162&lt;1,"NBI, ","")&amp;IF(BM162&lt;1,"NSO, ","")&amp;IF(AS162&lt;1,"Info, ","")&amp;IF(AT162&lt;1,"AWOL, ","")&amp;IF(AU162&lt;1,"Hand, ","")&amp;IF(AV162&lt;1,"Waiver, ","")&amp;IF(AW162&lt;1,"TIN, ","")&amp;IF(AZ162&lt;1,"1905, ","")&amp;IF(BA162&lt;1,"2305, ",""))</f>
        <v xml:space="preserve">HDMF, PHIC, NBI, Waiver, TIN, 1905, 2305, </v>
      </c>
      <c r="F162" s="9" t="str">
        <f t="shared" ref="F162:F193" si="195">IF(P162="(*_*)","",IF(BI162&lt;1,"MDR, ","")&amp;IF(BS162&lt;1,"JO, ","")&amp;IF(BT162&lt;1,"Contract, ","")&amp;IF(BU162&lt;1,"Confi, ","")&amp;IF(BQ162&lt;1,"TOR, ","")&amp;IF(BR162&lt;1,"COE, ","")&amp;IF(BP162&lt;1,"2x2, ",""))</f>
        <v xml:space="preserve">MDR, TOR, COE, 2x2, </v>
      </c>
      <c r="G162" s="9" t="s">
        <v>474</v>
      </c>
      <c r="I162" s="17">
        <v>42093</v>
      </c>
      <c r="K162" s="152" t="str">
        <f t="shared" ca="1" si="145"/>
        <v>Dedlyn!</v>
      </c>
      <c r="N162" s="153" t="str">
        <f t="shared" si="142"/>
        <v/>
      </c>
      <c r="O162" s="9" t="s">
        <v>301</v>
      </c>
      <c r="Q162" s="9" t="s">
        <v>1831</v>
      </c>
      <c r="R162" s="9">
        <v>9368935707</v>
      </c>
      <c r="S162" s="153">
        <f t="shared" si="183"/>
        <v>9368935707</v>
      </c>
      <c r="T162" s="153" t="str">
        <f t="shared" si="184"/>
        <v/>
      </c>
      <c r="U162" s="1" t="s">
        <v>2012</v>
      </c>
      <c r="V162" s="9" t="s">
        <v>1830</v>
      </c>
      <c r="W162" s="9" t="s">
        <v>1828</v>
      </c>
      <c r="X162" s="9" t="s">
        <v>1829</v>
      </c>
      <c r="Y162" s="9" t="s">
        <v>73</v>
      </c>
      <c r="Z162" s="9" t="s">
        <v>70</v>
      </c>
      <c r="AA162" s="9" t="s">
        <v>1233</v>
      </c>
      <c r="AC162" s="9" t="s">
        <v>741</v>
      </c>
      <c r="AD162" s="9" t="s">
        <v>1038</v>
      </c>
      <c r="AH162" s="10" t="s">
        <v>52</v>
      </c>
      <c r="AI162" s="9" t="s">
        <v>253</v>
      </c>
      <c r="AJ162" s="153" t="str">
        <f t="shared" ref="AJ162:AJ225" si="196">IF(IFERROR(SEARCH("ERP",AI162),0)&gt;0,SUBSTITUTE(AI162,"ERP - ",""),"")</f>
        <v/>
      </c>
      <c r="AL162" s="9" t="s">
        <v>254</v>
      </c>
      <c r="AM162" s="9" t="s">
        <v>854</v>
      </c>
      <c r="AN162" s="17">
        <v>32781</v>
      </c>
      <c r="AO162" s="9" t="s">
        <v>3199</v>
      </c>
      <c r="AP162" s="9" t="s">
        <v>3199</v>
      </c>
      <c r="AQ162" s="9" t="s">
        <v>53</v>
      </c>
      <c r="AR162" s="9" t="s">
        <v>378</v>
      </c>
      <c r="AS162" s="166">
        <v>42139</v>
      </c>
      <c r="AT162" s="135">
        <v>42139</v>
      </c>
      <c r="AU162" s="135">
        <v>42091</v>
      </c>
      <c r="AV162" s="178"/>
      <c r="AW162" s="166"/>
      <c r="AX162" s="10"/>
      <c r="AY162" s="10"/>
      <c r="AZ162" s="10"/>
      <c r="BA162" s="10"/>
      <c r="BB162" s="178"/>
      <c r="BC162" s="166">
        <v>42139</v>
      </c>
      <c r="BD162" s="178" t="s">
        <v>3198</v>
      </c>
      <c r="BE162" s="167"/>
      <c r="BF162" s="178"/>
      <c r="BG162" s="167"/>
      <c r="BH162" s="420"/>
      <c r="BI162" s="178"/>
      <c r="BJ162" s="167"/>
      <c r="BK162" s="10"/>
      <c r="BL162" s="178"/>
      <c r="BM162" s="166">
        <v>42139</v>
      </c>
      <c r="BN162" s="10"/>
      <c r="BO162" s="178"/>
      <c r="BP162" s="167"/>
      <c r="BQ162" s="10"/>
      <c r="BR162" s="178"/>
      <c r="BS162" s="166">
        <v>42093</v>
      </c>
      <c r="BT162" s="135">
        <v>42093</v>
      </c>
      <c r="BU162" s="179">
        <v>42093</v>
      </c>
      <c r="BV162" s="10"/>
      <c r="BW162" s="398" t="str">
        <f t="shared" si="179"/>
        <v/>
      </c>
      <c r="BX162" s="276">
        <f t="shared" si="167"/>
        <v>5</v>
      </c>
      <c r="BY162" s="398">
        <f t="shared" si="144"/>
        <v>11</v>
      </c>
      <c r="BZ162" s="526">
        <f t="shared" si="185"/>
        <v>0.45454545454545453</v>
      </c>
      <c r="CA162" s="168" t="str">
        <f t="shared" ref="CA162:CA193" si="197">IF((A162-A163)=0,"",A162)</f>
        <v/>
      </c>
      <c r="CB162" s="151" t="str">
        <f t="shared" si="186"/>
        <v/>
      </c>
      <c r="CC162" s="153" t="str">
        <f t="shared" ca="1" si="187"/>
        <v/>
      </c>
      <c r="CD162" s="153" t="str">
        <f t="shared" si="188"/>
        <v/>
      </c>
      <c r="CE162" s="153" t="str">
        <f t="shared" si="189"/>
        <v/>
      </c>
      <c r="CF162" s="396" t="str">
        <f t="shared" si="190"/>
        <v/>
      </c>
      <c r="CG162" s="397" t="str">
        <f t="shared" si="191"/>
        <v/>
      </c>
      <c r="CH162" s="153" t="str">
        <f t="shared" si="192"/>
        <v/>
      </c>
      <c r="CI162" s="151" t="str">
        <f t="shared" si="193"/>
        <v/>
      </c>
      <c r="CJ162" s="151" t="str">
        <f t="shared" si="146"/>
        <v/>
      </c>
      <c r="CK162" s="153">
        <f t="shared" si="147"/>
        <v>1</v>
      </c>
      <c r="CL162" s="153">
        <f t="shared" si="148"/>
        <v>0</v>
      </c>
      <c r="CM162" s="153">
        <f t="shared" si="149"/>
        <v>0</v>
      </c>
      <c r="CN162" s="153">
        <f t="shared" si="150"/>
        <v>0</v>
      </c>
      <c r="CO162" s="153">
        <f t="shared" si="151"/>
        <v>1</v>
      </c>
      <c r="CP162" s="153">
        <f t="shared" si="152"/>
        <v>1</v>
      </c>
      <c r="CQ162" s="153">
        <f t="shared" si="153"/>
        <v>1</v>
      </c>
      <c r="CR162" s="153">
        <f t="shared" si="154"/>
        <v>1</v>
      </c>
      <c r="CS162" s="153">
        <f t="shared" si="155"/>
        <v>0</v>
      </c>
      <c r="CT162" s="153">
        <f t="shared" si="180"/>
        <v>0</v>
      </c>
      <c r="CU162" s="153">
        <f t="shared" si="181"/>
        <v>0</v>
      </c>
      <c r="CV162" s="153">
        <f t="shared" si="182"/>
        <v>0</v>
      </c>
      <c r="CW162" s="153">
        <f t="shared" si="159"/>
        <v>0</v>
      </c>
      <c r="CX162" s="153">
        <f t="shared" si="160"/>
        <v>0</v>
      </c>
      <c r="CY162" s="153">
        <f t="shared" si="161"/>
        <v>1</v>
      </c>
    </row>
    <row r="163" spans="1:103" s="8" customFormat="1" x14ac:dyDescent="0.25">
      <c r="A163" s="132">
        <v>190</v>
      </c>
      <c r="B163" s="129">
        <v>42093</v>
      </c>
      <c r="C163" s="113">
        <v>1082379</v>
      </c>
      <c r="D163" s="113" t="s">
        <v>1879</v>
      </c>
      <c r="E163" s="113" t="str">
        <f t="shared" si="194"/>
        <v/>
      </c>
      <c r="F163" s="113" t="str">
        <f t="shared" si="195"/>
        <v/>
      </c>
      <c r="G163" s="8" t="s">
        <v>474</v>
      </c>
      <c r="H163" s="113"/>
      <c r="I163" s="129">
        <v>42093</v>
      </c>
      <c r="J163" s="113"/>
      <c r="K163" s="152" t="str">
        <f t="shared" ca="1" si="145"/>
        <v/>
      </c>
      <c r="L163" s="113"/>
      <c r="M163" s="113"/>
      <c r="N163" s="153" t="str">
        <f t="shared" si="142"/>
        <v/>
      </c>
      <c r="O163" s="113" t="s">
        <v>298</v>
      </c>
      <c r="P163" s="113" t="s">
        <v>689</v>
      </c>
      <c r="Q163" s="113" t="s">
        <v>1835</v>
      </c>
      <c r="R163" s="113">
        <v>9277121918</v>
      </c>
      <c r="S163" s="153">
        <f t="shared" si="183"/>
        <v>9277121918</v>
      </c>
      <c r="T163" s="153" t="str">
        <f t="shared" si="184"/>
        <v/>
      </c>
      <c r="U163" s="8" t="s">
        <v>2013</v>
      </c>
      <c r="V163" s="113" t="s">
        <v>1834</v>
      </c>
      <c r="W163" s="113" t="s">
        <v>1832</v>
      </c>
      <c r="X163" s="113" t="s">
        <v>1833</v>
      </c>
      <c r="Y163" s="113" t="s">
        <v>73</v>
      </c>
      <c r="Z163" s="113" t="s">
        <v>70</v>
      </c>
      <c r="AA163" s="113" t="s">
        <v>1233</v>
      </c>
      <c r="AB163" s="113"/>
      <c r="AC163" s="113" t="s">
        <v>741</v>
      </c>
      <c r="AD163" s="113" t="s">
        <v>1038</v>
      </c>
      <c r="AE163" s="113"/>
      <c r="AF163" s="113"/>
      <c r="AG163" s="113"/>
      <c r="AH163" s="113" t="s">
        <v>52</v>
      </c>
      <c r="AI163" s="113" t="s">
        <v>253</v>
      </c>
      <c r="AJ163" s="153" t="str">
        <f t="shared" si="196"/>
        <v/>
      </c>
      <c r="AK163" s="113"/>
      <c r="AL163" s="113" t="s">
        <v>254</v>
      </c>
      <c r="AM163" s="113" t="s">
        <v>854</v>
      </c>
      <c r="AN163" s="129">
        <v>32612</v>
      </c>
      <c r="AO163" s="113"/>
      <c r="AP163" s="113"/>
      <c r="AQ163" s="113"/>
      <c r="AR163" s="113"/>
      <c r="AS163" s="165"/>
      <c r="AT163" s="113"/>
      <c r="AU163" s="129">
        <v>42091</v>
      </c>
      <c r="AV163" s="113"/>
      <c r="AW163" s="187"/>
      <c r="AX163" s="113"/>
      <c r="AY163" s="113"/>
      <c r="AZ163" s="113"/>
      <c r="BA163" s="113"/>
      <c r="BB163" s="113"/>
      <c r="BC163" s="165"/>
      <c r="BD163" s="113"/>
      <c r="BE163" s="165"/>
      <c r="BF163" s="113"/>
      <c r="BG163" s="165"/>
      <c r="BH163" s="274"/>
      <c r="BI163" s="113"/>
      <c r="BJ163" s="165"/>
      <c r="BK163" s="113"/>
      <c r="BL163" s="113"/>
      <c r="BM163" s="165"/>
      <c r="BN163" s="113"/>
      <c r="BO163" s="113"/>
      <c r="BP163" s="165"/>
      <c r="BQ163" s="113"/>
      <c r="BR163" s="113"/>
      <c r="BS163" s="187">
        <v>42093</v>
      </c>
      <c r="BT163" s="129">
        <v>42093</v>
      </c>
      <c r="BU163" s="129">
        <v>42093</v>
      </c>
      <c r="BV163" s="165"/>
      <c r="BW163" s="398" t="str">
        <f t="shared" si="179"/>
        <v/>
      </c>
      <c r="BX163" s="398" t="str">
        <f t="shared" si="167"/>
        <v/>
      </c>
      <c r="BY163" s="398" t="str">
        <f t="shared" si="144"/>
        <v/>
      </c>
      <c r="BZ163" s="399" t="str">
        <f t="shared" si="185"/>
        <v/>
      </c>
      <c r="CA163" s="168" t="str">
        <f t="shared" si="197"/>
        <v/>
      </c>
      <c r="CB163" s="151" t="str">
        <f t="shared" si="186"/>
        <v/>
      </c>
      <c r="CC163" s="153" t="str">
        <f t="shared" ca="1" si="187"/>
        <v/>
      </c>
      <c r="CD163" s="153" t="str">
        <f t="shared" si="188"/>
        <v/>
      </c>
      <c r="CE163" s="153" t="str">
        <f t="shared" si="189"/>
        <v/>
      </c>
      <c r="CF163" s="396" t="str">
        <f t="shared" si="190"/>
        <v/>
      </c>
      <c r="CG163" s="397" t="str">
        <f t="shared" si="191"/>
        <v/>
      </c>
      <c r="CH163" s="153" t="str">
        <f t="shared" si="192"/>
        <v/>
      </c>
      <c r="CI163" s="151" t="str">
        <f t="shared" si="193"/>
        <v/>
      </c>
      <c r="CJ163" s="151" t="str">
        <f t="shared" si="146"/>
        <v/>
      </c>
      <c r="CK163" s="153">
        <f t="shared" si="147"/>
        <v>1</v>
      </c>
      <c r="CL163" s="153">
        <f t="shared" si="148"/>
        <v>0</v>
      </c>
      <c r="CM163" s="153">
        <f t="shared" si="149"/>
        <v>0</v>
      </c>
      <c r="CN163" s="153">
        <f t="shared" si="150"/>
        <v>0</v>
      </c>
      <c r="CO163" s="153">
        <f t="shared" si="151"/>
        <v>1</v>
      </c>
      <c r="CP163" s="153">
        <f t="shared" si="152"/>
        <v>1</v>
      </c>
      <c r="CQ163" s="153">
        <f t="shared" si="153"/>
        <v>1</v>
      </c>
      <c r="CR163" s="153">
        <f t="shared" si="154"/>
        <v>1</v>
      </c>
      <c r="CS163" s="153">
        <f t="shared" si="155"/>
        <v>0</v>
      </c>
      <c r="CT163" s="153">
        <f t="shared" si="180"/>
        <v>0</v>
      </c>
      <c r="CU163" s="153">
        <f t="shared" si="181"/>
        <v>0</v>
      </c>
      <c r="CV163" s="153">
        <f t="shared" si="182"/>
        <v>0</v>
      </c>
      <c r="CW163" s="153">
        <f t="shared" si="159"/>
        <v>0</v>
      </c>
      <c r="CX163" s="153">
        <f t="shared" si="160"/>
        <v>1</v>
      </c>
      <c r="CY163" s="153">
        <f t="shared" si="161"/>
        <v>1</v>
      </c>
    </row>
    <row r="164" spans="1:103" s="9" customFormat="1" x14ac:dyDescent="0.25">
      <c r="A164" s="136">
        <v>190</v>
      </c>
      <c r="B164" s="135">
        <v>42093</v>
      </c>
      <c r="C164" s="10">
        <v>1082380</v>
      </c>
      <c r="D164" s="10" t="s">
        <v>1880</v>
      </c>
      <c r="E164" s="10" t="str">
        <f t="shared" si="194"/>
        <v xml:space="preserve">HDMF, NBI, NSO, Waiver, TIN, 1905, </v>
      </c>
      <c r="F164" s="10" t="str">
        <f t="shared" si="195"/>
        <v xml:space="preserve">MDR, TOR, COE, </v>
      </c>
      <c r="G164" s="9" t="s">
        <v>474</v>
      </c>
      <c r="H164" s="10"/>
      <c r="I164" s="135">
        <v>42093</v>
      </c>
      <c r="J164" s="10"/>
      <c r="K164" s="152" t="str">
        <f t="shared" ca="1" si="145"/>
        <v>Dedlyn!</v>
      </c>
      <c r="L164" s="10"/>
      <c r="M164" s="10"/>
      <c r="N164" s="153" t="str">
        <f t="shared" si="142"/>
        <v/>
      </c>
      <c r="O164" s="10" t="s">
        <v>301</v>
      </c>
      <c r="P164" s="10"/>
      <c r="Q164" s="10" t="s">
        <v>1837</v>
      </c>
      <c r="R164" s="10">
        <v>9174863263</v>
      </c>
      <c r="S164" s="153">
        <f t="shared" si="183"/>
        <v>9174863263</v>
      </c>
      <c r="T164" s="153" t="str">
        <f t="shared" si="184"/>
        <v/>
      </c>
      <c r="U164" s="1" t="s">
        <v>2014</v>
      </c>
      <c r="V164" s="10" t="s">
        <v>876</v>
      </c>
      <c r="W164" s="10" t="s">
        <v>1898</v>
      </c>
      <c r="X164" s="10" t="s">
        <v>1836</v>
      </c>
      <c r="Y164" s="10" t="s">
        <v>73</v>
      </c>
      <c r="Z164" s="10" t="s">
        <v>74</v>
      </c>
      <c r="AA164" s="10" t="s">
        <v>1232</v>
      </c>
      <c r="AB164" s="10"/>
      <c r="AC164" s="10" t="s">
        <v>741</v>
      </c>
      <c r="AD164" s="10" t="s">
        <v>1234</v>
      </c>
      <c r="AE164" s="10"/>
      <c r="AF164" s="10"/>
      <c r="AG164" s="10"/>
      <c r="AH164" s="10" t="s">
        <v>52</v>
      </c>
      <c r="AI164" s="10" t="s">
        <v>253</v>
      </c>
      <c r="AJ164" s="153" t="str">
        <f t="shared" si="196"/>
        <v/>
      </c>
      <c r="AK164" s="10"/>
      <c r="AL164" s="10" t="s">
        <v>254</v>
      </c>
      <c r="AM164" s="10" t="s">
        <v>854</v>
      </c>
      <c r="AN164" s="135">
        <v>31447</v>
      </c>
      <c r="AO164" s="10" t="s">
        <v>2602</v>
      </c>
      <c r="AP164" s="10" t="s">
        <v>2602</v>
      </c>
      <c r="AQ164" s="10" t="s">
        <v>50</v>
      </c>
      <c r="AR164" s="10"/>
      <c r="AS164" s="166">
        <v>42118</v>
      </c>
      <c r="AT164" s="135">
        <v>42091</v>
      </c>
      <c r="AU164" s="135">
        <v>42091</v>
      </c>
      <c r="AV164" s="10"/>
      <c r="AW164" s="166"/>
      <c r="AX164" s="10"/>
      <c r="AY164" s="10"/>
      <c r="AZ164" s="10"/>
      <c r="BA164" s="135">
        <v>42118</v>
      </c>
      <c r="BB164" s="10"/>
      <c r="BC164" s="166">
        <v>42124</v>
      </c>
      <c r="BD164" s="10" t="s">
        <v>2847</v>
      </c>
      <c r="BE164" s="167"/>
      <c r="BF164" s="10"/>
      <c r="BG164" s="166">
        <v>42118</v>
      </c>
      <c r="BH164" s="420" t="s">
        <v>2603</v>
      </c>
      <c r="BI164" s="10"/>
      <c r="BJ164" s="167"/>
      <c r="BK164" s="10"/>
      <c r="BL164" s="10"/>
      <c r="BM164" s="167"/>
      <c r="BN164" s="10"/>
      <c r="BO164" s="10"/>
      <c r="BP164" s="166">
        <v>42102</v>
      </c>
      <c r="BQ164" s="10"/>
      <c r="BR164" s="10"/>
      <c r="BS164" s="166">
        <v>42093</v>
      </c>
      <c r="BT164" s="135">
        <v>42093</v>
      </c>
      <c r="BU164" s="135">
        <v>42093</v>
      </c>
      <c r="BV164" s="167"/>
      <c r="BW164" s="398" t="str">
        <f t="shared" si="179"/>
        <v xml:space="preserve">2305 (for processing) 4/24/2015, </v>
      </c>
      <c r="BX164" s="398">
        <f t="shared" si="167"/>
        <v>5</v>
      </c>
      <c r="BY164" s="398">
        <f t="shared" si="144"/>
        <v>11</v>
      </c>
      <c r="BZ164" s="399">
        <f t="shared" si="185"/>
        <v>0.45454545454545453</v>
      </c>
      <c r="CA164" s="168" t="str">
        <f t="shared" si="197"/>
        <v/>
      </c>
      <c r="CB164" s="151" t="str">
        <f t="shared" si="186"/>
        <v/>
      </c>
      <c r="CC164" s="153" t="str">
        <f t="shared" ca="1" si="187"/>
        <v/>
      </c>
      <c r="CD164" s="153" t="str">
        <f t="shared" si="188"/>
        <v/>
      </c>
      <c r="CE164" s="153" t="str">
        <f t="shared" si="189"/>
        <v/>
      </c>
      <c r="CF164" s="396" t="str">
        <f t="shared" si="190"/>
        <v/>
      </c>
      <c r="CG164" s="397" t="str">
        <f t="shared" si="191"/>
        <v/>
      </c>
      <c r="CH164" s="153" t="str">
        <f t="shared" si="192"/>
        <v/>
      </c>
      <c r="CI164" s="151" t="str">
        <f t="shared" si="193"/>
        <v/>
      </c>
      <c r="CJ164" s="151" t="str">
        <f t="shared" si="146"/>
        <v/>
      </c>
      <c r="CK164" s="153">
        <f t="shared" si="147"/>
        <v>2</v>
      </c>
      <c r="CL164" s="153">
        <f t="shared" si="148"/>
        <v>0</v>
      </c>
      <c r="CM164" s="153">
        <f t="shared" si="149"/>
        <v>1</v>
      </c>
      <c r="CN164" s="153">
        <f t="shared" si="150"/>
        <v>0</v>
      </c>
      <c r="CO164" s="153">
        <f t="shared" si="151"/>
        <v>1</v>
      </c>
      <c r="CP164" s="153">
        <f t="shared" si="152"/>
        <v>2</v>
      </c>
      <c r="CQ164" s="153">
        <f t="shared" si="153"/>
        <v>2</v>
      </c>
      <c r="CR164" s="153">
        <f t="shared" si="154"/>
        <v>2</v>
      </c>
      <c r="CS164" s="153">
        <f t="shared" si="155"/>
        <v>0</v>
      </c>
      <c r="CT164" s="153">
        <f t="shared" si="180"/>
        <v>0</v>
      </c>
      <c r="CU164" s="153">
        <f t="shared" si="181"/>
        <v>0</v>
      </c>
      <c r="CV164" s="153">
        <f t="shared" si="182"/>
        <v>1</v>
      </c>
      <c r="CW164" s="153">
        <f t="shared" si="159"/>
        <v>0</v>
      </c>
      <c r="CX164" s="153">
        <f t="shared" si="160"/>
        <v>1</v>
      </c>
      <c r="CY164" s="153">
        <f t="shared" si="161"/>
        <v>2</v>
      </c>
    </row>
    <row r="165" spans="1:103" s="321" customFormat="1" x14ac:dyDescent="0.25">
      <c r="A165" s="384">
        <v>190</v>
      </c>
      <c r="B165" s="318">
        <v>42093</v>
      </c>
      <c r="C165" s="317">
        <v>1082381</v>
      </c>
      <c r="D165" s="317" t="s">
        <v>1881</v>
      </c>
      <c r="E165" s="317" t="str">
        <f t="shared" si="194"/>
        <v/>
      </c>
      <c r="F165" s="317" t="str">
        <f t="shared" si="195"/>
        <v xml:space="preserve">MDR, COE, </v>
      </c>
      <c r="G165" s="321" t="s">
        <v>474</v>
      </c>
      <c r="H165" s="317"/>
      <c r="I165" s="318">
        <v>42102</v>
      </c>
      <c r="J165" s="317"/>
      <c r="K165" s="384" t="str">
        <f t="shared" ca="1" si="145"/>
        <v/>
      </c>
      <c r="L165" s="317"/>
      <c r="M165" s="317"/>
      <c r="N165" s="317" t="str">
        <f t="shared" si="142"/>
        <v>READY!</v>
      </c>
      <c r="O165" s="317" t="s">
        <v>302</v>
      </c>
      <c r="P165" s="317"/>
      <c r="Q165" s="317" t="s">
        <v>1842</v>
      </c>
      <c r="R165" s="317">
        <v>9184611452</v>
      </c>
      <c r="S165" s="317">
        <f t="shared" si="183"/>
        <v>9184611452</v>
      </c>
      <c r="T165" s="317" t="str">
        <f t="shared" si="184"/>
        <v/>
      </c>
      <c r="U165" s="321" t="s">
        <v>2015</v>
      </c>
      <c r="V165" s="317" t="s">
        <v>1841</v>
      </c>
      <c r="W165" s="317" t="s">
        <v>1839</v>
      </c>
      <c r="X165" s="317" t="s">
        <v>1840</v>
      </c>
      <c r="Y165" s="317" t="s">
        <v>73</v>
      </c>
      <c r="Z165" s="317" t="s">
        <v>74</v>
      </c>
      <c r="AA165" s="317" t="s">
        <v>1232</v>
      </c>
      <c r="AB165" s="317"/>
      <c r="AC165" s="317" t="s">
        <v>741</v>
      </c>
      <c r="AD165" s="317" t="s">
        <v>1234</v>
      </c>
      <c r="AE165" s="317"/>
      <c r="AF165" s="317"/>
      <c r="AG165" s="317"/>
      <c r="AH165" s="317" t="s">
        <v>52</v>
      </c>
      <c r="AI165" s="317" t="s">
        <v>253</v>
      </c>
      <c r="AJ165" s="317" t="str">
        <f t="shared" si="196"/>
        <v/>
      </c>
      <c r="AK165" s="317"/>
      <c r="AL165" s="317" t="s">
        <v>259</v>
      </c>
      <c r="AM165" s="317" t="s">
        <v>854</v>
      </c>
      <c r="AN165" s="318">
        <v>33553</v>
      </c>
      <c r="AO165" s="317" t="s">
        <v>2661</v>
      </c>
      <c r="AP165" s="317" t="s">
        <v>2661</v>
      </c>
      <c r="AQ165" s="317" t="s">
        <v>53</v>
      </c>
      <c r="AR165" s="317" t="s">
        <v>378</v>
      </c>
      <c r="AS165" s="332">
        <v>42118</v>
      </c>
      <c r="AT165" s="318">
        <v>42118</v>
      </c>
      <c r="AU165" s="318">
        <v>42118</v>
      </c>
      <c r="AV165" s="318">
        <v>42130</v>
      </c>
      <c r="AW165" s="332">
        <v>42094</v>
      </c>
      <c r="AX165" s="317" t="s">
        <v>1905</v>
      </c>
      <c r="AY165" s="318"/>
      <c r="AZ165" s="318">
        <v>42130</v>
      </c>
      <c r="BA165" s="318">
        <v>42118</v>
      </c>
      <c r="BB165" s="317"/>
      <c r="BC165" s="332">
        <v>42094</v>
      </c>
      <c r="BD165" s="317" t="s">
        <v>1904</v>
      </c>
      <c r="BE165" s="332">
        <v>42118</v>
      </c>
      <c r="BF165" s="317" t="s">
        <v>2662</v>
      </c>
      <c r="BG165" s="332">
        <v>42094</v>
      </c>
      <c r="BH165" s="385" t="s">
        <v>1903</v>
      </c>
      <c r="BI165" s="317"/>
      <c r="BJ165" s="332">
        <v>42118</v>
      </c>
      <c r="BK165" s="317"/>
      <c r="BL165" s="317"/>
      <c r="BM165" s="332">
        <v>42094</v>
      </c>
      <c r="BN165" s="317"/>
      <c r="BO165" s="317"/>
      <c r="BP165" s="332">
        <v>42118</v>
      </c>
      <c r="BQ165" s="318">
        <v>42094</v>
      </c>
      <c r="BR165" s="317"/>
      <c r="BS165" s="332">
        <v>42093</v>
      </c>
      <c r="BT165" s="318">
        <v>42093</v>
      </c>
      <c r="BU165" s="318">
        <v>42093</v>
      </c>
      <c r="BV165" s="337"/>
      <c r="BW165" s="536" t="str">
        <f t="shared" si="179"/>
        <v xml:space="preserve">1905 (for processing) 5/6/2015, 2305 (for processing) 4/24/2015, </v>
      </c>
      <c r="BX165" s="536">
        <f t="shared" si="167"/>
        <v>11</v>
      </c>
      <c r="BY165" s="536">
        <f t="shared" si="144"/>
        <v>11</v>
      </c>
      <c r="BZ165" s="537">
        <f t="shared" si="185"/>
        <v>1</v>
      </c>
      <c r="CA165" s="337" t="str">
        <f t="shared" si="197"/>
        <v/>
      </c>
      <c r="CB165" s="318" t="str">
        <f t="shared" si="186"/>
        <v/>
      </c>
      <c r="CC165" s="317" t="str">
        <f t="shared" ca="1" si="187"/>
        <v/>
      </c>
      <c r="CD165" s="317" t="str">
        <f t="shared" si="188"/>
        <v/>
      </c>
      <c r="CE165" s="317" t="str">
        <f t="shared" si="189"/>
        <v/>
      </c>
      <c r="CF165" s="538" t="str">
        <f t="shared" si="190"/>
        <v/>
      </c>
      <c r="CG165" s="539" t="str">
        <f t="shared" si="191"/>
        <v/>
      </c>
      <c r="CH165" s="317" t="str">
        <f t="shared" si="192"/>
        <v/>
      </c>
      <c r="CI165" s="318" t="str">
        <f t="shared" si="193"/>
        <v/>
      </c>
      <c r="CJ165" s="318" t="str">
        <f t="shared" si="146"/>
        <v/>
      </c>
      <c r="CK165" s="317">
        <f t="shared" si="147"/>
        <v>3</v>
      </c>
      <c r="CL165" s="317">
        <f t="shared" si="148"/>
        <v>1</v>
      </c>
      <c r="CM165" s="317">
        <f t="shared" si="149"/>
        <v>2</v>
      </c>
      <c r="CN165" s="317">
        <f t="shared" si="150"/>
        <v>1</v>
      </c>
      <c r="CO165" s="317">
        <f t="shared" si="151"/>
        <v>2</v>
      </c>
      <c r="CP165" s="317">
        <f t="shared" si="152"/>
        <v>3</v>
      </c>
      <c r="CQ165" s="317">
        <f t="shared" si="153"/>
        <v>3</v>
      </c>
      <c r="CR165" s="317">
        <f t="shared" si="154"/>
        <v>3</v>
      </c>
      <c r="CS165" s="317">
        <f t="shared" si="155"/>
        <v>1</v>
      </c>
      <c r="CT165" s="317">
        <f t="shared" si="180"/>
        <v>1</v>
      </c>
      <c r="CU165" s="317">
        <f t="shared" si="181"/>
        <v>1</v>
      </c>
      <c r="CV165" s="317">
        <f t="shared" si="182"/>
        <v>2</v>
      </c>
      <c r="CW165" s="317">
        <f t="shared" si="159"/>
        <v>1</v>
      </c>
      <c r="CX165" s="317">
        <f t="shared" si="160"/>
        <v>1</v>
      </c>
      <c r="CY165" s="317">
        <f t="shared" si="161"/>
        <v>3</v>
      </c>
    </row>
    <row r="166" spans="1:103" s="8" customFormat="1" x14ac:dyDescent="0.25">
      <c r="A166" s="132">
        <v>190</v>
      </c>
      <c r="B166" s="129">
        <v>42093</v>
      </c>
      <c r="C166" s="113">
        <v>1082382</v>
      </c>
      <c r="D166" s="113" t="s">
        <v>1882</v>
      </c>
      <c r="E166" s="113" t="str">
        <f t="shared" si="194"/>
        <v/>
      </c>
      <c r="F166" s="113" t="str">
        <f t="shared" si="195"/>
        <v/>
      </c>
      <c r="G166" s="8" t="s">
        <v>474</v>
      </c>
      <c r="H166" s="113"/>
      <c r="I166" s="129">
        <v>42093</v>
      </c>
      <c r="J166" s="113"/>
      <c r="K166" s="132" t="str">
        <f t="shared" ca="1" si="145"/>
        <v/>
      </c>
      <c r="L166" s="113"/>
      <c r="M166" s="113"/>
      <c r="N166" s="113" t="str">
        <f t="shared" si="142"/>
        <v/>
      </c>
      <c r="O166" s="113" t="s">
        <v>298</v>
      </c>
      <c r="P166" s="113" t="s">
        <v>689</v>
      </c>
      <c r="Q166" s="113" t="s">
        <v>1845</v>
      </c>
      <c r="R166" s="113">
        <v>9267566900</v>
      </c>
      <c r="S166" s="113">
        <f t="shared" si="183"/>
        <v>9267566900</v>
      </c>
      <c r="T166" s="113" t="str">
        <f t="shared" si="184"/>
        <v/>
      </c>
      <c r="U166" s="8" t="s">
        <v>2016</v>
      </c>
      <c r="V166" s="113" t="s">
        <v>1844</v>
      </c>
      <c r="W166" s="113" t="s">
        <v>1843</v>
      </c>
      <c r="X166" s="113" t="s">
        <v>310</v>
      </c>
      <c r="Y166" s="113" t="s">
        <v>73</v>
      </c>
      <c r="Z166" s="113" t="s">
        <v>70</v>
      </c>
      <c r="AA166" s="113" t="s">
        <v>1233</v>
      </c>
      <c r="AB166" s="113"/>
      <c r="AC166" s="113" t="s">
        <v>741</v>
      </c>
      <c r="AD166" s="113" t="s">
        <v>1038</v>
      </c>
      <c r="AE166" s="113"/>
      <c r="AF166" s="113"/>
      <c r="AG166" s="113"/>
      <c r="AH166" s="113" t="s">
        <v>52</v>
      </c>
      <c r="AI166" s="113" t="s">
        <v>1846</v>
      </c>
      <c r="AJ166" s="113" t="str">
        <f t="shared" si="196"/>
        <v/>
      </c>
      <c r="AK166" s="113"/>
      <c r="AL166" s="113" t="s">
        <v>259</v>
      </c>
      <c r="AM166" s="113" t="s">
        <v>854</v>
      </c>
      <c r="AN166" s="129">
        <v>30576</v>
      </c>
      <c r="AO166" s="113" t="s">
        <v>2311</v>
      </c>
      <c r="AP166" s="113" t="s">
        <v>2311</v>
      </c>
      <c r="AQ166" s="113" t="s">
        <v>53</v>
      </c>
      <c r="AR166" s="113" t="s">
        <v>378</v>
      </c>
      <c r="AS166" s="187">
        <v>42109</v>
      </c>
      <c r="AT166" s="129">
        <v>42109</v>
      </c>
      <c r="AU166" s="129">
        <v>42109</v>
      </c>
      <c r="AV166" s="129">
        <v>42109</v>
      </c>
      <c r="AW166" s="187"/>
      <c r="AX166" s="113"/>
      <c r="AY166" s="113"/>
      <c r="AZ166" s="113"/>
      <c r="BA166" s="113"/>
      <c r="BB166" s="113"/>
      <c r="BC166" s="165"/>
      <c r="BD166" s="113"/>
      <c r="BE166" s="187">
        <v>42109</v>
      </c>
      <c r="BF166" s="113" t="s">
        <v>2313</v>
      </c>
      <c r="BG166" s="187">
        <v>42109</v>
      </c>
      <c r="BH166" s="274" t="s">
        <v>2312</v>
      </c>
      <c r="BI166" s="129">
        <v>42109</v>
      </c>
      <c r="BJ166" s="165"/>
      <c r="BK166" s="113"/>
      <c r="BL166" s="113"/>
      <c r="BM166" s="187">
        <v>42109</v>
      </c>
      <c r="BN166" s="113"/>
      <c r="BO166" s="113"/>
      <c r="BP166" s="165"/>
      <c r="BQ166" s="113"/>
      <c r="BR166" s="113"/>
      <c r="BS166" s="187">
        <v>42093</v>
      </c>
      <c r="BT166" s="129">
        <v>42093</v>
      </c>
      <c r="BU166" s="129">
        <v>42093</v>
      </c>
      <c r="BV166" s="165"/>
      <c r="BW166" s="532" t="str">
        <f t="shared" si="179"/>
        <v xml:space="preserve">MDR 4/15/2015, </v>
      </c>
      <c r="BX166" s="532" t="str">
        <f t="shared" si="167"/>
        <v/>
      </c>
      <c r="BY166" s="532" t="str">
        <f t="shared" si="144"/>
        <v/>
      </c>
      <c r="BZ166" s="533" t="str">
        <f t="shared" si="185"/>
        <v/>
      </c>
      <c r="CA166" s="165" t="str">
        <f t="shared" si="197"/>
        <v/>
      </c>
      <c r="CB166" s="129" t="str">
        <f t="shared" si="186"/>
        <v/>
      </c>
      <c r="CC166" s="113" t="str">
        <f t="shared" ca="1" si="187"/>
        <v/>
      </c>
      <c r="CD166" s="113" t="str">
        <f t="shared" si="188"/>
        <v/>
      </c>
      <c r="CE166" s="113" t="str">
        <f t="shared" si="189"/>
        <v/>
      </c>
      <c r="CF166" s="534" t="str">
        <f t="shared" si="190"/>
        <v/>
      </c>
      <c r="CG166" s="535" t="str">
        <f t="shared" si="191"/>
        <v/>
      </c>
      <c r="CH166" s="113" t="str">
        <f t="shared" si="192"/>
        <v/>
      </c>
      <c r="CI166" s="129" t="str">
        <f t="shared" si="193"/>
        <v/>
      </c>
      <c r="CJ166" s="129" t="str">
        <f t="shared" si="146"/>
        <v/>
      </c>
      <c r="CK166" s="113">
        <f t="shared" si="147"/>
        <v>3</v>
      </c>
      <c r="CL166" s="113">
        <f t="shared" si="148"/>
        <v>1</v>
      </c>
      <c r="CM166" s="113">
        <f t="shared" si="149"/>
        <v>2</v>
      </c>
      <c r="CN166" s="113">
        <f t="shared" si="150"/>
        <v>1</v>
      </c>
      <c r="CO166" s="113">
        <f t="shared" si="151"/>
        <v>2</v>
      </c>
      <c r="CP166" s="113">
        <f t="shared" si="152"/>
        <v>3</v>
      </c>
      <c r="CQ166" s="113">
        <f t="shared" si="153"/>
        <v>3</v>
      </c>
      <c r="CR166" s="113">
        <f t="shared" si="154"/>
        <v>3</v>
      </c>
      <c r="CS166" s="113">
        <f t="shared" si="155"/>
        <v>1</v>
      </c>
      <c r="CT166" s="113">
        <f t="shared" si="180"/>
        <v>1</v>
      </c>
      <c r="CU166" s="113">
        <f t="shared" si="181"/>
        <v>1</v>
      </c>
      <c r="CV166" s="113">
        <f t="shared" si="182"/>
        <v>2</v>
      </c>
      <c r="CW166" s="113">
        <f t="shared" si="159"/>
        <v>1</v>
      </c>
      <c r="CX166" s="113">
        <f t="shared" si="160"/>
        <v>2</v>
      </c>
      <c r="CY166" s="113">
        <f t="shared" si="161"/>
        <v>3</v>
      </c>
    </row>
    <row r="167" spans="1:103" s="8" customFormat="1" x14ac:dyDescent="0.25">
      <c r="A167" s="132">
        <v>190</v>
      </c>
      <c r="B167" s="129">
        <v>42093</v>
      </c>
      <c r="C167" s="113">
        <v>1082383</v>
      </c>
      <c r="D167" s="113" t="s">
        <v>1896</v>
      </c>
      <c r="E167" s="113" t="str">
        <f t="shared" si="194"/>
        <v/>
      </c>
      <c r="F167" s="113" t="str">
        <f t="shared" si="195"/>
        <v/>
      </c>
      <c r="G167" s="8" t="s">
        <v>474</v>
      </c>
      <c r="H167" s="113"/>
      <c r="I167" s="113"/>
      <c r="J167" s="113"/>
      <c r="K167" s="132" t="str">
        <f t="shared" ca="1" si="145"/>
        <v/>
      </c>
      <c r="L167" s="113"/>
      <c r="M167" s="113"/>
      <c r="N167" s="113" t="str">
        <f t="shared" si="142"/>
        <v/>
      </c>
      <c r="O167" s="113" t="s">
        <v>298</v>
      </c>
      <c r="P167" s="113" t="s">
        <v>689</v>
      </c>
      <c r="Q167" s="113" t="s">
        <v>1849</v>
      </c>
      <c r="R167" s="113">
        <v>9157452198</v>
      </c>
      <c r="S167" s="113">
        <f t="shared" si="183"/>
        <v>9157452198</v>
      </c>
      <c r="T167" s="113" t="str">
        <f t="shared" si="184"/>
        <v/>
      </c>
      <c r="U167" s="8" t="s">
        <v>2017</v>
      </c>
      <c r="V167" s="113" t="s">
        <v>1848</v>
      </c>
      <c r="W167" s="113" t="s">
        <v>1897</v>
      </c>
      <c r="X167" s="113" t="s">
        <v>1847</v>
      </c>
      <c r="Y167" s="113" t="s">
        <v>73</v>
      </c>
      <c r="Z167" s="113" t="s">
        <v>70</v>
      </c>
      <c r="AA167" s="113" t="s">
        <v>1233</v>
      </c>
      <c r="AB167" s="113"/>
      <c r="AC167" s="113" t="s">
        <v>741</v>
      </c>
      <c r="AD167" s="113" t="s">
        <v>1038</v>
      </c>
      <c r="AE167" s="113"/>
      <c r="AF167" s="113"/>
      <c r="AG167" s="113"/>
      <c r="AH167" s="113" t="s">
        <v>52</v>
      </c>
      <c r="AI167" s="113" t="s">
        <v>253</v>
      </c>
      <c r="AJ167" s="113" t="str">
        <f t="shared" si="196"/>
        <v/>
      </c>
      <c r="AK167" s="113"/>
      <c r="AL167" s="113" t="s">
        <v>259</v>
      </c>
      <c r="AM167" s="113" t="s">
        <v>854</v>
      </c>
      <c r="AN167" s="129">
        <v>32396</v>
      </c>
      <c r="AO167" s="113" t="s">
        <v>2345</v>
      </c>
      <c r="AP167" s="113"/>
      <c r="AQ167" s="113"/>
      <c r="AR167" s="113"/>
      <c r="AS167" s="165"/>
      <c r="AT167" s="113"/>
      <c r="AU167" s="129">
        <v>42091</v>
      </c>
      <c r="AV167" s="113"/>
      <c r="AW167" s="187"/>
      <c r="AX167" s="113"/>
      <c r="AY167" s="113"/>
      <c r="AZ167" s="113"/>
      <c r="BA167" s="113"/>
      <c r="BB167" s="113"/>
      <c r="BC167" s="165"/>
      <c r="BD167" s="113"/>
      <c r="BE167" s="165"/>
      <c r="BF167" s="113"/>
      <c r="BG167" s="165"/>
      <c r="BH167" s="274"/>
      <c r="BI167" s="113"/>
      <c r="BJ167" s="165"/>
      <c r="BK167" s="113"/>
      <c r="BL167" s="113"/>
      <c r="BM167" s="165"/>
      <c r="BN167" s="113"/>
      <c r="BO167" s="113"/>
      <c r="BP167" s="165"/>
      <c r="BQ167" s="113"/>
      <c r="BR167" s="113"/>
      <c r="BS167" s="187">
        <v>42093</v>
      </c>
      <c r="BT167" s="129">
        <v>42093</v>
      </c>
      <c r="BU167" s="129">
        <v>42093</v>
      </c>
      <c r="BV167" s="165"/>
      <c r="BW167" s="532" t="str">
        <f t="shared" si="179"/>
        <v/>
      </c>
      <c r="BX167" s="532" t="str">
        <f t="shared" si="167"/>
        <v/>
      </c>
      <c r="BY167" s="532" t="str">
        <f t="shared" si="144"/>
        <v/>
      </c>
      <c r="BZ167" s="533" t="str">
        <f t="shared" si="185"/>
        <v/>
      </c>
      <c r="CA167" s="165" t="str">
        <f t="shared" si="197"/>
        <v/>
      </c>
      <c r="CB167" s="129" t="str">
        <f t="shared" si="186"/>
        <v/>
      </c>
      <c r="CC167" s="113" t="str">
        <f t="shared" ca="1" si="187"/>
        <v/>
      </c>
      <c r="CD167" s="113" t="str">
        <f t="shared" si="188"/>
        <v/>
      </c>
      <c r="CE167" s="113" t="str">
        <f t="shared" si="189"/>
        <v/>
      </c>
      <c r="CF167" s="534" t="str">
        <f t="shared" si="190"/>
        <v/>
      </c>
      <c r="CG167" s="535" t="str">
        <f t="shared" si="191"/>
        <v/>
      </c>
      <c r="CH167" s="113" t="str">
        <f t="shared" si="192"/>
        <v/>
      </c>
      <c r="CI167" s="129" t="str">
        <f t="shared" si="193"/>
        <v/>
      </c>
      <c r="CJ167" s="129" t="str">
        <f t="shared" si="146"/>
        <v/>
      </c>
      <c r="CK167" s="113">
        <f t="shared" si="147"/>
        <v>3</v>
      </c>
      <c r="CL167" s="113">
        <f t="shared" si="148"/>
        <v>1</v>
      </c>
      <c r="CM167" s="113">
        <f t="shared" si="149"/>
        <v>2</v>
      </c>
      <c r="CN167" s="113">
        <f t="shared" si="150"/>
        <v>1</v>
      </c>
      <c r="CO167" s="113">
        <f t="shared" si="151"/>
        <v>2</v>
      </c>
      <c r="CP167" s="113">
        <f t="shared" si="152"/>
        <v>3</v>
      </c>
      <c r="CQ167" s="113">
        <f t="shared" si="153"/>
        <v>3</v>
      </c>
      <c r="CR167" s="113">
        <f t="shared" si="154"/>
        <v>3</v>
      </c>
      <c r="CS167" s="113">
        <f t="shared" si="155"/>
        <v>1</v>
      </c>
      <c r="CT167" s="113">
        <f t="shared" si="180"/>
        <v>1</v>
      </c>
      <c r="CU167" s="113">
        <f t="shared" si="181"/>
        <v>1</v>
      </c>
      <c r="CV167" s="113">
        <f t="shared" si="182"/>
        <v>2</v>
      </c>
      <c r="CW167" s="113">
        <f t="shared" si="159"/>
        <v>1</v>
      </c>
      <c r="CX167" s="113">
        <f t="shared" si="160"/>
        <v>3</v>
      </c>
      <c r="CY167" s="113">
        <f t="shared" si="161"/>
        <v>3</v>
      </c>
    </row>
    <row r="168" spans="1:103" s="8" customFormat="1" x14ac:dyDescent="0.25">
      <c r="A168" s="132">
        <v>190</v>
      </c>
      <c r="B168" s="129">
        <v>42093</v>
      </c>
      <c r="C168" s="113">
        <v>1082384</v>
      </c>
      <c r="D168" s="113" t="s">
        <v>1883</v>
      </c>
      <c r="E168" s="113" t="str">
        <f t="shared" si="194"/>
        <v/>
      </c>
      <c r="F168" s="113" t="str">
        <f t="shared" si="195"/>
        <v/>
      </c>
      <c r="G168" s="8" t="s">
        <v>474</v>
      </c>
      <c r="H168" s="113"/>
      <c r="I168" s="113"/>
      <c r="J168" s="113"/>
      <c r="K168" s="152" t="str">
        <f t="shared" ca="1" si="145"/>
        <v/>
      </c>
      <c r="L168" s="113"/>
      <c r="M168" s="113"/>
      <c r="N168" s="153" t="str">
        <f t="shared" si="142"/>
        <v/>
      </c>
      <c r="O168" s="113" t="s">
        <v>298</v>
      </c>
      <c r="P168" s="113" t="s">
        <v>689</v>
      </c>
      <c r="Q168" s="113" t="s">
        <v>1853</v>
      </c>
      <c r="R168" s="113">
        <v>9274983234</v>
      </c>
      <c r="S168" s="153">
        <f t="shared" si="183"/>
        <v>9274983234</v>
      </c>
      <c r="T168" s="153" t="str">
        <f t="shared" si="184"/>
        <v/>
      </c>
      <c r="U168" s="8" t="s">
        <v>2018</v>
      </c>
      <c r="V168" s="113" t="s">
        <v>1852</v>
      </c>
      <c r="W168" s="113" t="s">
        <v>1850</v>
      </c>
      <c r="X168" s="113" t="s">
        <v>1851</v>
      </c>
      <c r="Y168" s="113" t="s">
        <v>73</v>
      </c>
      <c r="Z168" s="113" t="s">
        <v>70</v>
      </c>
      <c r="AA168" s="113" t="s">
        <v>1233</v>
      </c>
      <c r="AB168" s="113"/>
      <c r="AC168" s="113" t="s">
        <v>741</v>
      </c>
      <c r="AD168" s="113" t="s">
        <v>1038</v>
      </c>
      <c r="AE168" s="113"/>
      <c r="AF168" s="113"/>
      <c r="AG168" s="113"/>
      <c r="AH168" s="113" t="s">
        <v>52</v>
      </c>
      <c r="AI168" s="113" t="s">
        <v>253</v>
      </c>
      <c r="AJ168" s="153" t="str">
        <f t="shared" si="196"/>
        <v/>
      </c>
      <c r="AK168" s="113"/>
      <c r="AL168" s="113" t="s">
        <v>259</v>
      </c>
      <c r="AM168" s="113" t="s">
        <v>854</v>
      </c>
      <c r="AN168" s="129">
        <v>32329</v>
      </c>
      <c r="AO168" s="113"/>
      <c r="AP168" s="113"/>
      <c r="AQ168" s="113"/>
      <c r="AR168" s="113"/>
      <c r="AS168" s="165"/>
      <c r="AT168" s="113"/>
      <c r="AU168" s="113"/>
      <c r="AV168" s="113"/>
      <c r="AW168" s="187"/>
      <c r="AX168" s="113"/>
      <c r="AY168" s="113"/>
      <c r="AZ168" s="113"/>
      <c r="BA168" s="113"/>
      <c r="BB168" s="113"/>
      <c r="BC168" s="165"/>
      <c r="BD168" s="113"/>
      <c r="BE168" s="165"/>
      <c r="BF168" s="113"/>
      <c r="BG168" s="165"/>
      <c r="BH168" s="274"/>
      <c r="BI168" s="113"/>
      <c r="BJ168" s="165"/>
      <c r="BK168" s="113"/>
      <c r="BL168" s="113"/>
      <c r="BM168" s="165"/>
      <c r="BN168" s="113"/>
      <c r="BO168" s="113"/>
      <c r="BP168" s="165"/>
      <c r="BQ168" s="113"/>
      <c r="BR168" s="113"/>
      <c r="BS168" s="187">
        <v>42093</v>
      </c>
      <c r="BT168" s="129">
        <v>42093</v>
      </c>
      <c r="BU168" s="129">
        <v>42093</v>
      </c>
      <c r="BV168" s="165"/>
      <c r="BW168" s="398" t="str">
        <f t="shared" si="179"/>
        <v/>
      </c>
      <c r="BX168" s="398" t="str">
        <f t="shared" si="167"/>
        <v/>
      </c>
      <c r="BY168" s="398" t="str">
        <f t="shared" si="144"/>
        <v/>
      </c>
      <c r="BZ168" s="399" t="str">
        <f t="shared" si="185"/>
        <v/>
      </c>
      <c r="CA168" s="168" t="str">
        <f t="shared" si="197"/>
        <v/>
      </c>
      <c r="CB168" s="151" t="str">
        <f t="shared" si="186"/>
        <v/>
      </c>
      <c r="CC168" s="153" t="str">
        <f t="shared" ca="1" si="187"/>
        <v/>
      </c>
      <c r="CD168" s="153" t="str">
        <f t="shared" si="188"/>
        <v/>
      </c>
      <c r="CE168" s="153" t="str">
        <f t="shared" si="189"/>
        <v/>
      </c>
      <c r="CF168" s="396" t="str">
        <f t="shared" si="190"/>
        <v/>
      </c>
      <c r="CG168" s="397" t="str">
        <f t="shared" si="191"/>
        <v/>
      </c>
      <c r="CH168" s="153" t="str">
        <f t="shared" si="192"/>
        <v/>
      </c>
      <c r="CI168" s="151" t="str">
        <f t="shared" si="193"/>
        <v/>
      </c>
      <c r="CJ168" s="151" t="str">
        <f t="shared" si="146"/>
        <v/>
      </c>
      <c r="CK168" s="153">
        <f t="shared" si="147"/>
        <v>3</v>
      </c>
      <c r="CL168" s="153">
        <f t="shared" si="148"/>
        <v>1</v>
      </c>
      <c r="CM168" s="153">
        <f t="shared" si="149"/>
        <v>2</v>
      </c>
      <c r="CN168" s="153">
        <f t="shared" si="150"/>
        <v>1</v>
      </c>
      <c r="CO168" s="153">
        <f t="shared" si="151"/>
        <v>2</v>
      </c>
      <c r="CP168" s="153">
        <f t="shared" si="152"/>
        <v>3</v>
      </c>
      <c r="CQ168" s="153">
        <f t="shared" si="153"/>
        <v>3</v>
      </c>
      <c r="CR168" s="153">
        <f t="shared" si="154"/>
        <v>3</v>
      </c>
      <c r="CS168" s="153">
        <f t="shared" si="155"/>
        <v>1</v>
      </c>
      <c r="CT168" s="153">
        <f t="shared" si="180"/>
        <v>1</v>
      </c>
      <c r="CU168" s="153">
        <f t="shared" si="181"/>
        <v>1</v>
      </c>
      <c r="CV168" s="153">
        <f t="shared" si="182"/>
        <v>2</v>
      </c>
      <c r="CW168" s="153">
        <f t="shared" si="159"/>
        <v>1</v>
      </c>
      <c r="CX168" s="153">
        <f t="shared" si="160"/>
        <v>4</v>
      </c>
      <c r="CY168" s="153">
        <f t="shared" si="161"/>
        <v>3</v>
      </c>
    </row>
    <row r="169" spans="1:103" x14ac:dyDescent="0.25">
      <c r="A169" s="136">
        <v>190</v>
      </c>
      <c r="B169" s="170">
        <v>42093</v>
      </c>
      <c r="C169" s="112">
        <v>1082385</v>
      </c>
      <c r="D169" s="112" t="s">
        <v>1884</v>
      </c>
      <c r="E169" s="112" t="str">
        <f t="shared" si="194"/>
        <v xml:space="preserve">HDMF, NBI, NSO, Info, Waiver, TIN, 1905, 2305, </v>
      </c>
      <c r="F169" s="112" t="str">
        <f t="shared" si="195"/>
        <v xml:space="preserve">MDR, TOR, COE, 2x2, </v>
      </c>
      <c r="G169" s="9" t="s">
        <v>474</v>
      </c>
      <c r="H169" s="112"/>
      <c r="I169" s="112"/>
      <c r="J169" s="112"/>
      <c r="K169" s="152" t="str">
        <f t="shared" ca="1" si="145"/>
        <v>Dedlyn!</v>
      </c>
      <c r="L169" s="112"/>
      <c r="M169" s="112"/>
      <c r="N169" s="153" t="str">
        <f t="shared" si="142"/>
        <v/>
      </c>
      <c r="O169" s="10" t="s">
        <v>301</v>
      </c>
      <c r="P169" s="112"/>
      <c r="Q169" s="112" t="s">
        <v>1857</v>
      </c>
      <c r="R169" s="112">
        <v>9155371079</v>
      </c>
      <c r="S169" s="153">
        <f t="shared" si="183"/>
        <v>9155371079</v>
      </c>
      <c r="T169" s="153" t="str">
        <f t="shared" si="184"/>
        <v/>
      </c>
      <c r="U169" s="1" t="s">
        <v>2019</v>
      </c>
      <c r="V169" s="112" t="s">
        <v>1856</v>
      </c>
      <c r="W169" s="112" t="s">
        <v>1854</v>
      </c>
      <c r="X169" s="112" t="s">
        <v>1855</v>
      </c>
      <c r="Y169" s="112" t="s">
        <v>73</v>
      </c>
      <c r="Z169" s="112" t="s">
        <v>74</v>
      </c>
      <c r="AA169" s="112" t="s">
        <v>1232</v>
      </c>
      <c r="AB169" s="112"/>
      <c r="AC169" s="112" t="s">
        <v>741</v>
      </c>
      <c r="AD169" s="112" t="s">
        <v>1234</v>
      </c>
      <c r="AE169" s="112"/>
      <c r="AF169" s="112"/>
      <c r="AG169" s="112"/>
      <c r="AH169" s="10" t="s">
        <v>52</v>
      </c>
      <c r="AI169" s="112" t="s">
        <v>1846</v>
      </c>
      <c r="AJ169" s="153" t="str">
        <f t="shared" si="196"/>
        <v/>
      </c>
      <c r="AK169" s="112"/>
      <c r="AL169" s="112" t="s">
        <v>259</v>
      </c>
      <c r="AM169" s="112" t="s">
        <v>854</v>
      </c>
      <c r="AN169" s="170">
        <v>30093</v>
      </c>
      <c r="AO169" s="112"/>
      <c r="AP169" s="112"/>
      <c r="AQ169" s="112"/>
      <c r="AR169" s="112"/>
      <c r="AT169" s="170">
        <v>42091</v>
      </c>
      <c r="AU169" s="170">
        <v>42091</v>
      </c>
      <c r="AV169" s="112"/>
      <c r="BB169" s="112"/>
      <c r="BC169" s="169">
        <v>42125</v>
      </c>
      <c r="BD169" s="112" t="s">
        <v>2841</v>
      </c>
      <c r="BF169" s="112"/>
      <c r="BG169" s="169">
        <v>42125</v>
      </c>
      <c r="BH169" s="188" t="s">
        <v>2842</v>
      </c>
      <c r="BI169" s="112"/>
      <c r="BL169" s="112"/>
      <c r="BO169" s="112"/>
      <c r="BR169" s="112"/>
      <c r="BS169" s="169">
        <v>42093</v>
      </c>
      <c r="BT169" s="170">
        <v>42093</v>
      </c>
      <c r="BU169" s="170">
        <v>42093</v>
      </c>
      <c r="BV169" s="159"/>
      <c r="BW169" s="398" t="str">
        <f t="shared" si="179"/>
        <v/>
      </c>
      <c r="BX169" s="398">
        <f t="shared" si="167"/>
        <v>4</v>
      </c>
      <c r="BY169" s="398">
        <f t="shared" si="144"/>
        <v>11</v>
      </c>
      <c r="BZ169" s="399">
        <f t="shared" si="185"/>
        <v>0.36363636363636365</v>
      </c>
      <c r="CA169" s="168" t="str">
        <f t="shared" si="197"/>
        <v/>
      </c>
      <c r="CB169" s="151" t="str">
        <f t="shared" si="186"/>
        <v/>
      </c>
      <c r="CC169" s="153" t="str">
        <f t="shared" ca="1" si="187"/>
        <v/>
      </c>
      <c r="CD169" s="153" t="str">
        <f t="shared" si="188"/>
        <v/>
      </c>
      <c r="CE169" s="153" t="str">
        <f t="shared" si="189"/>
        <v/>
      </c>
      <c r="CF169" s="396" t="str">
        <f t="shared" si="190"/>
        <v/>
      </c>
      <c r="CG169" s="397" t="str">
        <f t="shared" si="191"/>
        <v/>
      </c>
      <c r="CH169" s="153" t="str">
        <f t="shared" si="192"/>
        <v/>
      </c>
      <c r="CI169" s="151" t="str">
        <f t="shared" si="193"/>
        <v/>
      </c>
      <c r="CJ169" s="151" t="str">
        <f t="shared" si="146"/>
        <v/>
      </c>
      <c r="CK169" s="153">
        <f t="shared" si="147"/>
        <v>4</v>
      </c>
      <c r="CL169" s="153">
        <f t="shared" si="148"/>
        <v>1</v>
      </c>
      <c r="CM169" s="153">
        <f t="shared" si="149"/>
        <v>3</v>
      </c>
      <c r="CN169" s="153">
        <f t="shared" si="150"/>
        <v>1</v>
      </c>
      <c r="CO169" s="153">
        <f t="shared" si="151"/>
        <v>2</v>
      </c>
      <c r="CP169" s="153">
        <f t="shared" si="152"/>
        <v>3</v>
      </c>
      <c r="CQ169" s="153">
        <f t="shared" si="153"/>
        <v>4</v>
      </c>
      <c r="CR169" s="153">
        <f t="shared" si="154"/>
        <v>4</v>
      </c>
      <c r="CS169" s="153">
        <f t="shared" si="155"/>
        <v>1</v>
      </c>
      <c r="CT169" s="153">
        <f t="shared" si="180"/>
        <v>1</v>
      </c>
      <c r="CU169" s="153">
        <f t="shared" si="181"/>
        <v>1</v>
      </c>
      <c r="CV169" s="153">
        <f t="shared" si="182"/>
        <v>2</v>
      </c>
      <c r="CW169" s="153">
        <f t="shared" si="159"/>
        <v>1</v>
      </c>
      <c r="CX169" s="153">
        <f t="shared" si="160"/>
        <v>4</v>
      </c>
      <c r="CY169" s="153">
        <f t="shared" si="161"/>
        <v>4</v>
      </c>
    </row>
    <row r="170" spans="1:103" s="8" customFormat="1" x14ac:dyDescent="0.25">
      <c r="A170" s="132">
        <v>190</v>
      </c>
      <c r="B170" s="129">
        <v>42093</v>
      </c>
      <c r="C170" s="113">
        <v>1082386</v>
      </c>
      <c r="D170" s="113" t="s">
        <v>1885</v>
      </c>
      <c r="E170" s="113" t="str">
        <f t="shared" si="194"/>
        <v/>
      </c>
      <c r="F170" s="113" t="str">
        <f t="shared" si="195"/>
        <v/>
      </c>
      <c r="G170" s="8" t="s">
        <v>474</v>
      </c>
      <c r="H170" s="113"/>
      <c r="I170" s="129">
        <v>42102</v>
      </c>
      <c r="J170" s="113"/>
      <c r="K170" s="132" t="str">
        <f t="shared" ca="1" si="145"/>
        <v/>
      </c>
      <c r="L170" s="113"/>
      <c r="M170" s="113"/>
      <c r="N170" s="113" t="str">
        <f t="shared" si="142"/>
        <v/>
      </c>
      <c r="O170" s="113" t="s">
        <v>298</v>
      </c>
      <c r="P170" s="113" t="s">
        <v>689</v>
      </c>
      <c r="Q170" s="113" t="s">
        <v>1860</v>
      </c>
      <c r="R170" s="113">
        <v>9155705123</v>
      </c>
      <c r="S170" s="113">
        <f t="shared" si="183"/>
        <v>9155705123</v>
      </c>
      <c r="T170" s="113" t="str">
        <f t="shared" si="184"/>
        <v/>
      </c>
      <c r="U170" s="8" t="s">
        <v>2020</v>
      </c>
      <c r="V170" s="113" t="s">
        <v>1859</v>
      </c>
      <c r="W170" s="113" t="s">
        <v>1858</v>
      </c>
      <c r="X170" s="113" t="s">
        <v>1838</v>
      </c>
      <c r="Y170" s="113" t="s">
        <v>73</v>
      </c>
      <c r="Z170" s="113" t="s">
        <v>74</v>
      </c>
      <c r="AA170" s="113" t="s">
        <v>1232</v>
      </c>
      <c r="AB170" s="113"/>
      <c r="AC170" s="113" t="s">
        <v>741</v>
      </c>
      <c r="AD170" s="113" t="s">
        <v>1234</v>
      </c>
      <c r="AE170" s="113"/>
      <c r="AF170" s="113"/>
      <c r="AG170" s="113"/>
      <c r="AH170" s="113" t="s">
        <v>52</v>
      </c>
      <c r="AI170" s="113" t="s">
        <v>878</v>
      </c>
      <c r="AJ170" s="113" t="str">
        <f t="shared" si="196"/>
        <v/>
      </c>
      <c r="AK170" s="113"/>
      <c r="AL170" s="113" t="s">
        <v>265</v>
      </c>
      <c r="AM170" s="113" t="s">
        <v>854</v>
      </c>
      <c r="AN170" s="129">
        <v>32163</v>
      </c>
      <c r="AO170" s="113"/>
      <c r="AP170" s="113"/>
      <c r="AQ170" s="113"/>
      <c r="AR170" s="113"/>
      <c r="AS170" s="165"/>
      <c r="AT170" s="113"/>
      <c r="AU170" s="113"/>
      <c r="AV170" s="113"/>
      <c r="AW170" s="187"/>
      <c r="AX170" s="113"/>
      <c r="AY170" s="113"/>
      <c r="AZ170" s="113"/>
      <c r="BA170" s="113"/>
      <c r="BB170" s="113"/>
      <c r="BC170" s="165"/>
      <c r="BD170" s="113"/>
      <c r="BE170" s="165"/>
      <c r="BF170" s="113"/>
      <c r="BG170" s="165"/>
      <c r="BH170" s="274"/>
      <c r="BI170" s="113"/>
      <c r="BJ170" s="187">
        <v>42102</v>
      </c>
      <c r="BK170" s="113"/>
      <c r="BL170" s="113"/>
      <c r="BM170" s="187">
        <v>42102</v>
      </c>
      <c r="BN170" s="113"/>
      <c r="BO170" s="113"/>
      <c r="BP170" s="165"/>
      <c r="BQ170" s="129">
        <v>42102</v>
      </c>
      <c r="BR170" s="113"/>
      <c r="BS170" s="187">
        <v>42093</v>
      </c>
      <c r="BT170" s="129">
        <v>42093</v>
      </c>
      <c r="BU170" s="129">
        <v>42093</v>
      </c>
      <c r="BV170" s="165"/>
      <c r="BW170" s="532" t="str">
        <f t="shared" si="179"/>
        <v/>
      </c>
      <c r="BX170" s="532" t="str">
        <f t="shared" si="167"/>
        <v/>
      </c>
      <c r="BY170" s="532" t="str">
        <f t="shared" si="144"/>
        <v/>
      </c>
      <c r="BZ170" s="533" t="str">
        <f t="shared" si="185"/>
        <v/>
      </c>
      <c r="CA170" s="165" t="str">
        <f t="shared" si="197"/>
        <v/>
      </c>
      <c r="CB170" s="129" t="str">
        <f t="shared" si="186"/>
        <v/>
      </c>
      <c r="CC170" s="113" t="str">
        <f t="shared" ca="1" si="187"/>
        <v/>
      </c>
      <c r="CD170" s="113" t="str">
        <f t="shared" si="188"/>
        <v/>
      </c>
      <c r="CE170" s="113" t="str">
        <f t="shared" si="189"/>
        <v/>
      </c>
      <c r="CF170" s="534" t="str">
        <f t="shared" si="190"/>
        <v/>
      </c>
      <c r="CG170" s="535" t="str">
        <f t="shared" si="191"/>
        <v/>
      </c>
      <c r="CH170" s="113" t="str">
        <f t="shared" si="192"/>
        <v/>
      </c>
      <c r="CI170" s="129" t="str">
        <f t="shared" si="193"/>
        <v/>
      </c>
      <c r="CJ170" s="129" t="str">
        <f t="shared" si="146"/>
        <v/>
      </c>
      <c r="CK170" s="113">
        <f t="shared" si="147"/>
        <v>4</v>
      </c>
      <c r="CL170" s="113">
        <f t="shared" si="148"/>
        <v>1</v>
      </c>
      <c r="CM170" s="113">
        <f t="shared" si="149"/>
        <v>3</v>
      </c>
      <c r="CN170" s="113">
        <f t="shared" si="150"/>
        <v>1</v>
      </c>
      <c r="CO170" s="113">
        <f t="shared" si="151"/>
        <v>2</v>
      </c>
      <c r="CP170" s="113">
        <f t="shared" si="152"/>
        <v>3</v>
      </c>
      <c r="CQ170" s="113">
        <f t="shared" si="153"/>
        <v>4</v>
      </c>
      <c r="CR170" s="113">
        <f t="shared" si="154"/>
        <v>4</v>
      </c>
      <c r="CS170" s="113">
        <f t="shared" si="155"/>
        <v>1</v>
      </c>
      <c r="CT170" s="113">
        <f t="shared" si="180"/>
        <v>1</v>
      </c>
      <c r="CU170" s="113">
        <f t="shared" si="181"/>
        <v>1</v>
      </c>
      <c r="CV170" s="113">
        <f t="shared" si="182"/>
        <v>2</v>
      </c>
      <c r="CW170" s="113">
        <f t="shared" si="159"/>
        <v>1</v>
      </c>
      <c r="CX170" s="113">
        <f t="shared" si="160"/>
        <v>5</v>
      </c>
      <c r="CY170" s="113">
        <f t="shared" si="161"/>
        <v>4</v>
      </c>
    </row>
    <row r="171" spans="1:103" x14ac:dyDescent="0.25">
      <c r="A171" s="136">
        <v>190</v>
      </c>
      <c r="B171" s="170">
        <v>42093</v>
      </c>
      <c r="C171" s="112">
        <v>1082387</v>
      </c>
      <c r="D171" s="551" t="s">
        <v>1886</v>
      </c>
      <c r="E171" s="112" t="str">
        <f t="shared" si="194"/>
        <v xml:space="preserve">HDMF, NBI, Info, Waiver, 1905, 2305, </v>
      </c>
      <c r="F171" s="112" t="str">
        <f t="shared" si="195"/>
        <v xml:space="preserve">MDR, 2x2, </v>
      </c>
      <c r="G171" s="9" t="s">
        <v>474</v>
      </c>
      <c r="H171" s="112"/>
      <c r="I171" s="170">
        <v>42093</v>
      </c>
      <c r="J171" s="112"/>
      <c r="K171" s="152" t="str">
        <f t="shared" ca="1" si="145"/>
        <v>Dedlyn!</v>
      </c>
      <c r="L171" s="112"/>
      <c r="M171" s="112"/>
      <c r="N171" s="153" t="str">
        <f t="shared" si="142"/>
        <v/>
      </c>
      <c r="O171" s="10" t="s">
        <v>301</v>
      </c>
      <c r="P171" s="112"/>
      <c r="Q171" s="112" t="s">
        <v>1863</v>
      </c>
      <c r="R171" s="112">
        <v>9269088478</v>
      </c>
      <c r="S171" s="153">
        <f t="shared" si="183"/>
        <v>9269088478</v>
      </c>
      <c r="T171" s="153" t="str">
        <f t="shared" si="184"/>
        <v/>
      </c>
      <c r="U171" s="1" t="s">
        <v>2021</v>
      </c>
      <c r="V171" s="112" t="s">
        <v>1862</v>
      </c>
      <c r="W171" s="112" t="s">
        <v>1861</v>
      </c>
      <c r="X171" s="112" t="s">
        <v>568</v>
      </c>
      <c r="Y171" s="112" t="s">
        <v>73</v>
      </c>
      <c r="Z171" s="112" t="s">
        <v>74</v>
      </c>
      <c r="AA171" s="112" t="s">
        <v>1232</v>
      </c>
      <c r="AB171" s="112"/>
      <c r="AC171" s="112" t="s">
        <v>741</v>
      </c>
      <c r="AD171" s="112" t="s">
        <v>1234</v>
      </c>
      <c r="AE171" s="112"/>
      <c r="AF171" s="112"/>
      <c r="AG171" s="112"/>
      <c r="AH171" s="10" t="s">
        <v>52</v>
      </c>
      <c r="AI171" s="112" t="s">
        <v>253</v>
      </c>
      <c r="AJ171" s="153" t="str">
        <f t="shared" si="196"/>
        <v/>
      </c>
      <c r="AK171" s="112"/>
      <c r="AL171" s="112" t="s">
        <v>265</v>
      </c>
      <c r="AM171" s="112" t="s">
        <v>854</v>
      </c>
      <c r="AN171" s="170">
        <v>33770</v>
      </c>
      <c r="AO171" s="112"/>
      <c r="AP171" s="112"/>
      <c r="AQ171" s="112"/>
      <c r="AR171" s="112"/>
      <c r="AT171" s="170">
        <v>42091</v>
      </c>
      <c r="AU171" s="170">
        <v>42091</v>
      </c>
      <c r="AV171" s="112"/>
      <c r="AW171" s="169">
        <v>42118</v>
      </c>
      <c r="AX171" s="112" t="s">
        <v>2605</v>
      </c>
      <c r="BB171" s="112"/>
      <c r="BC171" s="169">
        <v>42118</v>
      </c>
      <c r="BD171" s="112" t="s">
        <v>2606</v>
      </c>
      <c r="BF171" s="112"/>
      <c r="BG171" s="169">
        <v>42118</v>
      </c>
      <c r="BH171" s="188" t="s">
        <v>2604</v>
      </c>
      <c r="BI171" s="112"/>
      <c r="BL171" s="112"/>
      <c r="BM171" s="169">
        <v>42118</v>
      </c>
      <c r="BO171" s="112"/>
      <c r="BQ171" s="170">
        <v>42118</v>
      </c>
      <c r="BR171" s="170">
        <v>42118</v>
      </c>
      <c r="BS171" s="169">
        <v>42093</v>
      </c>
      <c r="BT171" s="170">
        <v>42093</v>
      </c>
      <c r="BU171" s="170">
        <v>42093</v>
      </c>
      <c r="BV171" s="159"/>
      <c r="BW171" s="398" t="str">
        <f t="shared" si="179"/>
        <v/>
      </c>
      <c r="BX171" s="398">
        <f t="shared" si="167"/>
        <v>6</v>
      </c>
      <c r="BY171" s="398">
        <f t="shared" si="144"/>
        <v>11</v>
      </c>
      <c r="BZ171" s="399">
        <f t="shared" si="185"/>
        <v>0.54545454545454541</v>
      </c>
      <c r="CA171" s="168" t="str">
        <f t="shared" si="197"/>
        <v/>
      </c>
      <c r="CB171" s="151" t="str">
        <f t="shared" si="186"/>
        <v/>
      </c>
      <c r="CC171" s="153" t="str">
        <f t="shared" ca="1" si="187"/>
        <v/>
      </c>
      <c r="CD171" s="153" t="str">
        <f t="shared" si="188"/>
        <v/>
      </c>
      <c r="CE171" s="153" t="str">
        <f t="shared" si="189"/>
        <v/>
      </c>
      <c r="CF171" s="396" t="str">
        <f t="shared" si="190"/>
        <v/>
      </c>
      <c r="CG171" s="397" t="str">
        <f t="shared" si="191"/>
        <v/>
      </c>
      <c r="CH171" s="153" t="str">
        <f t="shared" si="192"/>
        <v/>
      </c>
      <c r="CI171" s="151" t="str">
        <f t="shared" si="193"/>
        <v/>
      </c>
      <c r="CJ171" s="151" t="str">
        <f t="shared" si="146"/>
        <v/>
      </c>
      <c r="CK171" s="153">
        <f t="shared" si="147"/>
        <v>5</v>
      </c>
      <c r="CL171" s="153">
        <f t="shared" si="148"/>
        <v>1</v>
      </c>
      <c r="CM171" s="153">
        <f t="shared" si="149"/>
        <v>4</v>
      </c>
      <c r="CN171" s="153">
        <f t="shared" si="150"/>
        <v>1</v>
      </c>
      <c r="CO171" s="153">
        <f t="shared" si="151"/>
        <v>3</v>
      </c>
      <c r="CP171" s="153">
        <f t="shared" si="152"/>
        <v>3</v>
      </c>
      <c r="CQ171" s="153">
        <f t="shared" si="153"/>
        <v>5</v>
      </c>
      <c r="CR171" s="153">
        <f t="shared" si="154"/>
        <v>5</v>
      </c>
      <c r="CS171" s="153">
        <f t="shared" si="155"/>
        <v>1</v>
      </c>
      <c r="CT171" s="153">
        <f t="shared" si="180"/>
        <v>2</v>
      </c>
      <c r="CU171" s="153">
        <f t="shared" si="181"/>
        <v>1</v>
      </c>
      <c r="CV171" s="153">
        <f t="shared" si="182"/>
        <v>2</v>
      </c>
      <c r="CW171" s="153">
        <f t="shared" si="159"/>
        <v>1</v>
      </c>
      <c r="CX171" s="153">
        <f t="shared" si="160"/>
        <v>5</v>
      </c>
      <c r="CY171" s="153">
        <f t="shared" si="161"/>
        <v>5</v>
      </c>
    </row>
    <row r="172" spans="1:103" s="321" customFormat="1" x14ac:dyDescent="0.25">
      <c r="A172" s="384">
        <v>190</v>
      </c>
      <c r="B172" s="318">
        <v>42093</v>
      </c>
      <c r="C172" s="317">
        <v>1082388</v>
      </c>
      <c r="D172" s="317" t="s">
        <v>1887</v>
      </c>
      <c r="E172" s="317" t="str">
        <f t="shared" si="194"/>
        <v/>
      </c>
      <c r="F172" s="317" t="str">
        <f t="shared" si="195"/>
        <v xml:space="preserve">MDR, 2x2, </v>
      </c>
      <c r="G172" s="321" t="s">
        <v>474</v>
      </c>
      <c r="H172" s="317"/>
      <c r="I172" s="318">
        <v>42124</v>
      </c>
      <c r="J172" s="317"/>
      <c r="K172" s="384" t="str">
        <f t="shared" ca="1" si="145"/>
        <v/>
      </c>
      <c r="L172" s="317"/>
      <c r="M172" s="317"/>
      <c r="N172" s="317" t="str">
        <f t="shared" si="142"/>
        <v>READY!</v>
      </c>
      <c r="O172" s="317" t="s">
        <v>302</v>
      </c>
      <c r="P172" s="317"/>
      <c r="Q172" s="317" t="s">
        <v>1867</v>
      </c>
      <c r="R172" s="317">
        <v>9156128212</v>
      </c>
      <c r="S172" s="317">
        <f t="shared" si="183"/>
        <v>9156128212</v>
      </c>
      <c r="T172" s="317" t="str">
        <f t="shared" si="184"/>
        <v/>
      </c>
      <c r="U172" s="321" t="s">
        <v>2022</v>
      </c>
      <c r="V172" s="317" t="s">
        <v>1866</v>
      </c>
      <c r="W172" s="317" t="s">
        <v>1864</v>
      </c>
      <c r="X172" s="317" t="s">
        <v>1865</v>
      </c>
      <c r="Y172" s="317" t="s">
        <v>73</v>
      </c>
      <c r="Z172" s="317" t="s">
        <v>74</v>
      </c>
      <c r="AA172" s="317" t="s">
        <v>1232</v>
      </c>
      <c r="AB172" s="317"/>
      <c r="AC172" s="317" t="s">
        <v>741</v>
      </c>
      <c r="AD172" s="317" t="s">
        <v>1234</v>
      </c>
      <c r="AE172" s="317"/>
      <c r="AF172" s="317"/>
      <c r="AG172" s="317"/>
      <c r="AH172" s="317" t="s">
        <v>52</v>
      </c>
      <c r="AI172" s="317" t="s">
        <v>253</v>
      </c>
      <c r="AJ172" s="317" t="str">
        <f t="shared" si="196"/>
        <v/>
      </c>
      <c r="AK172" s="317"/>
      <c r="AL172" s="317" t="s">
        <v>265</v>
      </c>
      <c r="AM172" s="317" t="s">
        <v>854</v>
      </c>
      <c r="AN172" s="318">
        <v>32768</v>
      </c>
      <c r="AO172" s="317" t="s">
        <v>2563</v>
      </c>
      <c r="AP172" s="317" t="s">
        <v>2564</v>
      </c>
      <c r="AQ172" s="317" t="s">
        <v>53</v>
      </c>
      <c r="AR172" s="317" t="s">
        <v>378</v>
      </c>
      <c r="AS172" s="332">
        <v>42116</v>
      </c>
      <c r="AT172" s="318">
        <v>42116</v>
      </c>
      <c r="AU172" s="318">
        <v>42124</v>
      </c>
      <c r="AV172" s="318">
        <v>42124</v>
      </c>
      <c r="AW172" s="332">
        <v>42124</v>
      </c>
      <c r="AX172" s="317" t="s">
        <v>2794</v>
      </c>
      <c r="AY172" s="317"/>
      <c r="AZ172" s="318">
        <v>42124</v>
      </c>
      <c r="BA172" s="318">
        <v>42116</v>
      </c>
      <c r="BB172" s="318"/>
      <c r="BC172" s="332">
        <v>42116</v>
      </c>
      <c r="BD172" s="317" t="s">
        <v>2565</v>
      </c>
      <c r="BE172" s="332">
        <v>42116</v>
      </c>
      <c r="BF172" s="317" t="s">
        <v>2566</v>
      </c>
      <c r="BG172" s="332">
        <v>42116</v>
      </c>
      <c r="BH172" s="385" t="s">
        <v>2567</v>
      </c>
      <c r="BI172" s="317"/>
      <c r="BJ172" s="332">
        <v>42116</v>
      </c>
      <c r="BK172" s="317"/>
      <c r="BL172" s="317"/>
      <c r="BM172" s="332">
        <v>42116</v>
      </c>
      <c r="BN172" s="317"/>
      <c r="BO172" s="317"/>
      <c r="BP172" s="332"/>
      <c r="BQ172" s="318">
        <v>42116</v>
      </c>
      <c r="BR172" s="318">
        <v>42116</v>
      </c>
      <c r="BS172" s="332">
        <v>42093</v>
      </c>
      <c r="BT172" s="318">
        <v>42093</v>
      </c>
      <c r="BU172" s="318">
        <v>42093</v>
      </c>
      <c r="BV172" s="337"/>
      <c r="BW172" s="536" t="str">
        <f t="shared" si="179"/>
        <v xml:space="preserve">1905 (for processing) 4/30/2015, 2305 (for processing) 4/22/2015, </v>
      </c>
      <c r="BX172" s="536">
        <f t="shared" si="167"/>
        <v>11</v>
      </c>
      <c r="BY172" s="536">
        <f t="shared" si="144"/>
        <v>11</v>
      </c>
      <c r="BZ172" s="537">
        <f t="shared" si="185"/>
        <v>1</v>
      </c>
      <c r="CA172" s="337" t="str">
        <f t="shared" si="197"/>
        <v/>
      </c>
      <c r="CB172" s="318" t="str">
        <f t="shared" si="186"/>
        <v/>
      </c>
      <c r="CC172" s="317" t="str">
        <f t="shared" ca="1" si="187"/>
        <v/>
      </c>
      <c r="CD172" s="317" t="str">
        <f t="shared" si="188"/>
        <v/>
      </c>
      <c r="CE172" s="317" t="str">
        <f t="shared" si="189"/>
        <v/>
      </c>
      <c r="CF172" s="538" t="str">
        <f t="shared" si="190"/>
        <v/>
      </c>
      <c r="CG172" s="539" t="str">
        <f t="shared" si="191"/>
        <v/>
      </c>
      <c r="CH172" s="317" t="str">
        <f t="shared" si="192"/>
        <v/>
      </c>
      <c r="CI172" s="318" t="str">
        <f t="shared" si="193"/>
        <v/>
      </c>
      <c r="CJ172" s="318" t="str">
        <f t="shared" si="146"/>
        <v/>
      </c>
      <c r="CK172" s="317">
        <f t="shared" si="147"/>
        <v>6</v>
      </c>
      <c r="CL172" s="317">
        <f t="shared" si="148"/>
        <v>2</v>
      </c>
      <c r="CM172" s="317">
        <f t="shared" si="149"/>
        <v>5</v>
      </c>
      <c r="CN172" s="317">
        <f t="shared" si="150"/>
        <v>2</v>
      </c>
      <c r="CO172" s="317">
        <f t="shared" si="151"/>
        <v>4</v>
      </c>
      <c r="CP172" s="317">
        <f t="shared" si="152"/>
        <v>4</v>
      </c>
      <c r="CQ172" s="317">
        <f t="shared" si="153"/>
        <v>6</v>
      </c>
      <c r="CR172" s="317">
        <f t="shared" si="154"/>
        <v>6</v>
      </c>
      <c r="CS172" s="317">
        <f t="shared" si="155"/>
        <v>2</v>
      </c>
      <c r="CT172" s="317">
        <f t="shared" si="180"/>
        <v>3</v>
      </c>
      <c r="CU172" s="317">
        <f t="shared" si="181"/>
        <v>2</v>
      </c>
      <c r="CV172" s="317">
        <f t="shared" si="182"/>
        <v>3</v>
      </c>
      <c r="CW172" s="317">
        <f t="shared" si="159"/>
        <v>2</v>
      </c>
      <c r="CX172" s="317">
        <f t="shared" si="160"/>
        <v>5</v>
      </c>
      <c r="CY172" s="317">
        <f t="shared" si="161"/>
        <v>6</v>
      </c>
    </row>
    <row r="173" spans="1:103" s="8" customFormat="1" x14ac:dyDescent="0.25">
      <c r="A173" s="132">
        <v>190</v>
      </c>
      <c r="B173" s="129">
        <v>42093</v>
      </c>
      <c r="C173" s="113">
        <v>1082389</v>
      </c>
      <c r="D173" s="553" t="s">
        <v>1888</v>
      </c>
      <c r="E173" s="113" t="str">
        <f t="shared" si="194"/>
        <v/>
      </c>
      <c r="F173" s="113" t="str">
        <f t="shared" si="195"/>
        <v/>
      </c>
      <c r="G173" s="8" t="s">
        <v>474</v>
      </c>
      <c r="H173" s="113"/>
      <c r="I173" s="113"/>
      <c r="J173" s="113"/>
      <c r="K173" s="132" t="str">
        <f t="shared" ca="1" si="145"/>
        <v/>
      </c>
      <c r="L173" s="113"/>
      <c r="M173" s="113"/>
      <c r="N173" s="113" t="str">
        <f t="shared" si="142"/>
        <v/>
      </c>
      <c r="O173" s="113" t="s">
        <v>298</v>
      </c>
      <c r="P173" s="113" t="s">
        <v>689</v>
      </c>
      <c r="Q173" s="113" t="s">
        <v>1871</v>
      </c>
      <c r="R173" s="113">
        <v>9356009281</v>
      </c>
      <c r="S173" s="113">
        <f t="shared" si="183"/>
        <v>9356009281</v>
      </c>
      <c r="T173" s="113" t="str">
        <f t="shared" si="184"/>
        <v/>
      </c>
      <c r="U173" s="8" t="s">
        <v>2023</v>
      </c>
      <c r="V173" s="113" t="s">
        <v>1870</v>
      </c>
      <c r="W173" s="113" t="s">
        <v>1868</v>
      </c>
      <c r="X173" s="113" t="s">
        <v>1869</v>
      </c>
      <c r="Y173" s="113" t="s">
        <v>73</v>
      </c>
      <c r="Z173" s="113" t="s">
        <v>70</v>
      </c>
      <c r="AA173" s="113" t="s">
        <v>1233</v>
      </c>
      <c r="AB173" s="113"/>
      <c r="AC173" s="113" t="s">
        <v>741</v>
      </c>
      <c r="AD173" s="113" t="s">
        <v>1038</v>
      </c>
      <c r="AE173" s="113"/>
      <c r="AF173" s="113"/>
      <c r="AG173" s="113"/>
      <c r="AH173" s="113" t="s">
        <v>52</v>
      </c>
      <c r="AI173" s="113" t="s">
        <v>253</v>
      </c>
      <c r="AJ173" s="113" t="str">
        <f t="shared" si="196"/>
        <v/>
      </c>
      <c r="AK173" s="113"/>
      <c r="AL173" s="113" t="s">
        <v>1475</v>
      </c>
      <c r="AM173" s="113" t="s">
        <v>854</v>
      </c>
      <c r="AN173" s="129">
        <v>33386</v>
      </c>
      <c r="AO173" s="113"/>
      <c r="AP173" s="113"/>
      <c r="AQ173" s="113"/>
      <c r="AR173" s="113"/>
      <c r="AS173" s="165"/>
      <c r="AT173" s="129">
        <v>42091</v>
      </c>
      <c r="AU173" s="129">
        <v>42091</v>
      </c>
      <c r="AV173" s="113"/>
      <c r="AW173" s="187"/>
      <c r="AX173" s="113"/>
      <c r="AY173" s="113"/>
      <c r="AZ173" s="113"/>
      <c r="BA173" s="113"/>
      <c r="BB173" s="113"/>
      <c r="BC173" s="165"/>
      <c r="BD173" s="113"/>
      <c r="BE173" s="165"/>
      <c r="BF173" s="113"/>
      <c r="BG173" s="165"/>
      <c r="BH173" s="274"/>
      <c r="BI173" s="113"/>
      <c r="BJ173" s="165"/>
      <c r="BK173" s="113"/>
      <c r="BL173" s="113"/>
      <c r="BM173" s="165"/>
      <c r="BN173" s="113"/>
      <c r="BO173" s="113"/>
      <c r="BP173" s="165"/>
      <c r="BQ173" s="113"/>
      <c r="BR173" s="113"/>
      <c r="BS173" s="187">
        <v>42093</v>
      </c>
      <c r="BT173" s="129">
        <v>42093</v>
      </c>
      <c r="BU173" s="129">
        <v>42093</v>
      </c>
      <c r="BV173" s="165"/>
      <c r="BW173" s="532" t="str">
        <f t="shared" si="179"/>
        <v/>
      </c>
      <c r="BX173" s="532" t="str">
        <f t="shared" ref="BX173:BX204" si="198">IF(O173="n","",COUNT(BM173,BJ173,BG173,BE173,BC173,AW173,AV173,AU173,AT173,AS173,AZ173))</f>
        <v/>
      </c>
      <c r="BY173" s="532" t="str">
        <f t="shared" si="144"/>
        <v/>
      </c>
      <c r="BZ173" s="533" t="str">
        <f t="shared" si="185"/>
        <v/>
      </c>
      <c r="CA173" s="165" t="str">
        <f t="shared" si="197"/>
        <v/>
      </c>
      <c r="CB173" s="129" t="str">
        <f t="shared" si="186"/>
        <v/>
      </c>
      <c r="CC173" s="113" t="str">
        <f t="shared" ca="1" si="187"/>
        <v/>
      </c>
      <c r="CD173" s="113" t="str">
        <f t="shared" si="188"/>
        <v/>
      </c>
      <c r="CE173" s="113" t="str">
        <f t="shared" si="189"/>
        <v/>
      </c>
      <c r="CF173" s="534" t="str">
        <f t="shared" si="190"/>
        <v/>
      </c>
      <c r="CG173" s="535" t="str">
        <f t="shared" si="191"/>
        <v/>
      </c>
      <c r="CH173" s="113" t="str">
        <f t="shared" si="192"/>
        <v/>
      </c>
      <c r="CI173" s="129" t="str">
        <f t="shared" si="193"/>
        <v/>
      </c>
      <c r="CJ173" s="129" t="str">
        <f t="shared" si="146"/>
        <v/>
      </c>
      <c r="CK173" s="113">
        <f t="shared" si="147"/>
        <v>6</v>
      </c>
      <c r="CL173" s="113">
        <f t="shared" si="148"/>
        <v>2</v>
      </c>
      <c r="CM173" s="113">
        <f t="shared" si="149"/>
        <v>5</v>
      </c>
      <c r="CN173" s="113">
        <f t="shared" si="150"/>
        <v>2</v>
      </c>
      <c r="CO173" s="113">
        <f t="shared" si="151"/>
        <v>4</v>
      </c>
      <c r="CP173" s="113">
        <f t="shared" si="152"/>
        <v>4</v>
      </c>
      <c r="CQ173" s="113">
        <f t="shared" si="153"/>
        <v>6</v>
      </c>
      <c r="CR173" s="113">
        <f t="shared" si="154"/>
        <v>6</v>
      </c>
      <c r="CS173" s="113">
        <f t="shared" si="155"/>
        <v>2</v>
      </c>
      <c r="CT173" s="113">
        <f t="shared" si="180"/>
        <v>3</v>
      </c>
      <c r="CU173" s="113">
        <f t="shared" si="181"/>
        <v>2</v>
      </c>
      <c r="CV173" s="113">
        <f t="shared" si="182"/>
        <v>3</v>
      </c>
      <c r="CW173" s="113">
        <f t="shared" si="159"/>
        <v>2</v>
      </c>
      <c r="CX173" s="113">
        <f t="shared" si="160"/>
        <v>6</v>
      </c>
      <c r="CY173" s="113">
        <f t="shared" si="161"/>
        <v>6</v>
      </c>
    </row>
    <row r="174" spans="1:103" s="321" customFormat="1" x14ac:dyDescent="0.25">
      <c r="A174" s="384">
        <v>190</v>
      </c>
      <c r="B174" s="318">
        <v>42093</v>
      </c>
      <c r="C174" s="317">
        <v>1082390</v>
      </c>
      <c r="D174" s="317" t="s">
        <v>1889</v>
      </c>
      <c r="E174" s="317" t="str">
        <f t="shared" si="194"/>
        <v/>
      </c>
      <c r="F174" s="317" t="str">
        <f t="shared" si="195"/>
        <v xml:space="preserve">JO, Contract, COE, 2x2, </v>
      </c>
      <c r="G174" s="321" t="s">
        <v>474</v>
      </c>
      <c r="H174" s="317"/>
      <c r="I174" s="317"/>
      <c r="J174" s="317"/>
      <c r="K174" s="152" t="str">
        <f t="shared" ca="1" si="145"/>
        <v/>
      </c>
      <c r="L174" s="317"/>
      <c r="M174" s="318">
        <v>42102</v>
      </c>
      <c r="N174" s="153" t="str">
        <f t="shared" si="142"/>
        <v/>
      </c>
      <c r="O174" s="317" t="s">
        <v>302</v>
      </c>
      <c r="P174" s="317"/>
      <c r="Q174" s="317"/>
      <c r="R174" s="317">
        <v>9055691529</v>
      </c>
      <c r="S174" s="153">
        <f t="shared" si="183"/>
        <v>9055691529</v>
      </c>
      <c r="T174" s="153" t="str">
        <f t="shared" si="184"/>
        <v/>
      </c>
      <c r="U174" s="321" t="s">
        <v>2024</v>
      </c>
      <c r="V174" s="317" t="s">
        <v>1873</v>
      </c>
      <c r="W174" s="317" t="s">
        <v>1872</v>
      </c>
      <c r="X174" s="317"/>
      <c r="Y174" s="317" t="s">
        <v>73</v>
      </c>
      <c r="Z174" s="317" t="s">
        <v>70</v>
      </c>
      <c r="AA174" s="317" t="s">
        <v>1233</v>
      </c>
      <c r="AB174" s="317"/>
      <c r="AC174" s="317" t="s">
        <v>741</v>
      </c>
      <c r="AD174" s="317" t="s">
        <v>1038</v>
      </c>
      <c r="AE174" s="317"/>
      <c r="AF174" s="317"/>
      <c r="AG174" s="317"/>
      <c r="AH174" s="317" t="s">
        <v>52</v>
      </c>
      <c r="AI174" s="317" t="s">
        <v>253</v>
      </c>
      <c r="AJ174" s="153" t="str">
        <f t="shared" si="196"/>
        <v/>
      </c>
      <c r="AK174" s="317"/>
      <c r="AL174" s="317" t="s">
        <v>247</v>
      </c>
      <c r="AM174" s="317" t="s">
        <v>854</v>
      </c>
      <c r="AN174" s="318"/>
      <c r="AO174" s="317" t="s">
        <v>1973</v>
      </c>
      <c r="AP174" s="317" t="s">
        <v>1973</v>
      </c>
      <c r="AQ174" s="317" t="s">
        <v>50</v>
      </c>
      <c r="AR174" s="317" t="s">
        <v>378</v>
      </c>
      <c r="AS174" s="332">
        <v>42101</v>
      </c>
      <c r="AT174" s="318">
        <v>42091</v>
      </c>
      <c r="AU174" s="318">
        <v>42091</v>
      </c>
      <c r="AV174" s="318">
        <v>42107</v>
      </c>
      <c r="AW174" s="332">
        <v>42101</v>
      </c>
      <c r="AX174" s="317" t="s">
        <v>1974</v>
      </c>
      <c r="AY174" s="317"/>
      <c r="AZ174" s="318">
        <v>42101</v>
      </c>
      <c r="BA174" s="318">
        <v>42101</v>
      </c>
      <c r="BB174" s="317"/>
      <c r="BC174" s="332">
        <v>42101</v>
      </c>
      <c r="BD174" s="317" t="s">
        <v>1975</v>
      </c>
      <c r="BE174" s="332">
        <v>42110</v>
      </c>
      <c r="BF174" s="317" t="s">
        <v>2329</v>
      </c>
      <c r="BG174" s="332">
        <v>42101</v>
      </c>
      <c r="BH174" s="385" t="s">
        <v>1972</v>
      </c>
      <c r="BI174" s="318">
        <v>42101</v>
      </c>
      <c r="BJ174" s="332">
        <v>42101</v>
      </c>
      <c r="BK174" s="317"/>
      <c r="BL174" s="317"/>
      <c r="BM174" s="332">
        <v>42101</v>
      </c>
      <c r="BN174" s="317"/>
      <c r="BO174" s="317"/>
      <c r="BP174" s="337"/>
      <c r="BQ174" s="318">
        <v>42101</v>
      </c>
      <c r="BR174" s="317"/>
      <c r="BS174" s="332"/>
      <c r="BT174" s="318"/>
      <c r="BU174" s="318">
        <v>42104</v>
      </c>
      <c r="BV174" s="337"/>
      <c r="BW174" s="398" t="str">
        <f t="shared" si="179"/>
        <v xml:space="preserve">1905 4/7/2015, 2305 4/7/2015, MDR 4/7/2015, </v>
      </c>
      <c r="BX174" s="398">
        <f t="shared" si="198"/>
        <v>11</v>
      </c>
      <c r="BY174" s="398">
        <f t="shared" si="144"/>
        <v>11</v>
      </c>
      <c r="BZ174" s="399">
        <f t="shared" si="185"/>
        <v>1</v>
      </c>
      <c r="CA174" s="168" t="str">
        <f t="shared" si="197"/>
        <v/>
      </c>
      <c r="CB174" s="151" t="str">
        <f t="shared" si="186"/>
        <v/>
      </c>
      <c r="CC174" s="153" t="str">
        <f t="shared" ca="1" si="187"/>
        <v/>
      </c>
      <c r="CD174" s="153" t="str">
        <f t="shared" si="188"/>
        <v/>
      </c>
      <c r="CE174" s="153" t="str">
        <f t="shared" si="189"/>
        <v/>
      </c>
      <c r="CF174" s="396" t="str">
        <f t="shared" si="190"/>
        <v/>
      </c>
      <c r="CG174" s="397" t="str">
        <f t="shared" si="191"/>
        <v/>
      </c>
      <c r="CH174" s="153" t="str">
        <f t="shared" si="192"/>
        <v/>
      </c>
      <c r="CI174" s="151" t="str">
        <f t="shared" si="193"/>
        <v/>
      </c>
      <c r="CJ174" s="151" t="str">
        <f t="shared" si="146"/>
        <v/>
      </c>
      <c r="CK174" s="153">
        <f t="shared" si="147"/>
        <v>7</v>
      </c>
      <c r="CL174" s="153">
        <f t="shared" si="148"/>
        <v>3</v>
      </c>
      <c r="CM174" s="153">
        <f t="shared" si="149"/>
        <v>6</v>
      </c>
      <c r="CN174" s="153">
        <f t="shared" si="150"/>
        <v>3</v>
      </c>
      <c r="CO174" s="153">
        <f t="shared" si="151"/>
        <v>5</v>
      </c>
      <c r="CP174" s="153">
        <f t="shared" si="152"/>
        <v>5</v>
      </c>
      <c r="CQ174" s="153">
        <f t="shared" si="153"/>
        <v>7</v>
      </c>
      <c r="CR174" s="153">
        <f t="shared" si="154"/>
        <v>7</v>
      </c>
      <c r="CS174" s="153">
        <f t="shared" si="155"/>
        <v>3</v>
      </c>
      <c r="CT174" s="153">
        <f t="shared" si="180"/>
        <v>4</v>
      </c>
      <c r="CU174" s="153">
        <f t="shared" si="181"/>
        <v>3</v>
      </c>
      <c r="CV174" s="153">
        <f t="shared" si="182"/>
        <v>4</v>
      </c>
      <c r="CW174" s="153">
        <f t="shared" si="159"/>
        <v>3</v>
      </c>
      <c r="CX174" s="153">
        <f t="shared" si="160"/>
        <v>6</v>
      </c>
      <c r="CY174" s="153">
        <f t="shared" si="161"/>
        <v>7</v>
      </c>
    </row>
    <row r="175" spans="1:103" s="8" customFormat="1" x14ac:dyDescent="0.25">
      <c r="A175" s="132">
        <v>190</v>
      </c>
      <c r="B175" s="129">
        <v>42093</v>
      </c>
      <c r="C175" s="113">
        <v>1082391</v>
      </c>
      <c r="D175" s="113" t="s">
        <v>1890</v>
      </c>
      <c r="E175" s="113" t="str">
        <f t="shared" si="194"/>
        <v/>
      </c>
      <c r="F175" s="113" t="str">
        <f t="shared" si="195"/>
        <v/>
      </c>
      <c r="G175" s="8" t="s">
        <v>474</v>
      </c>
      <c r="H175" s="113"/>
      <c r="I175" s="129">
        <v>42093</v>
      </c>
      <c r="J175" s="113"/>
      <c r="K175" s="132" t="str">
        <f t="shared" ca="1" si="145"/>
        <v/>
      </c>
      <c r="L175" s="113"/>
      <c r="M175" s="113"/>
      <c r="N175" s="113" t="str">
        <f t="shared" si="142"/>
        <v/>
      </c>
      <c r="O175" s="113" t="s">
        <v>298</v>
      </c>
      <c r="P175" s="113" t="s">
        <v>689</v>
      </c>
      <c r="Q175" s="113" t="s">
        <v>1877</v>
      </c>
      <c r="R175" s="113">
        <v>9352680977</v>
      </c>
      <c r="S175" s="113">
        <f t="shared" si="183"/>
        <v>9352680977</v>
      </c>
      <c r="T175" s="113" t="str">
        <f t="shared" si="184"/>
        <v/>
      </c>
      <c r="U175" s="8" t="s">
        <v>2025</v>
      </c>
      <c r="V175" s="113" t="s">
        <v>1876</v>
      </c>
      <c r="W175" s="113" t="s">
        <v>1874</v>
      </c>
      <c r="X175" s="113" t="s">
        <v>1875</v>
      </c>
      <c r="Y175" s="113" t="s">
        <v>73</v>
      </c>
      <c r="Z175" s="113" t="s">
        <v>70</v>
      </c>
      <c r="AA175" s="113" t="s">
        <v>1233</v>
      </c>
      <c r="AB175" s="113"/>
      <c r="AC175" s="113" t="s">
        <v>741</v>
      </c>
      <c r="AD175" s="113" t="s">
        <v>1038</v>
      </c>
      <c r="AE175" s="113"/>
      <c r="AF175" s="113"/>
      <c r="AG175" s="113"/>
      <c r="AH175" s="113" t="s">
        <v>52</v>
      </c>
      <c r="AI175" s="113" t="s">
        <v>1846</v>
      </c>
      <c r="AJ175" s="113" t="str">
        <f t="shared" si="196"/>
        <v/>
      </c>
      <c r="AK175" s="113"/>
      <c r="AL175" s="113" t="s">
        <v>247</v>
      </c>
      <c r="AM175" s="113" t="s">
        <v>854</v>
      </c>
      <c r="AN175" s="129">
        <v>33046</v>
      </c>
      <c r="AO175" s="113" t="s">
        <v>1906</v>
      </c>
      <c r="AP175" s="113"/>
      <c r="AQ175" s="113" t="s">
        <v>53</v>
      </c>
      <c r="AR175" s="113" t="s">
        <v>378</v>
      </c>
      <c r="AS175" s="187">
        <v>42091</v>
      </c>
      <c r="AT175" s="129">
        <v>42091</v>
      </c>
      <c r="AU175" s="129">
        <v>42091</v>
      </c>
      <c r="AV175" s="113"/>
      <c r="AW175" s="187"/>
      <c r="AX175" s="113"/>
      <c r="AY175" s="113"/>
      <c r="AZ175" s="113"/>
      <c r="BA175" s="113"/>
      <c r="BB175" s="113"/>
      <c r="BC175" s="187">
        <v>42094</v>
      </c>
      <c r="BD175" s="113" t="s">
        <v>1901</v>
      </c>
      <c r="BE175" s="165"/>
      <c r="BF175" s="113"/>
      <c r="BG175" s="165"/>
      <c r="BH175" s="274"/>
      <c r="BI175" s="113"/>
      <c r="BJ175" s="187">
        <v>42094</v>
      </c>
      <c r="BK175" s="113"/>
      <c r="BL175" s="113"/>
      <c r="BM175" s="187">
        <v>42094</v>
      </c>
      <c r="BN175" s="113"/>
      <c r="BO175" s="113"/>
      <c r="BP175" s="165"/>
      <c r="BQ175" s="129">
        <v>42094</v>
      </c>
      <c r="BR175" s="113"/>
      <c r="BS175" s="187">
        <v>42093</v>
      </c>
      <c r="BT175" s="129">
        <v>42093</v>
      </c>
      <c r="BU175" s="129">
        <v>42093</v>
      </c>
      <c r="BV175" s="165"/>
      <c r="BW175" s="532" t="str">
        <f t="shared" si="179"/>
        <v/>
      </c>
      <c r="BX175" s="532" t="str">
        <f t="shared" si="198"/>
        <v/>
      </c>
      <c r="BY175" s="532" t="str">
        <f t="shared" si="144"/>
        <v/>
      </c>
      <c r="BZ175" s="533" t="str">
        <f t="shared" si="185"/>
        <v/>
      </c>
      <c r="CA175" s="165" t="str">
        <f t="shared" si="197"/>
        <v/>
      </c>
      <c r="CB175" s="129" t="str">
        <f t="shared" si="186"/>
        <v/>
      </c>
      <c r="CC175" s="113" t="str">
        <f t="shared" ca="1" si="187"/>
        <v/>
      </c>
      <c r="CD175" s="113" t="str">
        <f t="shared" si="188"/>
        <v/>
      </c>
      <c r="CE175" s="113" t="str">
        <f t="shared" si="189"/>
        <v/>
      </c>
      <c r="CF175" s="534" t="str">
        <f t="shared" si="190"/>
        <v/>
      </c>
      <c r="CG175" s="535" t="str">
        <f t="shared" si="191"/>
        <v/>
      </c>
      <c r="CH175" s="113" t="str">
        <f t="shared" si="192"/>
        <v/>
      </c>
      <c r="CI175" s="129" t="str">
        <f t="shared" si="193"/>
        <v/>
      </c>
      <c r="CJ175" s="129" t="str">
        <f t="shared" si="146"/>
        <v/>
      </c>
      <c r="CK175" s="113">
        <f t="shared" si="147"/>
        <v>7</v>
      </c>
      <c r="CL175" s="113">
        <f t="shared" si="148"/>
        <v>3</v>
      </c>
      <c r="CM175" s="113">
        <f t="shared" si="149"/>
        <v>6</v>
      </c>
      <c r="CN175" s="113">
        <f t="shared" si="150"/>
        <v>3</v>
      </c>
      <c r="CO175" s="113">
        <f t="shared" si="151"/>
        <v>5</v>
      </c>
      <c r="CP175" s="113">
        <f t="shared" si="152"/>
        <v>5</v>
      </c>
      <c r="CQ175" s="113">
        <f t="shared" si="153"/>
        <v>7</v>
      </c>
      <c r="CR175" s="113">
        <f t="shared" si="154"/>
        <v>7</v>
      </c>
      <c r="CS175" s="113">
        <f t="shared" si="155"/>
        <v>3</v>
      </c>
      <c r="CT175" s="113">
        <f t="shared" si="180"/>
        <v>4</v>
      </c>
      <c r="CU175" s="113">
        <f t="shared" si="181"/>
        <v>3</v>
      </c>
      <c r="CV175" s="113">
        <f t="shared" si="182"/>
        <v>4</v>
      </c>
      <c r="CW175" s="113">
        <f t="shared" si="159"/>
        <v>3</v>
      </c>
      <c r="CX175" s="113">
        <f t="shared" si="160"/>
        <v>7</v>
      </c>
      <c r="CY175" s="113">
        <f t="shared" si="161"/>
        <v>7</v>
      </c>
    </row>
    <row r="176" spans="1:103" s="321" customFormat="1" x14ac:dyDescent="0.25">
      <c r="A176" s="384">
        <v>190</v>
      </c>
      <c r="B176" s="318">
        <v>42093</v>
      </c>
      <c r="C176" s="317">
        <v>1082392</v>
      </c>
      <c r="D176" s="317" t="s">
        <v>1894</v>
      </c>
      <c r="E176" s="317" t="str">
        <f t="shared" si="194"/>
        <v/>
      </c>
      <c r="F176" s="317" t="str">
        <f t="shared" si="195"/>
        <v xml:space="preserve">MDR, TOR, COE, 2x2, </v>
      </c>
      <c r="G176" s="321" t="s">
        <v>474</v>
      </c>
      <c r="H176" s="317"/>
      <c r="I176" s="318">
        <v>42094</v>
      </c>
      <c r="J176" s="317"/>
      <c r="K176" s="152" t="str">
        <f t="shared" ref="K176:K239" ca="1" si="199">IF(IF(OR(O176="c",O176="n"),"",IF(L176="",IF((TODAY()-B176)&gt;20,"Dedlyn!",(B176+18)-TODAY()),L176-TODAY()))&lt;1,"Dedlyn!",IF(OR(O176="c",O176="n"),"",IF(L176="",IF((TODAY()-B176)&gt;20,"Dedlyn!",(B176+18)-TODAY()),L176-TODAY())))</f>
        <v/>
      </c>
      <c r="L176" s="317"/>
      <c r="M176" s="317"/>
      <c r="N176" s="153" t="str">
        <f t="shared" si="142"/>
        <v>READY!</v>
      </c>
      <c r="O176" s="317" t="s">
        <v>302</v>
      </c>
      <c r="P176" s="317"/>
      <c r="Q176" s="112" t="s">
        <v>1893</v>
      </c>
      <c r="R176" s="112">
        <v>9156483330</v>
      </c>
      <c r="S176" s="153">
        <f>IFERROR(IF(SEARCH("/",R176)&gt;0,REPLACE(R176,11,11,""),R176),R176)</f>
        <v>9156483330</v>
      </c>
      <c r="T176" s="153" t="str">
        <f>IFERROR(IF(SEARCH("/",R176)&gt;0,REPLACE(R176,1,11,""),""),"")</f>
        <v/>
      </c>
      <c r="U176" s="1" t="s">
        <v>2026</v>
      </c>
      <c r="V176" s="112" t="s">
        <v>616</v>
      </c>
      <c r="W176" s="112" t="s">
        <v>1891</v>
      </c>
      <c r="X176" s="112" t="s">
        <v>1892</v>
      </c>
      <c r="Y176" s="112" t="s">
        <v>1895</v>
      </c>
      <c r="Z176" s="112" t="s">
        <v>128</v>
      </c>
      <c r="AA176" s="112" t="s">
        <v>1232</v>
      </c>
      <c r="AB176" s="112"/>
      <c r="AC176" s="112" t="s">
        <v>741</v>
      </c>
      <c r="AD176" s="112" t="s">
        <v>1038</v>
      </c>
      <c r="AE176" s="112"/>
      <c r="AF176" s="112"/>
      <c r="AG176" s="112"/>
      <c r="AH176" s="10" t="s">
        <v>52</v>
      </c>
      <c r="AI176" s="112" t="s">
        <v>253</v>
      </c>
      <c r="AJ176" s="153" t="str">
        <f t="shared" si="196"/>
        <v/>
      </c>
      <c r="AK176" s="112"/>
      <c r="AL176" s="112" t="s">
        <v>1144</v>
      </c>
      <c r="AM176" s="112" t="s">
        <v>854</v>
      </c>
      <c r="AN176" s="170">
        <v>33574</v>
      </c>
      <c r="AO176" s="112" t="s">
        <v>1923</v>
      </c>
      <c r="AP176" s="112"/>
      <c r="AQ176" s="112" t="s">
        <v>53</v>
      </c>
      <c r="AR176" s="112" t="s">
        <v>378</v>
      </c>
      <c r="AS176" s="169">
        <v>42094</v>
      </c>
      <c r="AT176" s="170">
        <v>42094</v>
      </c>
      <c r="AU176" s="170">
        <v>42094</v>
      </c>
      <c r="AV176" s="170">
        <v>42094</v>
      </c>
      <c r="AW176" s="169">
        <v>42094</v>
      </c>
      <c r="AX176" s="112" t="s">
        <v>1925</v>
      </c>
      <c r="AY176" s="112"/>
      <c r="AZ176" s="170">
        <v>42094</v>
      </c>
      <c r="BA176" s="170">
        <v>42107</v>
      </c>
      <c r="BB176" s="112"/>
      <c r="BC176" s="169">
        <v>42094</v>
      </c>
      <c r="BD176" s="112" t="s">
        <v>1924</v>
      </c>
      <c r="BE176" s="169">
        <v>42094</v>
      </c>
      <c r="BF176" s="112" t="s">
        <v>1921</v>
      </c>
      <c r="BG176" s="169">
        <v>42094</v>
      </c>
      <c r="BH176" s="188" t="s">
        <v>1922</v>
      </c>
      <c r="BI176" s="112"/>
      <c r="BJ176" s="169">
        <v>42118</v>
      </c>
      <c r="BK176" s="112"/>
      <c r="BL176" s="112"/>
      <c r="BM176" s="169">
        <v>42094</v>
      </c>
      <c r="BN176" s="112"/>
      <c r="BO176" s="112"/>
      <c r="BP176" s="169"/>
      <c r="BQ176" s="112"/>
      <c r="BR176" s="112"/>
      <c r="BS176" s="169">
        <v>42093</v>
      </c>
      <c r="BT176" s="170">
        <v>42093</v>
      </c>
      <c r="BU176" s="170">
        <v>42093</v>
      </c>
      <c r="BV176" s="159"/>
      <c r="BW176" s="398" t="str">
        <f t="shared" si="179"/>
        <v xml:space="preserve">1905 (for processing) 3/31/2015, 2305 (for processing) 4/13/2015, </v>
      </c>
      <c r="BX176" s="398">
        <f t="shared" si="198"/>
        <v>11</v>
      </c>
      <c r="BY176" s="398">
        <f t="shared" si="144"/>
        <v>11</v>
      </c>
      <c r="BZ176" s="399">
        <f>IFERROR(BX176/BY176,"")</f>
        <v>1</v>
      </c>
      <c r="CA176" s="168" t="str">
        <f t="shared" si="197"/>
        <v/>
      </c>
      <c r="CB176" s="151" t="str">
        <f>IFERROR(CA176*7+40763,"")</f>
        <v/>
      </c>
      <c r="CC176" s="153" t="str">
        <f ca="1">IFERROR(ROUND(IF(CB176="","",(TODAY()-CB176)/7)+1,0),"")</f>
        <v/>
      </c>
      <c r="CD176" s="153" t="str">
        <f>IF(CG176="","",CY176)</f>
        <v/>
      </c>
      <c r="CE176" s="153" t="str">
        <f>IF(CG176="","",CW176)</f>
        <v/>
      </c>
      <c r="CF176" s="396" t="str">
        <f>IF(CG176="","",CY176-CW176)</f>
        <v/>
      </c>
      <c r="CG176" s="397" t="str">
        <f>IF(CB176="","",SUM(CK176:CU176)/((CY176)*11))</f>
        <v/>
      </c>
      <c r="CH176" s="153" t="str">
        <f>IF(CB176="","",IF(MIN(CK176:CU176)&gt;CY176,"",CONCATENATE(IF(SUM(IF(CK176&lt;CL176,1,0),IF(CK176&lt;CM176,1,0),IF(CK176&lt;CN176,1,0),IF(CK176&lt;CO176,1,0),IF(CK176&lt;CP176,1,0),IF(CK176&lt;CQ176,1,0),IF(CK176&lt;CR176,1,0),IF(CK176&lt;CS176,1,0),IF(CK176&lt;CT176,1,0),IF(CK176&lt;CU176,1,0))&gt;7,"SSS ("&amp;CY176-CK176&amp;") ",""),IF(SUM(IF(CL176&lt;CK176,1,0),IF(CL176&lt;CM176,1,0),IF(CL176&lt;CN176,1,0),IF(CL176&lt;CO176,1,0),IF(CL176&lt;CP176,1,0),IF(CL176&lt;CQ176,1,0),IF(CL176&lt;CR176,1,0),IF(CL176&lt;CS176,1,0),IF(CL176&lt;CT176,1,0),IF(CL176&lt;CU176,1,0))&gt;7,"HDMF ("&amp;CY176-CL176&amp;") ",""),IF(SUM(IF(CM176&lt;CK176,1,0),IF(CM176&lt;CL176,1,0),IF(CM176&lt;CN176,1,0),IF(CM176&lt;CO176,1,0),IF(CM176&lt;CP176,1,0),IF(CM176&lt;CQ176,1,0),IF(CM176&lt;CR176,1,0),IF(CM176&lt;CS176,1,0),IF(CM176&lt;CT176,1,0),IF(CM176&lt;CU176,1,0))&gt;7,"PHIC ("&amp;CY176-CM176&amp;") ",""),IF(SUM(IF(CN176&lt;CK176,1,0),IF(CN176&lt;CL176,1,0),IF(CN176&lt;CM176,1,0),IF(CN176&lt;CO176,1,0),IF(CN176&lt;CP176,1,0),IF(CN176&lt;CQ176,1,0),IF(CN176&lt;CR176,1,0),IF(CN176&lt;CS176,1,0),IF(CN176&lt;CT176,1,0),IF(CN176&lt;CU176,1,0))&gt;7,"NBI ("&amp;CY176-CN176&amp;") ",""),IF(SUM(IF(CO176&lt;CK176,1,0),IF(CO176&lt;CL176,1,0),IF(CO176&lt;CN176,1,0),IF(CO176&lt;CM176,1,0),IF(CO176&lt;CP176,1,0),IF(CO176&lt;CQ176,1,0),IF(CO176&lt;CR176,1,0),IF(CO176&lt;CS176,1,0),IF(CO176&lt;CT176,1,0),IF(CO176&lt;CU176,1,0))&gt;7,"NSO ("&amp;CY176-CO176&amp;") ",""),IF(SUM(IF(CP176&lt;CK176,1,0),IF(CP176&lt;CL176,1,0),IF(CP176&lt;CN176,1,0),IF(CP176&lt;CO176,1,0),IF(CP176&lt;CM176,1,0),IF(CP176&lt;CQ176,1,0),IF(CP176&lt;CR176,1,0),IF(CP176&lt;CS176,1,0),IF(CP176&lt;CT176,1,0),IF(CP176&lt;CU176,1,0))&gt;7,"Info ("&amp;CY176-CP176&amp;") ",""),IF(SUM(IF(CQ176&lt;CK176,1,0),IF(CQ176&lt;CL176,1,0),IF(CQ176&lt;CN176,1,0),IF(CQ176&lt;CO176,1,0),IF(CQ176&lt;CP176,1,0),IF(CQ176&lt;CM176,1,0),IF(CQ176&lt;CR176,1,0),IF(CQ176&lt;CS176,1,0),IF(CQ176&lt;CT176,1,0),IF(CQ176&lt;CU176,1,0))&gt;7,"AWOL ("&amp;CY176-CQ176&amp;") ",""),IF(SUM(IF(CR176&lt;CK176,1,0),IF(CR176&lt;CL176,1,0),IF(CR176&lt;CN176,1,0),IF(CR176&lt;CO176,1,0),IF(CR176&lt;CP176,1,0),IF(CR176&lt;CQ176,1,0),IF(CR176&lt;CM176,1,0),IF(CR176&lt;CS176,1,0),IF(CR176&lt;CT176,1,0),IF(CR176&lt;CU176,1,0))&gt;7,"Hand ("&amp;CY176-CR176&amp;") ",""),IF(SUM(IF(CS176&lt;CK176,1,0),IF(CS176&lt;CL176,1,0),IF(CS176&lt;CN176,1,0),IF(CS176&lt;CO176,1,0),IF(CS176&lt;CP176,1,0),IF(CS176&lt;CQ176,1,0),IF(CS176&lt;CR176,1,0),IF(CS176&lt;CM176,1,0),IF(CS176&lt;CT176,1,0),IF(CS176&lt;CU176,1,0))&gt;7,"Waiver ("&amp;CY176-CS176&amp;") ",""),IF(SUM(IF(CT176&lt;CK176,1,0),IF(CT176&lt;CL176,1,0),IF(CT176&lt;CN176,1,0),IF(CT176&lt;CO176,1,0),IF(CT176&lt;CP176,1,0),IF(CT176&lt;CQ176,1,0),IF(CT176&lt;CR176,1,0),IF(CT176&lt;CS176,1,0),IF(CT176&lt;CM176,1,0),IF(CT176&lt;CU176,1,0))&gt;7,"TIN ("&amp;CY176-CT176&amp;") ",""),IF(SUM(IF(CU176&lt;CK176,1,0),IF(CU176&lt;CL176,1,0),IF(CU176&lt;CN176,1,0),IF(CU176&lt;CO176,1,0),IF(CU176&lt;CP176,1,0),IF(CU176&lt;CQ176,1,0),IF(CU176&lt;CR176,1,0),IF(CU176&lt;CS176,1,0),IF(CU176&lt;CT176,1,0),IF(CU176&lt;CM176,1,0))&gt;7,"1905 ("&amp;CY176-CU176&amp;") ",""))))</f>
        <v/>
      </c>
      <c r="CI176" s="151" t="str">
        <f>IF(CA176="","",CJ176)</f>
        <v/>
      </c>
      <c r="CJ176" s="151" t="str">
        <f t="shared" si="146"/>
        <v/>
      </c>
      <c r="CK176" s="153">
        <f t="shared" si="147"/>
        <v>8</v>
      </c>
      <c r="CL176" s="153">
        <f t="shared" si="148"/>
        <v>4</v>
      </c>
      <c r="CM176" s="153">
        <f t="shared" si="149"/>
        <v>7</v>
      </c>
      <c r="CN176" s="153">
        <f t="shared" si="150"/>
        <v>4</v>
      </c>
      <c r="CO176" s="153">
        <f t="shared" si="151"/>
        <v>6</v>
      </c>
      <c r="CP176" s="153">
        <f t="shared" si="152"/>
        <v>6</v>
      </c>
      <c r="CQ176" s="153">
        <f t="shared" si="153"/>
        <v>8</v>
      </c>
      <c r="CR176" s="153">
        <f t="shared" si="154"/>
        <v>8</v>
      </c>
      <c r="CS176" s="153">
        <f t="shared" si="155"/>
        <v>4</v>
      </c>
      <c r="CT176" s="153">
        <f t="shared" si="180"/>
        <v>5</v>
      </c>
      <c r="CU176" s="153">
        <f t="shared" si="181"/>
        <v>4</v>
      </c>
      <c r="CV176" s="153">
        <f t="shared" si="182"/>
        <v>5</v>
      </c>
      <c r="CW176" s="153">
        <f t="shared" si="159"/>
        <v>4</v>
      </c>
      <c r="CX176" s="153">
        <f t="shared" si="160"/>
        <v>7</v>
      </c>
      <c r="CY176" s="153">
        <f t="shared" si="161"/>
        <v>8</v>
      </c>
    </row>
    <row r="177" spans="1:103" s="228" customFormat="1" ht="15.75" thickBot="1" x14ac:dyDescent="0.3">
      <c r="A177" s="230">
        <v>190</v>
      </c>
      <c r="B177" s="229"/>
      <c r="C177" s="228">
        <v>1082393</v>
      </c>
      <c r="D177" s="228" t="s">
        <v>1929</v>
      </c>
      <c r="K177" s="491" t="str">
        <f t="shared" ca="1" si="199"/>
        <v/>
      </c>
      <c r="N177" s="487" t="str">
        <f t="shared" si="142"/>
        <v/>
      </c>
      <c r="O177" s="228" t="s">
        <v>298</v>
      </c>
      <c r="S177" s="487">
        <f t="shared" ref="S177:S188" si="200">IFERROR(IF(SEARCH("/",R177)&gt;0,REPLACE(R177,11,11,""),R177),R177)</f>
        <v>0</v>
      </c>
      <c r="T177" s="487" t="str">
        <f t="shared" ref="T177:T188" si="201">IFERROR(IF(SEARCH("/",R177)&gt;0,REPLACE(R177,1,11,""),""),"")</f>
        <v/>
      </c>
      <c r="V177" s="228" t="s">
        <v>2006</v>
      </c>
      <c r="W177" s="228" t="s">
        <v>2007</v>
      </c>
      <c r="Y177" s="228" t="s">
        <v>2008</v>
      </c>
      <c r="Z177" s="228" t="s">
        <v>128</v>
      </c>
      <c r="AH177" s="228" t="s">
        <v>52</v>
      </c>
      <c r="AJ177" s="487" t="str">
        <f t="shared" si="196"/>
        <v/>
      </c>
      <c r="AN177" s="229"/>
      <c r="AS177" s="233"/>
      <c r="AW177" s="231"/>
      <c r="BC177" s="233"/>
      <c r="BE177" s="233"/>
      <c r="BG177" s="233"/>
      <c r="BH177" s="234"/>
      <c r="BJ177" s="233"/>
      <c r="BM177" s="233"/>
      <c r="BP177" s="233"/>
      <c r="BS177" s="231"/>
      <c r="BT177" s="229"/>
      <c r="BU177" s="229"/>
      <c r="BV177" s="233"/>
      <c r="BW177" s="522" t="str">
        <f t="shared" si="179"/>
        <v/>
      </c>
      <c r="BX177" s="522" t="str">
        <f t="shared" si="198"/>
        <v/>
      </c>
      <c r="BY177" s="522" t="str">
        <f t="shared" si="144"/>
        <v/>
      </c>
      <c r="BZ177" s="523" t="str">
        <f t="shared" ref="BZ177:BZ188" si="202">IFERROR(BX177/BY177,"")</f>
        <v/>
      </c>
      <c r="CA177" s="524">
        <f t="shared" si="197"/>
        <v>190</v>
      </c>
      <c r="CB177" s="503">
        <f t="shared" ref="CB177:CB188" si="203">IFERROR(CA177*7+40763,"")</f>
        <v>42093</v>
      </c>
      <c r="CC177" s="487">
        <f t="shared" ref="CC177:CC188" ca="1" si="204">IFERROR(ROUND(IF(CB177="","",(TODAY()-CB177)/7)+1,0),"")</f>
        <v>8</v>
      </c>
      <c r="CD177" s="487">
        <f t="shared" ref="CD177:CD188" si="205">IF(CG177="","",CY177)</f>
        <v>8</v>
      </c>
      <c r="CE177" s="487">
        <f t="shared" ref="CE177:CE188" si="206">IF(CG177="","",CW177)</f>
        <v>4</v>
      </c>
      <c r="CF177" s="504">
        <f t="shared" ref="CF177:CF188" si="207">IF(CG177="","",CY177-CW177)</f>
        <v>4</v>
      </c>
      <c r="CG177" s="505">
        <f t="shared" ref="CG177:CG188" si="208">IF(CB177="","",SUM(CK177:CU177)/((CY177)*11))</f>
        <v>0.72727272727272729</v>
      </c>
      <c r="CH177" s="487" t="str">
        <f t="shared" ref="CH177:CH188" si="209">IF(CB177="","",IF(MIN(CK177:CU177)&gt;CY177,"",CONCATENATE(IF(SUM(IF(CK177&lt;CL177,1,0),IF(CK177&lt;CM177,1,0),IF(CK177&lt;CN177,1,0),IF(CK177&lt;CO177,1,0),IF(CK177&lt;CP177,1,0),IF(CK177&lt;CQ177,1,0),IF(CK177&lt;CR177,1,0),IF(CK177&lt;CS177,1,0),IF(CK177&lt;CT177,1,0),IF(CK177&lt;CU177,1,0))&gt;7,"SSS ("&amp;CY177-CK177&amp;") ",""),IF(SUM(IF(CL177&lt;CK177,1,0),IF(CL177&lt;CM177,1,0),IF(CL177&lt;CN177,1,0),IF(CL177&lt;CO177,1,0),IF(CL177&lt;CP177,1,0),IF(CL177&lt;CQ177,1,0),IF(CL177&lt;CR177,1,0),IF(CL177&lt;CS177,1,0),IF(CL177&lt;CT177,1,0),IF(CL177&lt;CU177,1,0))&gt;7,"HDMF ("&amp;CY177-CL177&amp;") ",""),IF(SUM(IF(CM177&lt;CK177,1,0),IF(CM177&lt;CL177,1,0),IF(CM177&lt;CN177,1,0),IF(CM177&lt;CO177,1,0),IF(CM177&lt;CP177,1,0),IF(CM177&lt;CQ177,1,0),IF(CM177&lt;CR177,1,0),IF(CM177&lt;CS177,1,0),IF(CM177&lt;CT177,1,0),IF(CM177&lt;CU177,1,0))&gt;7,"PHIC ("&amp;CY177-CM177&amp;") ",""),IF(SUM(IF(CN177&lt;CK177,1,0),IF(CN177&lt;CL177,1,0),IF(CN177&lt;CM177,1,0),IF(CN177&lt;CO177,1,0),IF(CN177&lt;CP177,1,0),IF(CN177&lt;CQ177,1,0),IF(CN177&lt;CR177,1,0),IF(CN177&lt;CS177,1,0),IF(CN177&lt;CT177,1,0),IF(CN177&lt;CU177,1,0))&gt;7,"NBI ("&amp;CY177-CN177&amp;") ",""),IF(SUM(IF(CO177&lt;CK177,1,0),IF(CO177&lt;CL177,1,0),IF(CO177&lt;CN177,1,0),IF(CO177&lt;CM177,1,0),IF(CO177&lt;CP177,1,0),IF(CO177&lt;CQ177,1,0),IF(CO177&lt;CR177,1,0),IF(CO177&lt;CS177,1,0),IF(CO177&lt;CT177,1,0),IF(CO177&lt;CU177,1,0))&gt;7,"NSO ("&amp;CY177-CO177&amp;") ",""),IF(SUM(IF(CP177&lt;CK177,1,0),IF(CP177&lt;CL177,1,0),IF(CP177&lt;CN177,1,0),IF(CP177&lt;CO177,1,0),IF(CP177&lt;CM177,1,0),IF(CP177&lt;CQ177,1,0),IF(CP177&lt;CR177,1,0),IF(CP177&lt;CS177,1,0),IF(CP177&lt;CT177,1,0),IF(CP177&lt;CU177,1,0))&gt;7,"Info ("&amp;CY177-CP177&amp;") ",""),IF(SUM(IF(CQ177&lt;CK177,1,0),IF(CQ177&lt;CL177,1,0),IF(CQ177&lt;CN177,1,0),IF(CQ177&lt;CO177,1,0),IF(CQ177&lt;CP177,1,0),IF(CQ177&lt;CM177,1,0),IF(CQ177&lt;CR177,1,0),IF(CQ177&lt;CS177,1,0),IF(CQ177&lt;CT177,1,0),IF(CQ177&lt;CU177,1,0))&gt;7,"AWOL ("&amp;CY177-CQ177&amp;") ",""),IF(SUM(IF(CR177&lt;CK177,1,0),IF(CR177&lt;CL177,1,0),IF(CR177&lt;CN177,1,0),IF(CR177&lt;CO177,1,0),IF(CR177&lt;CP177,1,0),IF(CR177&lt;CQ177,1,0),IF(CR177&lt;CM177,1,0),IF(CR177&lt;CS177,1,0),IF(CR177&lt;CT177,1,0),IF(CR177&lt;CU177,1,0))&gt;7,"Hand ("&amp;CY177-CR177&amp;") ",""),IF(SUM(IF(CS177&lt;CK177,1,0),IF(CS177&lt;CL177,1,0),IF(CS177&lt;CN177,1,0),IF(CS177&lt;CO177,1,0),IF(CS177&lt;CP177,1,0),IF(CS177&lt;CQ177,1,0),IF(CS177&lt;CR177,1,0),IF(CS177&lt;CM177,1,0),IF(CS177&lt;CT177,1,0),IF(CS177&lt;CU177,1,0))&gt;7,"Waiver ("&amp;CY177-CS177&amp;") ",""),IF(SUM(IF(CT177&lt;CK177,1,0),IF(CT177&lt;CL177,1,0),IF(CT177&lt;CN177,1,0),IF(CT177&lt;CO177,1,0),IF(CT177&lt;CP177,1,0),IF(CT177&lt;CQ177,1,0),IF(CT177&lt;CR177,1,0),IF(CT177&lt;CS177,1,0),IF(CT177&lt;CM177,1,0),IF(CT177&lt;CU177,1,0))&gt;7,"TIN ("&amp;CY177-CT177&amp;") ",""),IF(SUM(IF(CU177&lt;CK177,1,0),IF(CU177&lt;CL177,1,0),IF(CU177&lt;CN177,1,0),IF(CU177&lt;CO177,1,0),IF(CU177&lt;CP177,1,0),IF(CU177&lt;CQ177,1,0),IF(CU177&lt;CR177,1,0),IF(CU177&lt;CS177,1,0),IF(CU177&lt;CT177,1,0),IF(CU177&lt;CM177,1,0))&gt;7,"1905 ("&amp;CY177-CU177&amp;") ",""))))</f>
        <v/>
      </c>
      <c r="CI177" s="503" t="str">
        <f t="shared" ref="CI177:CI188" si="210">IF(CA177="","",CJ177)</f>
        <v/>
      </c>
      <c r="CJ177" s="503" t="str">
        <f t="shared" si="146"/>
        <v/>
      </c>
      <c r="CK177" s="487">
        <f t="shared" si="147"/>
        <v>8</v>
      </c>
      <c r="CL177" s="487">
        <f t="shared" si="148"/>
        <v>4</v>
      </c>
      <c r="CM177" s="487">
        <f t="shared" si="149"/>
        <v>7</v>
      </c>
      <c r="CN177" s="487">
        <f t="shared" si="150"/>
        <v>4</v>
      </c>
      <c r="CO177" s="487">
        <f t="shared" si="151"/>
        <v>6</v>
      </c>
      <c r="CP177" s="487">
        <f t="shared" si="152"/>
        <v>6</v>
      </c>
      <c r="CQ177" s="487">
        <f t="shared" si="153"/>
        <v>8</v>
      </c>
      <c r="CR177" s="487">
        <f t="shared" si="154"/>
        <v>8</v>
      </c>
      <c r="CS177" s="487">
        <f t="shared" si="155"/>
        <v>4</v>
      </c>
      <c r="CT177" s="487">
        <f t="shared" si="180"/>
        <v>5</v>
      </c>
      <c r="CU177" s="487">
        <f t="shared" si="181"/>
        <v>4</v>
      </c>
      <c r="CV177" s="487">
        <f t="shared" si="182"/>
        <v>5</v>
      </c>
      <c r="CW177" s="487">
        <f t="shared" si="159"/>
        <v>4</v>
      </c>
      <c r="CX177" s="487">
        <f t="shared" si="160"/>
        <v>8</v>
      </c>
      <c r="CY177" s="487">
        <f t="shared" si="161"/>
        <v>8</v>
      </c>
    </row>
    <row r="178" spans="1:103" s="321" customFormat="1" ht="15.75" thickTop="1" x14ac:dyDescent="0.25">
      <c r="A178" s="382">
        <v>191</v>
      </c>
      <c r="B178" s="334">
        <v>42100</v>
      </c>
      <c r="C178" s="321">
        <v>1082394</v>
      </c>
      <c r="D178" s="321" t="s">
        <v>1955</v>
      </c>
      <c r="E178" s="321" t="str">
        <f t="shared" si="194"/>
        <v/>
      </c>
      <c r="F178" s="321" t="str">
        <f t="shared" si="195"/>
        <v xml:space="preserve">MDR, </v>
      </c>
      <c r="G178" s="321" t="s">
        <v>472</v>
      </c>
      <c r="I178" s="334">
        <v>42102</v>
      </c>
      <c r="K178" s="384" t="str">
        <f t="shared" ca="1" si="199"/>
        <v/>
      </c>
      <c r="M178" s="334">
        <v>42117</v>
      </c>
      <c r="N178" s="317" t="str">
        <f t="shared" si="142"/>
        <v/>
      </c>
      <c r="O178" s="321" t="s">
        <v>302</v>
      </c>
      <c r="Q178" s="1"/>
      <c r="R178" s="1">
        <v>9065591460</v>
      </c>
      <c r="S178" s="153">
        <f t="shared" si="200"/>
        <v>9065591460</v>
      </c>
      <c r="T178" s="153" t="str">
        <f t="shared" si="201"/>
        <v/>
      </c>
      <c r="U178" s="1" t="s">
        <v>1956</v>
      </c>
      <c r="V178" s="1" t="s">
        <v>1932</v>
      </c>
      <c r="W178" s="1" t="s">
        <v>1930</v>
      </c>
      <c r="X178" s="1" t="s">
        <v>1931</v>
      </c>
      <c r="Y178" s="1" t="s">
        <v>73</v>
      </c>
      <c r="Z178" s="1" t="s">
        <v>74</v>
      </c>
      <c r="AA178" s="1" t="s">
        <v>1232</v>
      </c>
      <c r="AB178" s="1"/>
      <c r="AC178" s="1" t="s">
        <v>741</v>
      </c>
      <c r="AD178" s="1" t="s">
        <v>1234</v>
      </c>
      <c r="AE178" s="1"/>
      <c r="AF178" s="1"/>
      <c r="AG178" s="1"/>
      <c r="AH178" s="112" t="s">
        <v>52</v>
      </c>
      <c r="AI178" s="1" t="s">
        <v>253</v>
      </c>
      <c r="AJ178" s="153" t="str">
        <f t="shared" si="196"/>
        <v/>
      </c>
      <c r="AK178" s="1"/>
      <c r="AL178" s="1" t="s">
        <v>247</v>
      </c>
      <c r="AM178" s="1" t="s">
        <v>854</v>
      </c>
      <c r="AN178" s="16">
        <v>31950</v>
      </c>
      <c r="AO178" s="1" t="s">
        <v>2339</v>
      </c>
      <c r="AP178" s="1" t="s">
        <v>2339</v>
      </c>
      <c r="AQ178" s="1" t="s">
        <v>50</v>
      </c>
      <c r="AR178" s="1" t="s">
        <v>378</v>
      </c>
      <c r="AS178" s="169">
        <v>42125</v>
      </c>
      <c r="AT178" s="170">
        <v>42125</v>
      </c>
      <c r="AU178" s="170">
        <v>42125</v>
      </c>
      <c r="AV178" s="181">
        <v>42125</v>
      </c>
      <c r="AW178" s="169">
        <v>42114</v>
      </c>
      <c r="AX178" s="112" t="s">
        <v>2464</v>
      </c>
      <c r="AY178" s="112"/>
      <c r="AZ178" s="170">
        <v>42114</v>
      </c>
      <c r="BA178" s="170">
        <v>42114</v>
      </c>
      <c r="BB178" s="172"/>
      <c r="BC178" s="169">
        <v>42114</v>
      </c>
      <c r="BD178" s="172" t="s">
        <v>2461</v>
      </c>
      <c r="BE178" s="169">
        <v>42114</v>
      </c>
      <c r="BF178" s="172" t="s">
        <v>2462</v>
      </c>
      <c r="BG178" s="169">
        <v>42114</v>
      </c>
      <c r="BH178" s="188" t="s">
        <v>2463</v>
      </c>
      <c r="BI178" s="172"/>
      <c r="BJ178" s="169">
        <v>42125</v>
      </c>
      <c r="BK178" s="112"/>
      <c r="BL178" s="172"/>
      <c r="BM178" s="169">
        <v>42114</v>
      </c>
      <c r="BN178" s="112"/>
      <c r="BO178" s="112"/>
      <c r="BP178" s="169">
        <v>42125</v>
      </c>
      <c r="BQ178" s="170">
        <v>42114</v>
      </c>
      <c r="BR178" s="170">
        <v>42125</v>
      </c>
      <c r="BS178" s="169">
        <v>42102</v>
      </c>
      <c r="BT178" s="170">
        <v>42102</v>
      </c>
      <c r="BU178" s="170">
        <v>42102</v>
      </c>
      <c r="BV178" s="159"/>
      <c r="BW178" s="398" t="str">
        <f t="shared" si="179"/>
        <v xml:space="preserve">1905 4/20/2015, 2305 4/20/2015, </v>
      </c>
      <c r="BX178" s="398">
        <f t="shared" si="198"/>
        <v>11</v>
      </c>
      <c r="BY178" s="398">
        <f t="shared" si="144"/>
        <v>11</v>
      </c>
      <c r="BZ178" s="399">
        <f t="shared" si="202"/>
        <v>1</v>
      </c>
      <c r="CA178" s="168" t="str">
        <f t="shared" si="197"/>
        <v/>
      </c>
      <c r="CB178" s="151" t="str">
        <f t="shared" si="203"/>
        <v/>
      </c>
      <c r="CC178" s="153" t="str">
        <f t="shared" ca="1" si="204"/>
        <v/>
      </c>
      <c r="CD178" s="153" t="str">
        <f t="shared" si="205"/>
        <v/>
      </c>
      <c r="CE178" s="153" t="str">
        <f t="shared" si="206"/>
        <v/>
      </c>
      <c r="CF178" s="396" t="str">
        <f t="shared" si="207"/>
        <v/>
      </c>
      <c r="CG178" s="397" t="str">
        <f t="shared" si="208"/>
        <v/>
      </c>
      <c r="CH178" s="153" t="str">
        <f t="shared" si="209"/>
        <v/>
      </c>
      <c r="CI178" s="151" t="str">
        <f t="shared" si="210"/>
        <v/>
      </c>
      <c r="CJ178" s="151" t="str">
        <f t="shared" si="146"/>
        <v/>
      </c>
      <c r="CK178" s="153">
        <f t="shared" si="147"/>
        <v>1</v>
      </c>
      <c r="CL178" s="153">
        <f t="shared" si="148"/>
        <v>1</v>
      </c>
      <c r="CM178" s="153">
        <f t="shared" si="149"/>
        <v>1</v>
      </c>
      <c r="CN178" s="153">
        <f t="shared" si="150"/>
        <v>1</v>
      </c>
      <c r="CO178" s="153">
        <f t="shared" si="151"/>
        <v>1</v>
      </c>
      <c r="CP178" s="153">
        <f t="shared" si="152"/>
        <v>1</v>
      </c>
      <c r="CQ178" s="153">
        <f t="shared" si="153"/>
        <v>1</v>
      </c>
      <c r="CR178" s="153">
        <f t="shared" si="154"/>
        <v>1</v>
      </c>
      <c r="CS178" s="153">
        <f t="shared" si="155"/>
        <v>1</v>
      </c>
      <c r="CT178" s="153">
        <f t="shared" si="180"/>
        <v>1</v>
      </c>
      <c r="CU178" s="153">
        <f t="shared" si="181"/>
        <v>1</v>
      </c>
      <c r="CV178" s="153">
        <f t="shared" si="182"/>
        <v>1</v>
      </c>
      <c r="CW178" s="153">
        <f t="shared" si="159"/>
        <v>1</v>
      </c>
      <c r="CX178" s="153">
        <f t="shared" si="160"/>
        <v>0</v>
      </c>
      <c r="CY178" s="153">
        <f t="shared" si="161"/>
        <v>1</v>
      </c>
    </row>
    <row r="179" spans="1:103" s="8" customFormat="1" x14ac:dyDescent="0.25">
      <c r="A179" s="133">
        <v>191</v>
      </c>
      <c r="B179" s="20">
        <v>42100</v>
      </c>
      <c r="C179" s="8">
        <v>1082395</v>
      </c>
      <c r="D179" s="8" t="s">
        <v>1957</v>
      </c>
      <c r="E179" s="8" t="str">
        <f t="shared" si="194"/>
        <v/>
      </c>
      <c r="F179" s="8" t="str">
        <f t="shared" si="195"/>
        <v/>
      </c>
      <c r="G179" s="8" t="s">
        <v>472</v>
      </c>
      <c r="I179" s="20">
        <v>42102</v>
      </c>
      <c r="K179" s="152" t="str">
        <f t="shared" ca="1" si="199"/>
        <v/>
      </c>
      <c r="N179" s="153" t="str">
        <f t="shared" si="142"/>
        <v/>
      </c>
      <c r="O179" s="8" t="s">
        <v>298</v>
      </c>
      <c r="P179" s="113" t="s">
        <v>689</v>
      </c>
      <c r="R179" s="8">
        <v>9753357696</v>
      </c>
      <c r="S179" s="153">
        <f t="shared" si="200"/>
        <v>9753357696</v>
      </c>
      <c r="T179" s="153" t="str">
        <f t="shared" si="201"/>
        <v/>
      </c>
      <c r="U179" s="8" t="s">
        <v>1958</v>
      </c>
      <c r="V179" s="8" t="s">
        <v>1934</v>
      </c>
      <c r="W179" s="8" t="s">
        <v>1933</v>
      </c>
      <c r="X179" s="8" t="s">
        <v>275</v>
      </c>
      <c r="Y179" s="8" t="s">
        <v>73</v>
      </c>
      <c r="Z179" s="8" t="s">
        <v>70</v>
      </c>
      <c r="AA179" s="8" t="s">
        <v>1233</v>
      </c>
      <c r="AC179" s="8" t="s">
        <v>741</v>
      </c>
      <c r="AD179" s="8" t="s">
        <v>1038</v>
      </c>
      <c r="AH179" s="113" t="s">
        <v>52</v>
      </c>
      <c r="AI179" s="8" t="s">
        <v>253</v>
      </c>
      <c r="AJ179" s="153" t="str">
        <f t="shared" si="196"/>
        <v/>
      </c>
      <c r="AL179" s="8" t="s">
        <v>265</v>
      </c>
      <c r="AM179" s="8" t="s">
        <v>854</v>
      </c>
      <c r="AN179" s="20">
        <v>34103</v>
      </c>
      <c r="AO179" s="8" t="s">
        <v>2346</v>
      </c>
      <c r="AQ179" s="8" t="s">
        <v>53</v>
      </c>
      <c r="AR179" s="8" t="s">
        <v>378</v>
      </c>
      <c r="AS179" s="187">
        <v>42116</v>
      </c>
      <c r="AT179" s="129">
        <v>42116</v>
      </c>
      <c r="AU179" s="129">
        <v>42116</v>
      </c>
      <c r="AV179" s="182"/>
      <c r="AW179" s="187">
        <v>42116</v>
      </c>
      <c r="AX179" s="113" t="s">
        <v>2570</v>
      </c>
      <c r="AY179" s="113"/>
      <c r="AZ179" s="129">
        <v>42116</v>
      </c>
      <c r="BA179" s="113"/>
      <c r="BB179" s="177">
        <v>42116</v>
      </c>
      <c r="BC179" s="187">
        <v>42116</v>
      </c>
      <c r="BD179" s="182" t="s">
        <v>2569</v>
      </c>
      <c r="BE179" s="187">
        <v>42116</v>
      </c>
      <c r="BF179" s="182" t="s">
        <v>2571</v>
      </c>
      <c r="BG179" s="187">
        <v>42116</v>
      </c>
      <c r="BH179" s="274" t="s">
        <v>2568</v>
      </c>
      <c r="BI179" s="177">
        <v>42116</v>
      </c>
      <c r="BJ179" s="187">
        <v>42116</v>
      </c>
      <c r="BK179" s="113"/>
      <c r="BL179" s="182"/>
      <c r="BM179" s="165"/>
      <c r="BN179" s="113"/>
      <c r="BO179" s="182"/>
      <c r="BP179" s="165"/>
      <c r="BQ179" s="113"/>
      <c r="BR179" s="182"/>
      <c r="BS179" s="187">
        <v>42102</v>
      </c>
      <c r="BT179" s="129">
        <v>42102</v>
      </c>
      <c r="BU179" s="129">
        <v>42102</v>
      </c>
      <c r="BV179" s="165"/>
      <c r="BW179" s="398" t="str">
        <f t="shared" si="179"/>
        <v xml:space="preserve">1905 (for processing) 4/22/2015, MDR 4/22/2015, </v>
      </c>
      <c r="BX179" s="398" t="str">
        <f t="shared" si="198"/>
        <v/>
      </c>
      <c r="BY179" s="398" t="str">
        <f t="shared" si="144"/>
        <v/>
      </c>
      <c r="BZ179" s="399" t="str">
        <f t="shared" si="202"/>
        <v/>
      </c>
      <c r="CA179" s="168" t="str">
        <f t="shared" si="197"/>
        <v/>
      </c>
      <c r="CB179" s="151" t="str">
        <f t="shared" si="203"/>
        <v/>
      </c>
      <c r="CC179" s="153" t="str">
        <f t="shared" ca="1" si="204"/>
        <v/>
      </c>
      <c r="CD179" s="153" t="str">
        <f t="shared" si="205"/>
        <v/>
      </c>
      <c r="CE179" s="153" t="str">
        <f t="shared" si="206"/>
        <v/>
      </c>
      <c r="CF179" s="396" t="str">
        <f t="shared" si="207"/>
        <v/>
      </c>
      <c r="CG179" s="397" t="str">
        <f t="shared" si="208"/>
        <v/>
      </c>
      <c r="CH179" s="153" t="str">
        <f t="shared" si="209"/>
        <v/>
      </c>
      <c r="CI179" s="151" t="str">
        <f t="shared" si="210"/>
        <v/>
      </c>
      <c r="CJ179" s="151" t="str">
        <f t="shared" si="146"/>
        <v/>
      </c>
      <c r="CK179" s="153">
        <f t="shared" si="147"/>
        <v>1</v>
      </c>
      <c r="CL179" s="153">
        <f t="shared" si="148"/>
        <v>1</v>
      </c>
      <c r="CM179" s="153">
        <f t="shared" si="149"/>
        <v>1</v>
      </c>
      <c r="CN179" s="153">
        <f t="shared" si="150"/>
        <v>1</v>
      </c>
      <c r="CO179" s="153">
        <f t="shared" si="151"/>
        <v>1</v>
      </c>
      <c r="CP179" s="153">
        <f t="shared" si="152"/>
        <v>1</v>
      </c>
      <c r="CQ179" s="153">
        <f t="shared" si="153"/>
        <v>1</v>
      </c>
      <c r="CR179" s="153">
        <f t="shared" si="154"/>
        <v>1</v>
      </c>
      <c r="CS179" s="153">
        <f t="shared" si="155"/>
        <v>1</v>
      </c>
      <c r="CT179" s="153">
        <f t="shared" si="180"/>
        <v>1</v>
      </c>
      <c r="CU179" s="153">
        <f t="shared" si="181"/>
        <v>1</v>
      </c>
      <c r="CV179" s="153">
        <f t="shared" si="182"/>
        <v>1</v>
      </c>
      <c r="CW179" s="153">
        <f t="shared" si="159"/>
        <v>1</v>
      </c>
      <c r="CX179" s="153">
        <f t="shared" si="160"/>
        <v>1</v>
      </c>
      <c r="CY179" s="153">
        <f t="shared" si="161"/>
        <v>1</v>
      </c>
    </row>
    <row r="180" spans="1:103" s="321" customFormat="1" x14ac:dyDescent="0.25">
      <c r="A180" s="382">
        <v>191</v>
      </c>
      <c r="B180" s="334">
        <v>42100</v>
      </c>
      <c r="C180" s="321">
        <v>1082396</v>
      </c>
      <c r="D180" s="321" t="s">
        <v>1959</v>
      </c>
      <c r="E180" s="321" t="str">
        <f t="shared" si="194"/>
        <v/>
      </c>
      <c r="F180" s="321" t="str">
        <f t="shared" si="195"/>
        <v xml:space="preserve">COE, 2x2, </v>
      </c>
      <c r="G180" s="321" t="s">
        <v>472</v>
      </c>
      <c r="I180" s="334">
        <v>42102</v>
      </c>
      <c r="K180" s="384" t="str">
        <f t="shared" ca="1" si="199"/>
        <v/>
      </c>
      <c r="N180" s="317" t="str">
        <f t="shared" si="142"/>
        <v>READY!</v>
      </c>
      <c r="O180" s="321" t="s">
        <v>302</v>
      </c>
      <c r="Q180" s="1"/>
      <c r="R180" s="1">
        <v>9469733104</v>
      </c>
      <c r="S180" s="153">
        <f t="shared" si="200"/>
        <v>9469733104</v>
      </c>
      <c r="T180" s="153" t="str">
        <f t="shared" si="201"/>
        <v/>
      </c>
      <c r="U180" s="1" t="s">
        <v>1960</v>
      </c>
      <c r="V180" s="1" t="s">
        <v>1937</v>
      </c>
      <c r="W180" s="1" t="s">
        <v>1935</v>
      </c>
      <c r="X180" s="1" t="s">
        <v>1936</v>
      </c>
      <c r="Y180" s="1" t="s">
        <v>73</v>
      </c>
      <c r="Z180" s="1" t="s">
        <v>70</v>
      </c>
      <c r="AA180" s="1" t="s">
        <v>1233</v>
      </c>
      <c r="AB180" s="1"/>
      <c r="AC180" s="1" t="s">
        <v>741</v>
      </c>
      <c r="AD180" s="1" t="s">
        <v>1038</v>
      </c>
      <c r="AE180" s="1"/>
      <c r="AF180" s="1"/>
      <c r="AG180" s="1"/>
      <c r="AH180" s="112" t="s">
        <v>52</v>
      </c>
      <c r="AI180" s="1" t="s">
        <v>253</v>
      </c>
      <c r="AJ180" s="153" t="str">
        <f t="shared" si="196"/>
        <v/>
      </c>
      <c r="AK180" s="1"/>
      <c r="AL180" s="1" t="s">
        <v>254</v>
      </c>
      <c r="AM180" s="1" t="s">
        <v>854</v>
      </c>
      <c r="AN180" s="16">
        <v>33300</v>
      </c>
      <c r="AO180" s="1" t="s">
        <v>2594</v>
      </c>
      <c r="AP180" s="1" t="s">
        <v>2594</v>
      </c>
      <c r="AQ180" s="1" t="s">
        <v>53</v>
      </c>
      <c r="AR180" s="1" t="s">
        <v>378</v>
      </c>
      <c r="AS180" s="169">
        <v>42116</v>
      </c>
      <c r="AT180" s="170">
        <v>42116</v>
      </c>
      <c r="AU180" s="170">
        <v>42116</v>
      </c>
      <c r="AV180" s="181">
        <v>42125</v>
      </c>
      <c r="AW180" s="169">
        <v>42125</v>
      </c>
      <c r="AX180" s="112" t="s">
        <v>2840</v>
      </c>
      <c r="AY180" s="112"/>
      <c r="AZ180" s="170">
        <v>42125</v>
      </c>
      <c r="BA180" s="170">
        <v>42125</v>
      </c>
      <c r="BB180" s="172"/>
      <c r="BC180" s="169">
        <v>42124</v>
      </c>
      <c r="BD180" s="172" t="s">
        <v>2791</v>
      </c>
      <c r="BE180" s="169">
        <v>42124</v>
      </c>
      <c r="BF180" s="172" t="s">
        <v>2792</v>
      </c>
      <c r="BG180" s="169">
        <v>42124</v>
      </c>
      <c r="BH180" s="188" t="s">
        <v>2793</v>
      </c>
      <c r="BI180" s="181">
        <v>42124</v>
      </c>
      <c r="BJ180" s="169">
        <v>42123</v>
      </c>
      <c r="BK180" s="112"/>
      <c r="BL180" s="172"/>
      <c r="BM180" s="169">
        <v>42123</v>
      </c>
      <c r="BN180" s="112"/>
      <c r="BO180" s="172"/>
      <c r="BP180" s="159"/>
      <c r="BQ180" s="170">
        <v>42116</v>
      </c>
      <c r="BR180" s="172"/>
      <c r="BS180" s="169">
        <v>42102</v>
      </c>
      <c r="BT180" s="170">
        <v>42102</v>
      </c>
      <c r="BU180" s="181">
        <v>42102</v>
      </c>
      <c r="BV180" s="112"/>
      <c r="BW180" s="398" t="str">
        <f t="shared" si="179"/>
        <v xml:space="preserve">1905 (for processing) 5/1/2015, 2305 (for processing) 5/1/2015, MDR 4/30/2015, </v>
      </c>
      <c r="BX180" s="398">
        <f t="shared" si="198"/>
        <v>11</v>
      </c>
      <c r="BY180" s="398">
        <f t="shared" si="144"/>
        <v>11</v>
      </c>
      <c r="BZ180" s="399">
        <f t="shared" si="202"/>
        <v>1</v>
      </c>
      <c r="CA180" s="168" t="str">
        <f t="shared" si="197"/>
        <v/>
      </c>
      <c r="CB180" s="151" t="str">
        <f t="shared" si="203"/>
        <v/>
      </c>
      <c r="CC180" s="153" t="str">
        <f t="shared" ca="1" si="204"/>
        <v/>
      </c>
      <c r="CD180" s="153" t="str">
        <f t="shared" si="205"/>
        <v/>
      </c>
      <c r="CE180" s="153" t="str">
        <f t="shared" si="206"/>
        <v/>
      </c>
      <c r="CF180" s="396" t="str">
        <f t="shared" si="207"/>
        <v/>
      </c>
      <c r="CG180" s="397" t="str">
        <f t="shared" si="208"/>
        <v/>
      </c>
      <c r="CH180" s="153" t="str">
        <f t="shared" si="209"/>
        <v/>
      </c>
      <c r="CI180" s="151" t="str">
        <f t="shared" si="210"/>
        <v/>
      </c>
      <c r="CJ180" s="151" t="str">
        <f t="shared" si="146"/>
        <v/>
      </c>
      <c r="CK180" s="153">
        <f t="shared" si="147"/>
        <v>2</v>
      </c>
      <c r="CL180" s="153">
        <f t="shared" si="148"/>
        <v>2</v>
      </c>
      <c r="CM180" s="153">
        <f t="shared" si="149"/>
        <v>2</v>
      </c>
      <c r="CN180" s="153">
        <f t="shared" si="150"/>
        <v>2</v>
      </c>
      <c r="CO180" s="153">
        <f t="shared" si="151"/>
        <v>2</v>
      </c>
      <c r="CP180" s="153">
        <f t="shared" si="152"/>
        <v>2</v>
      </c>
      <c r="CQ180" s="153">
        <f t="shared" si="153"/>
        <v>2</v>
      </c>
      <c r="CR180" s="153">
        <f t="shared" si="154"/>
        <v>2</v>
      </c>
      <c r="CS180" s="153">
        <f t="shared" si="155"/>
        <v>2</v>
      </c>
      <c r="CT180" s="153">
        <f t="shared" si="180"/>
        <v>2</v>
      </c>
      <c r="CU180" s="153">
        <f t="shared" si="181"/>
        <v>2</v>
      </c>
      <c r="CV180" s="153">
        <f t="shared" si="182"/>
        <v>2</v>
      </c>
      <c r="CW180" s="153">
        <f t="shared" si="159"/>
        <v>2</v>
      </c>
      <c r="CX180" s="153">
        <f t="shared" si="160"/>
        <v>1</v>
      </c>
      <c r="CY180" s="153">
        <f t="shared" si="161"/>
        <v>2</v>
      </c>
    </row>
    <row r="181" spans="1:103" x14ac:dyDescent="0.25">
      <c r="A181" s="7">
        <v>191</v>
      </c>
      <c r="B181" s="16">
        <v>42100</v>
      </c>
      <c r="C181" s="1">
        <v>1082397</v>
      </c>
      <c r="D181" s="1" t="s">
        <v>1961</v>
      </c>
      <c r="E181" s="1" t="str">
        <f t="shared" si="194"/>
        <v xml:space="preserve">Hand, Waiver, TIN, 1905, 2305, </v>
      </c>
      <c r="F181" s="1" t="str">
        <f t="shared" si="195"/>
        <v xml:space="preserve">MDR, TOR, COE, 2x2, </v>
      </c>
      <c r="G181" s="1" t="s">
        <v>472</v>
      </c>
      <c r="I181" s="16">
        <v>42102</v>
      </c>
      <c r="K181" s="152" t="str">
        <f t="shared" ca="1" si="199"/>
        <v>Dedlyn!</v>
      </c>
      <c r="N181" s="153" t="str">
        <f t="shared" si="142"/>
        <v/>
      </c>
      <c r="O181" s="1" t="s">
        <v>301</v>
      </c>
      <c r="R181" s="1">
        <v>9274221608</v>
      </c>
      <c r="S181" s="153">
        <f t="shared" si="200"/>
        <v>9274221608</v>
      </c>
      <c r="T181" s="153" t="str">
        <f t="shared" si="201"/>
        <v/>
      </c>
      <c r="U181" s="1" t="s">
        <v>1962</v>
      </c>
      <c r="V181" s="1" t="s">
        <v>1940</v>
      </c>
      <c r="W181" s="1" t="s">
        <v>1938</v>
      </c>
      <c r="X181" s="1" t="s">
        <v>1939</v>
      </c>
      <c r="Y181" s="1" t="s">
        <v>73</v>
      </c>
      <c r="Z181" s="1" t="s">
        <v>70</v>
      </c>
      <c r="AA181" s="1" t="s">
        <v>1233</v>
      </c>
      <c r="AC181" s="1" t="s">
        <v>741</v>
      </c>
      <c r="AD181" s="1" t="s">
        <v>1038</v>
      </c>
      <c r="AH181" s="112" t="s">
        <v>52</v>
      </c>
      <c r="AI181" s="1" t="s">
        <v>1846</v>
      </c>
      <c r="AJ181" s="153" t="str">
        <f t="shared" si="196"/>
        <v/>
      </c>
      <c r="AL181" s="1" t="s">
        <v>265</v>
      </c>
      <c r="AM181" s="1" t="s">
        <v>854</v>
      </c>
      <c r="AN181" s="16">
        <v>33588</v>
      </c>
      <c r="AO181" s="1" t="s">
        <v>2596</v>
      </c>
      <c r="AP181" s="1" t="s">
        <v>2596</v>
      </c>
      <c r="AQ181" s="1" t="s">
        <v>53</v>
      </c>
      <c r="AR181" s="1" t="s">
        <v>378</v>
      </c>
      <c r="AS181" s="169">
        <v>42116</v>
      </c>
      <c r="AT181" s="170">
        <v>42116</v>
      </c>
      <c r="BC181" s="169">
        <v>42130</v>
      </c>
      <c r="BD181" s="172" t="s">
        <v>3046</v>
      </c>
      <c r="BE181" s="169">
        <v>42116</v>
      </c>
      <c r="BF181" s="172" t="s">
        <v>2572</v>
      </c>
      <c r="BG181" s="169">
        <v>42116</v>
      </c>
      <c r="BH181" s="188" t="s">
        <v>2573</v>
      </c>
      <c r="BJ181" s="169">
        <v>42116</v>
      </c>
      <c r="BM181" s="169">
        <v>42116</v>
      </c>
      <c r="BS181" s="169">
        <v>42102</v>
      </c>
      <c r="BT181" s="170">
        <v>42102</v>
      </c>
      <c r="BU181" s="181">
        <v>42102</v>
      </c>
      <c r="BV181" s="112"/>
      <c r="BW181" s="398" t="str">
        <f t="shared" si="179"/>
        <v/>
      </c>
      <c r="BX181" s="398">
        <f t="shared" si="198"/>
        <v>7</v>
      </c>
      <c r="BY181" s="398">
        <f t="shared" si="144"/>
        <v>11</v>
      </c>
      <c r="BZ181" s="399">
        <f t="shared" si="202"/>
        <v>0.63636363636363635</v>
      </c>
      <c r="CA181" s="168" t="str">
        <f t="shared" si="197"/>
        <v/>
      </c>
      <c r="CB181" s="151" t="str">
        <f t="shared" si="203"/>
        <v/>
      </c>
      <c r="CC181" s="153" t="str">
        <f t="shared" ca="1" si="204"/>
        <v/>
      </c>
      <c r="CD181" s="153" t="str">
        <f t="shared" si="205"/>
        <v/>
      </c>
      <c r="CE181" s="153" t="str">
        <f t="shared" si="206"/>
        <v/>
      </c>
      <c r="CF181" s="396" t="str">
        <f t="shared" si="207"/>
        <v/>
      </c>
      <c r="CG181" s="397" t="str">
        <f t="shared" si="208"/>
        <v/>
      </c>
      <c r="CH181" s="153" t="str">
        <f t="shared" si="209"/>
        <v/>
      </c>
      <c r="CI181" s="151" t="str">
        <f t="shared" si="210"/>
        <v/>
      </c>
      <c r="CJ181" s="151" t="str">
        <f t="shared" si="146"/>
        <v/>
      </c>
      <c r="CK181" s="153">
        <f t="shared" si="147"/>
        <v>3</v>
      </c>
      <c r="CL181" s="153">
        <f t="shared" si="148"/>
        <v>3</v>
      </c>
      <c r="CM181" s="153">
        <f t="shared" si="149"/>
        <v>3</v>
      </c>
      <c r="CN181" s="153">
        <f t="shared" si="150"/>
        <v>3</v>
      </c>
      <c r="CO181" s="153">
        <f t="shared" si="151"/>
        <v>3</v>
      </c>
      <c r="CP181" s="153">
        <f t="shared" si="152"/>
        <v>3</v>
      </c>
      <c r="CQ181" s="153">
        <f t="shared" si="153"/>
        <v>3</v>
      </c>
      <c r="CR181" s="153">
        <f t="shared" si="154"/>
        <v>2</v>
      </c>
      <c r="CS181" s="153">
        <f t="shared" si="155"/>
        <v>2</v>
      </c>
      <c r="CT181" s="153">
        <f t="shared" si="180"/>
        <v>2</v>
      </c>
      <c r="CU181" s="153">
        <f t="shared" si="181"/>
        <v>2</v>
      </c>
      <c r="CV181" s="153">
        <f t="shared" si="182"/>
        <v>2</v>
      </c>
      <c r="CW181" s="153">
        <f t="shared" si="159"/>
        <v>2</v>
      </c>
      <c r="CX181" s="153">
        <f t="shared" si="160"/>
        <v>1</v>
      </c>
      <c r="CY181" s="153">
        <f t="shared" si="161"/>
        <v>3</v>
      </c>
    </row>
    <row r="182" spans="1:103" x14ac:dyDescent="0.25">
      <c r="A182" s="7">
        <v>191</v>
      </c>
      <c r="B182" s="16">
        <v>42100</v>
      </c>
      <c r="C182" s="1">
        <v>1082398</v>
      </c>
      <c r="D182" s="1" t="s">
        <v>1963</v>
      </c>
      <c r="E182" s="1" t="str">
        <f t="shared" si="194"/>
        <v xml:space="preserve">AWOL, Waiver, 2305, </v>
      </c>
      <c r="F182" s="1" t="str">
        <f t="shared" si="195"/>
        <v xml:space="preserve">MDR, TOR, COE, 2x2, </v>
      </c>
      <c r="G182" s="1" t="s">
        <v>472</v>
      </c>
      <c r="I182" s="16">
        <v>42102</v>
      </c>
      <c r="K182" s="152" t="str">
        <f t="shared" ca="1" si="199"/>
        <v>Dedlyn!</v>
      </c>
      <c r="N182" s="153" t="str">
        <f t="shared" si="142"/>
        <v/>
      </c>
      <c r="O182" s="1" t="s">
        <v>301</v>
      </c>
      <c r="R182" s="1">
        <v>9154477281</v>
      </c>
      <c r="S182" s="153">
        <f t="shared" si="200"/>
        <v>9154477281</v>
      </c>
      <c r="T182" s="153" t="str">
        <f t="shared" si="201"/>
        <v/>
      </c>
      <c r="U182" s="1" t="s">
        <v>1964</v>
      </c>
      <c r="V182" s="1" t="s">
        <v>1943</v>
      </c>
      <c r="W182" s="1" t="s">
        <v>1941</v>
      </c>
      <c r="X182" s="1" t="s">
        <v>1942</v>
      </c>
      <c r="Y182" s="1" t="s">
        <v>73</v>
      </c>
      <c r="Z182" s="1" t="s">
        <v>74</v>
      </c>
      <c r="AA182" s="1" t="s">
        <v>1232</v>
      </c>
      <c r="AC182" s="1" t="s">
        <v>741</v>
      </c>
      <c r="AD182" s="1" t="s">
        <v>1234</v>
      </c>
      <c r="AH182" s="112" t="s">
        <v>52</v>
      </c>
      <c r="AI182" s="1" t="s">
        <v>253</v>
      </c>
      <c r="AJ182" s="153" t="str">
        <f t="shared" si="196"/>
        <v/>
      </c>
      <c r="AL182" s="1" t="s">
        <v>265</v>
      </c>
      <c r="AM182" s="1" t="s">
        <v>854</v>
      </c>
      <c r="AN182" s="16">
        <v>31506</v>
      </c>
      <c r="AO182" s="1" t="s">
        <v>2595</v>
      </c>
      <c r="AP182" s="1" t="s">
        <v>2595</v>
      </c>
      <c r="AQ182" s="1" t="s">
        <v>53</v>
      </c>
      <c r="AR182" s="1" t="s">
        <v>495</v>
      </c>
      <c r="AS182" s="169">
        <v>42116</v>
      </c>
      <c r="AU182" s="170">
        <v>42123</v>
      </c>
      <c r="AW182" s="169">
        <v>42116</v>
      </c>
      <c r="AX182" s="112" t="s">
        <v>2576</v>
      </c>
      <c r="AZ182" s="170">
        <v>42116</v>
      </c>
      <c r="BC182" s="169">
        <v>42116</v>
      </c>
      <c r="BD182" s="172" t="s">
        <v>2577</v>
      </c>
      <c r="BE182" s="169">
        <v>42116</v>
      </c>
      <c r="BF182" s="172" t="s">
        <v>2580</v>
      </c>
      <c r="BG182" s="169">
        <v>42116</v>
      </c>
      <c r="BH182" s="188" t="s">
        <v>2578</v>
      </c>
      <c r="BJ182" s="169">
        <v>42116</v>
      </c>
      <c r="BM182" s="169">
        <v>42118</v>
      </c>
      <c r="BS182" s="169">
        <v>42102</v>
      </c>
      <c r="BT182" s="170">
        <v>42102</v>
      </c>
      <c r="BU182" s="181">
        <v>42102</v>
      </c>
      <c r="BW182" s="398" t="str">
        <f t="shared" si="179"/>
        <v xml:space="preserve">1905 (for processing) 4/22/2015, </v>
      </c>
      <c r="BX182" s="398">
        <f t="shared" si="198"/>
        <v>9</v>
      </c>
      <c r="BY182" s="398">
        <f t="shared" si="144"/>
        <v>11</v>
      </c>
      <c r="BZ182" s="399">
        <f t="shared" si="202"/>
        <v>0.81818181818181823</v>
      </c>
      <c r="CA182" s="168" t="str">
        <f t="shared" si="197"/>
        <v/>
      </c>
      <c r="CB182" s="151" t="str">
        <f t="shared" si="203"/>
        <v/>
      </c>
      <c r="CC182" s="153" t="str">
        <f t="shared" ca="1" si="204"/>
        <v/>
      </c>
      <c r="CD182" s="153" t="str">
        <f t="shared" si="205"/>
        <v/>
      </c>
      <c r="CE182" s="153" t="str">
        <f t="shared" si="206"/>
        <v/>
      </c>
      <c r="CF182" s="396" t="str">
        <f t="shared" si="207"/>
        <v/>
      </c>
      <c r="CG182" s="397" t="str">
        <f t="shared" si="208"/>
        <v/>
      </c>
      <c r="CH182" s="153" t="str">
        <f t="shared" si="209"/>
        <v/>
      </c>
      <c r="CI182" s="151" t="str">
        <f t="shared" si="210"/>
        <v/>
      </c>
      <c r="CJ182" s="151" t="str">
        <f t="shared" si="146"/>
        <v/>
      </c>
      <c r="CK182" s="153">
        <f t="shared" si="147"/>
        <v>4</v>
      </c>
      <c r="CL182" s="153">
        <f t="shared" si="148"/>
        <v>4</v>
      </c>
      <c r="CM182" s="153">
        <f t="shared" si="149"/>
        <v>4</v>
      </c>
      <c r="CN182" s="153">
        <f t="shared" si="150"/>
        <v>4</v>
      </c>
      <c r="CO182" s="153">
        <f t="shared" si="151"/>
        <v>4</v>
      </c>
      <c r="CP182" s="153">
        <f t="shared" si="152"/>
        <v>4</v>
      </c>
      <c r="CQ182" s="153">
        <f t="shared" si="153"/>
        <v>3</v>
      </c>
      <c r="CR182" s="153">
        <f t="shared" si="154"/>
        <v>3</v>
      </c>
      <c r="CS182" s="153">
        <f t="shared" si="155"/>
        <v>2</v>
      </c>
      <c r="CT182" s="153">
        <f t="shared" si="180"/>
        <v>3</v>
      </c>
      <c r="CU182" s="153">
        <f t="shared" si="181"/>
        <v>3</v>
      </c>
      <c r="CV182" s="153">
        <f t="shared" si="182"/>
        <v>2</v>
      </c>
      <c r="CW182" s="153">
        <f t="shared" si="159"/>
        <v>2</v>
      </c>
      <c r="CX182" s="153">
        <f t="shared" si="160"/>
        <v>1</v>
      </c>
      <c r="CY182" s="153">
        <f t="shared" si="161"/>
        <v>4</v>
      </c>
    </row>
    <row r="183" spans="1:103" s="8" customFormat="1" x14ac:dyDescent="0.25">
      <c r="A183" s="133">
        <v>191</v>
      </c>
      <c r="B183" s="20">
        <v>42100</v>
      </c>
      <c r="C183" s="8">
        <v>1082399</v>
      </c>
      <c r="D183" s="8" t="s">
        <v>1965</v>
      </c>
      <c r="E183" s="8" t="str">
        <f t="shared" si="194"/>
        <v/>
      </c>
      <c r="F183" s="8" t="str">
        <f t="shared" si="195"/>
        <v/>
      </c>
      <c r="G183" s="8" t="s">
        <v>472</v>
      </c>
      <c r="K183" s="152" t="str">
        <f t="shared" ca="1" si="199"/>
        <v/>
      </c>
      <c r="N183" s="153" t="str">
        <f t="shared" si="142"/>
        <v/>
      </c>
      <c r="O183" s="8" t="s">
        <v>298</v>
      </c>
      <c r="P183" s="113" t="s">
        <v>689</v>
      </c>
      <c r="R183" s="8">
        <v>9052372775</v>
      </c>
      <c r="S183" s="153">
        <f t="shared" si="200"/>
        <v>9052372775</v>
      </c>
      <c r="T183" s="153" t="str">
        <f t="shared" si="201"/>
        <v/>
      </c>
      <c r="U183" s="8" t="s">
        <v>1966</v>
      </c>
      <c r="V183" s="8" t="s">
        <v>1946</v>
      </c>
      <c r="W183" s="8" t="s">
        <v>1944</v>
      </c>
      <c r="X183" s="8" t="s">
        <v>1945</v>
      </c>
      <c r="Y183" s="8" t="s">
        <v>73</v>
      </c>
      <c r="Z183" s="8" t="s">
        <v>74</v>
      </c>
      <c r="AH183" s="113" t="s">
        <v>52</v>
      </c>
      <c r="AI183" s="8" t="s">
        <v>2010</v>
      </c>
      <c r="AJ183" s="153" t="str">
        <f t="shared" si="196"/>
        <v>Kimberly Lalwani</v>
      </c>
      <c r="AL183" s="8" t="s">
        <v>1947</v>
      </c>
      <c r="AM183" s="8" t="s">
        <v>854</v>
      </c>
      <c r="AN183" s="20">
        <v>36039</v>
      </c>
      <c r="AS183" s="165"/>
      <c r="AT183" s="113"/>
      <c r="AU183" s="113"/>
      <c r="AV183" s="182"/>
      <c r="AW183" s="187"/>
      <c r="AX183" s="113"/>
      <c r="AY183" s="113"/>
      <c r="AZ183" s="113"/>
      <c r="BA183" s="113"/>
      <c r="BB183" s="182"/>
      <c r="BC183" s="165"/>
      <c r="BD183" s="182"/>
      <c r="BE183" s="165"/>
      <c r="BF183" s="182"/>
      <c r="BG183" s="165"/>
      <c r="BH183" s="274"/>
      <c r="BI183" s="182"/>
      <c r="BJ183" s="165"/>
      <c r="BK183" s="113"/>
      <c r="BL183" s="182"/>
      <c r="BM183" s="165"/>
      <c r="BN183" s="113"/>
      <c r="BO183" s="182"/>
      <c r="BP183" s="165"/>
      <c r="BQ183" s="113"/>
      <c r="BR183" s="182"/>
      <c r="BS183" s="187"/>
      <c r="BT183" s="129"/>
      <c r="BU183" s="177"/>
      <c r="BV183" s="182"/>
      <c r="BW183" s="398" t="str">
        <f t="shared" si="179"/>
        <v/>
      </c>
      <c r="BX183" s="398" t="str">
        <f t="shared" si="198"/>
        <v/>
      </c>
      <c r="BY183" s="398" t="str">
        <f t="shared" si="144"/>
        <v/>
      </c>
      <c r="BZ183" s="399" t="str">
        <f t="shared" si="202"/>
        <v/>
      </c>
      <c r="CA183" s="168" t="str">
        <f t="shared" si="197"/>
        <v/>
      </c>
      <c r="CB183" s="151" t="str">
        <f t="shared" si="203"/>
        <v/>
      </c>
      <c r="CC183" s="153" t="str">
        <f t="shared" ca="1" si="204"/>
        <v/>
      </c>
      <c r="CD183" s="153" t="str">
        <f t="shared" si="205"/>
        <v/>
      </c>
      <c r="CE183" s="153" t="str">
        <f t="shared" si="206"/>
        <v/>
      </c>
      <c r="CF183" s="396" t="str">
        <f t="shared" si="207"/>
        <v/>
      </c>
      <c r="CG183" s="397" t="str">
        <f t="shared" si="208"/>
        <v/>
      </c>
      <c r="CH183" s="153" t="str">
        <f t="shared" si="209"/>
        <v/>
      </c>
      <c r="CI183" s="151" t="str">
        <f t="shared" si="210"/>
        <v/>
      </c>
      <c r="CJ183" s="151" t="str">
        <f t="shared" si="146"/>
        <v/>
      </c>
      <c r="CK183" s="153">
        <f t="shared" si="147"/>
        <v>4</v>
      </c>
      <c r="CL183" s="153">
        <f t="shared" si="148"/>
        <v>4</v>
      </c>
      <c r="CM183" s="153">
        <f t="shared" si="149"/>
        <v>4</v>
      </c>
      <c r="CN183" s="153">
        <f t="shared" si="150"/>
        <v>4</v>
      </c>
      <c r="CO183" s="153">
        <f t="shared" si="151"/>
        <v>4</v>
      </c>
      <c r="CP183" s="153">
        <f t="shared" si="152"/>
        <v>4</v>
      </c>
      <c r="CQ183" s="153">
        <f t="shared" si="153"/>
        <v>3</v>
      </c>
      <c r="CR183" s="153">
        <f t="shared" si="154"/>
        <v>3</v>
      </c>
      <c r="CS183" s="153">
        <f t="shared" si="155"/>
        <v>2</v>
      </c>
      <c r="CT183" s="153">
        <f t="shared" si="180"/>
        <v>3</v>
      </c>
      <c r="CU183" s="153">
        <f t="shared" si="181"/>
        <v>3</v>
      </c>
      <c r="CV183" s="153">
        <f t="shared" si="182"/>
        <v>2</v>
      </c>
      <c r="CW183" s="153">
        <f t="shared" si="159"/>
        <v>2</v>
      </c>
      <c r="CX183" s="153">
        <f t="shared" si="160"/>
        <v>2</v>
      </c>
      <c r="CY183" s="153">
        <f t="shared" si="161"/>
        <v>4</v>
      </c>
    </row>
    <row r="184" spans="1:103" s="8" customFormat="1" x14ac:dyDescent="0.25">
      <c r="A184" s="133">
        <v>191</v>
      </c>
      <c r="B184" s="20">
        <v>42100</v>
      </c>
      <c r="C184" s="8">
        <v>1082400</v>
      </c>
      <c r="D184" s="8" t="s">
        <v>1967</v>
      </c>
      <c r="E184" s="8" t="str">
        <f t="shared" si="194"/>
        <v/>
      </c>
      <c r="F184" s="8" t="str">
        <f t="shared" si="195"/>
        <v/>
      </c>
      <c r="G184" s="8" t="s">
        <v>472</v>
      </c>
      <c r="K184" s="152" t="str">
        <f t="shared" ca="1" si="199"/>
        <v/>
      </c>
      <c r="N184" s="153" t="str">
        <f t="shared" si="142"/>
        <v/>
      </c>
      <c r="O184" s="8" t="s">
        <v>298</v>
      </c>
      <c r="P184" s="113" t="s">
        <v>689</v>
      </c>
      <c r="R184" s="8">
        <v>9184804473</v>
      </c>
      <c r="S184" s="153">
        <f t="shared" si="200"/>
        <v>9184804473</v>
      </c>
      <c r="T184" s="153" t="str">
        <f t="shared" si="201"/>
        <v/>
      </c>
      <c r="U184" s="8" t="s">
        <v>1968</v>
      </c>
      <c r="V184" s="8" t="s">
        <v>1949</v>
      </c>
      <c r="W184" s="8" t="s">
        <v>321</v>
      </c>
      <c r="X184" s="8" t="s">
        <v>1948</v>
      </c>
      <c r="Y184" s="8" t="s">
        <v>73</v>
      </c>
      <c r="Z184" s="8" t="s">
        <v>74</v>
      </c>
      <c r="AH184" s="113" t="s">
        <v>52</v>
      </c>
      <c r="AI184" s="8" t="s">
        <v>253</v>
      </c>
      <c r="AJ184" s="153" t="str">
        <f t="shared" si="196"/>
        <v/>
      </c>
      <c r="AL184" s="8" t="s">
        <v>265</v>
      </c>
      <c r="AM184" s="8" t="s">
        <v>854</v>
      </c>
      <c r="AN184" s="20">
        <v>31611</v>
      </c>
      <c r="AS184" s="165"/>
      <c r="AT184" s="113"/>
      <c r="AU184" s="113"/>
      <c r="AV184" s="182"/>
      <c r="AW184" s="187"/>
      <c r="AX184" s="113"/>
      <c r="AY184" s="113"/>
      <c r="AZ184" s="113"/>
      <c r="BA184" s="113"/>
      <c r="BB184" s="182"/>
      <c r="BC184" s="165"/>
      <c r="BD184" s="182"/>
      <c r="BE184" s="165"/>
      <c r="BF184" s="182"/>
      <c r="BG184" s="165"/>
      <c r="BH184" s="274"/>
      <c r="BI184" s="182"/>
      <c r="BJ184" s="165"/>
      <c r="BK184" s="113"/>
      <c r="BL184" s="182"/>
      <c r="BM184" s="165"/>
      <c r="BN184" s="113"/>
      <c r="BO184" s="182"/>
      <c r="BP184" s="165"/>
      <c r="BQ184" s="113"/>
      <c r="BR184" s="182"/>
      <c r="BS184" s="187"/>
      <c r="BT184" s="129"/>
      <c r="BU184" s="177"/>
      <c r="BV184" s="182"/>
      <c r="BW184" s="398" t="str">
        <f t="shared" si="179"/>
        <v/>
      </c>
      <c r="BX184" s="398" t="str">
        <f t="shared" si="198"/>
        <v/>
      </c>
      <c r="BY184" s="398" t="str">
        <f t="shared" si="144"/>
        <v/>
      </c>
      <c r="BZ184" s="399" t="str">
        <f t="shared" si="202"/>
        <v/>
      </c>
      <c r="CA184" s="168" t="str">
        <f t="shared" si="197"/>
        <v/>
      </c>
      <c r="CB184" s="151" t="str">
        <f t="shared" si="203"/>
        <v/>
      </c>
      <c r="CC184" s="153" t="str">
        <f t="shared" ca="1" si="204"/>
        <v/>
      </c>
      <c r="CD184" s="153" t="str">
        <f t="shared" si="205"/>
        <v/>
      </c>
      <c r="CE184" s="153" t="str">
        <f t="shared" si="206"/>
        <v/>
      </c>
      <c r="CF184" s="396" t="str">
        <f t="shared" si="207"/>
        <v/>
      </c>
      <c r="CG184" s="397" t="str">
        <f t="shared" si="208"/>
        <v/>
      </c>
      <c r="CH184" s="153" t="str">
        <f t="shared" si="209"/>
        <v/>
      </c>
      <c r="CI184" s="151" t="str">
        <f t="shared" si="210"/>
        <v/>
      </c>
      <c r="CJ184" s="151" t="str">
        <f t="shared" si="146"/>
        <v/>
      </c>
      <c r="CK184" s="153">
        <f t="shared" si="147"/>
        <v>4</v>
      </c>
      <c r="CL184" s="153">
        <f t="shared" si="148"/>
        <v>4</v>
      </c>
      <c r="CM184" s="153">
        <f t="shared" si="149"/>
        <v>4</v>
      </c>
      <c r="CN184" s="153">
        <f t="shared" si="150"/>
        <v>4</v>
      </c>
      <c r="CO184" s="153">
        <f t="shared" si="151"/>
        <v>4</v>
      </c>
      <c r="CP184" s="153">
        <f t="shared" si="152"/>
        <v>4</v>
      </c>
      <c r="CQ184" s="153">
        <f t="shared" si="153"/>
        <v>3</v>
      </c>
      <c r="CR184" s="153">
        <f t="shared" si="154"/>
        <v>3</v>
      </c>
      <c r="CS184" s="153">
        <f t="shared" si="155"/>
        <v>2</v>
      </c>
      <c r="CT184" s="153">
        <f t="shared" si="180"/>
        <v>3</v>
      </c>
      <c r="CU184" s="153">
        <f t="shared" si="181"/>
        <v>3</v>
      </c>
      <c r="CV184" s="153">
        <f t="shared" si="182"/>
        <v>2</v>
      </c>
      <c r="CW184" s="153">
        <f t="shared" si="159"/>
        <v>2</v>
      </c>
      <c r="CX184" s="153">
        <f t="shared" si="160"/>
        <v>3</v>
      </c>
      <c r="CY184" s="153">
        <f t="shared" si="161"/>
        <v>4</v>
      </c>
    </row>
    <row r="185" spans="1:103" s="321" customFormat="1" x14ac:dyDescent="0.25">
      <c r="A185" s="382">
        <v>191</v>
      </c>
      <c r="B185" s="334">
        <v>42100</v>
      </c>
      <c r="C185" s="321">
        <v>1082401</v>
      </c>
      <c r="D185" s="321" t="s">
        <v>1969</v>
      </c>
      <c r="E185" s="321" t="str">
        <f t="shared" si="194"/>
        <v/>
      </c>
      <c r="F185" s="321" t="str">
        <f t="shared" si="195"/>
        <v/>
      </c>
      <c r="G185" s="321" t="s">
        <v>472</v>
      </c>
      <c r="I185" s="334">
        <v>42102</v>
      </c>
      <c r="K185" s="384" t="str">
        <f t="shared" ca="1" si="199"/>
        <v/>
      </c>
      <c r="N185" s="317" t="str">
        <f t="shared" si="142"/>
        <v>READY!</v>
      </c>
      <c r="O185" s="321" t="s">
        <v>302</v>
      </c>
      <c r="R185" s="321">
        <v>9276763544</v>
      </c>
      <c r="S185" s="317">
        <f t="shared" si="200"/>
        <v>9276763544</v>
      </c>
      <c r="T185" s="317" t="str">
        <f t="shared" si="201"/>
        <v/>
      </c>
      <c r="U185" s="321" t="s">
        <v>1970</v>
      </c>
      <c r="V185" s="321" t="s">
        <v>1951</v>
      </c>
      <c r="W185" s="321" t="s">
        <v>1950</v>
      </c>
      <c r="X185" s="321" t="s">
        <v>1852</v>
      </c>
      <c r="Y185" s="321" t="s">
        <v>73</v>
      </c>
      <c r="Z185" s="321" t="s">
        <v>74</v>
      </c>
      <c r="AA185" s="321" t="s">
        <v>1232</v>
      </c>
      <c r="AC185" s="321" t="s">
        <v>741</v>
      </c>
      <c r="AD185" s="321" t="s">
        <v>1234</v>
      </c>
      <c r="AH185" s="317" t="s">
        <v>52</v>
      </c>
      <c r="AI185" s="321" t="s">
        <v>1670</v>
      </c>
      <c r="AJ185" s="317" t="str">
        <f t="shared" si="196"/>
        <v>Joel Escobar</v>
      </c>
      <c r="AL185" s="321" t="s">
        <v>254</v>
      </c>
      <c r="AM185" s="321" t="s">
        <v>854</v>
      </c>
      <c r="AN185" s="334">
        <v>31917</v>
      </c>
      <c r="AO185" s="321" t="s">
        <v>2593</v>
      </c>
      <c r="AP185" s="321" t="s">
        <v>2593</v>
      </c>
      <c r="AQ185" s="321" t="s">
        <v>53</v>
      </c>
      <c r="AR185" s="321" t="s">
        <v>378</v>
      </c>
      <c r="AS185" s="332">
        <v>42116</v>
      </c>
      <c r="AT185" s="318">
        <v>42116</v>
      </c>
      <c r="AU185" s="318">
        <v>42116</v>
      </c>
      <c r="AV185" s="329">
        <v>42125</v>
      </c>
      <c r="AW185" s="332">
        <v>42116</v>
      </c>
      <c r="AX185" s="317" t="s">
        <v>2579</v>
      </c>
      <c r="AY185" s="317"/>
      <c r="AZ185" s="317">
        <v>1</v>
      </c>
      <c r="BA185" s="318">
        <v>42125</v>
      </c>
      <c r="BB185" s="326"/>
      <c r="BC185" s="332">
        <v>42116</v>
      </c>
      <c r="BD185" s="326" t="s">
        <v>2574</v>
      </c>
      <c r="BE185" s="332">
        <v>42116</v>
      </c>
      <c r="BF185" s="326" t="s">
        <v>2575</v>
      </c>
      <c r="BG185" s="332">
        <v>42116</v>
      </c>
      <c r="BH185" s="385" t="s">
        <v>2592</v>
      </c>
      <c r="BI185" s="329">
        <v>42116</v>
      </c>
      <c r="BJ185" s="332">
        <v>42116</v>
      </c>
      <c r="BK185" s="317"/>
      <c r="BL185" s="326"/>
      <c r="BM185" s="332">
        <v>42116</v>
      </c>
      <c r="BN185" s="317"/>
      <c r="BO185" s="326"/>
      <c r="BP185" s="332">
        <v>42125</v>
      </c>
      <c r="BQ185" s="318">
        <v>42116</v>
      </c>
      <c r="BR185" s="329">
        <v>42116</v>
      </c>
      <c r="BS185" s="332">
        <v>42102</v>
      </c>
      <c r="BT185" s="318">
        <v>42102</v>
      </c>
      <c r="BU185" s="329">
        <v>42102</v>
      </c>
      <c r="BV185" s="326"/>
      <c r="BW185" s="536" t="str">
        <f t="shared" ref="BW185:BW216" si="211">IF(AZ185&gt;3,"1905 ","")&amp;IF(AND(M185="",AZ185&gt;3)=TRUE,"(for processing) ","")&amp;IF(AZ185&lt;4,"",MONTH(AZ185)&amp;"/"&amp;DAY(AZ185)&amp;"/"&amp;YEAR(AZ185)&amp;", ")&amp;IF(BA185&gt;3,"2305 ","")&amp;IF(AND(M185="",BA185&gt;3)=TRUE,"(for processing) ","")&amp;IF(BA185&lt;4,"",MONTH(BA185)&amp;"/"&amp;DAY(BA185)&amp;"/"&amp;YEAR(BA185)&amp;", ")&amp;IF(BI185&gt;0,"MDR ","")&amp;IF(BI185=0,"",MONTH(BI185)&amp;"/"&amp;DAY(BI185)&amp;"/"&amp;YEAR(BI185)&amp;", ")&amp;IF(BK185&gt;0,"NBI receipt "&amp;MONTH(BK185)&amp;"/"&amp;DAY(BK185)&amp;"/"&amp;YEAR(BK185)&amp;", ","") &amp;BV185</f>
        <v xml:space="preserve">2305 (for processing) 5/1/2015, MDR 4/22/2015, </v>
      </c>
      <c r="BX185" s="536">
        <f t="shared" si="198"/>
        <v>11</v>
      </c>
      <c r="BY185" s="536">
        <f t="shared" si="144"/>
        <v>11</v>
      </c>
      <c r="BZ185" s="537">
        <f t="shared" si="202"/>
        <v>1</v>
      </c>
      <c r="CA185" s="337" t="str">
        <f t="shared" si="197"/>
        <v/>
      </c>
      <c r="CB185" s="318" t="str">
        <f t="shared" si="203"/>
        <v/>
      </c>
      <c r="CC185" s="317" t="str">
        <f t="shared" ca="1" si="204"/>
        <v/>
      </c>
      <c r="CD185" s="317" t="str">
        <f t="shared" si="205"/>
        <v/>
      </c>
      <c r="CE185" s="317" t="str">
        <f t="shared" si="206"/>
        <v/>
      </c>
      <c r="CF185" s="538" t="str">
        <f t="shared" si="207"/>
        <v/>
      </c>
      <c r="CG185" s="539" t="str">
        <f t="shared" si="208"/>
        <v/>
      </c>
      <c r="CH185" s="317" t="str">
        <f t="shared" si="209"/>
        <v/>
      </c>
      <c r="CI185" s="318" t="str">
        <f t="shared" si="210"/>
        <v/>
      </c>
      <c r="CJ185" s="318" t="str">
        <f t="shared" si="146"/>
        <v/>
      </c>
      <c r="CK185" s="317">
        <f t="shared" si="147"/>
        <v>5</v>
      </c>
      <c r="CL185" s="317">
        <f t="shared" si="148"/>
        <v>5</v>
      </c>
      <c r="CM185" s="317">
        <f t="shared" si="149"/>
        <v>5</v>
      </c>
      <c r="CN185" s="317">
        <f t="shared" si="150"/>
        <v>5</v>
      </c>
      <c r="CO185" s="317">
        <f t="shared" si="151"/>
        <v>5</v>
      </c>
      <c r="CP185" s="317">
        <f t="shared" si="152"/>
        <v>5</v>
      </c>
      <c r="CQ185" s="317">
        <f t="shared" si="153"/>
        <v>4</v>
      </c>
      <c r="CR185" s="317">
        <f t="shared" si="154"/>
        <v>4</v>
      </c>
      <c r="CS185" s="317">
        <f t="shared" si="155"/>
        <v>3</v>
      </c>
      <c r="CT185" s="317">
        <f t="shared" si="180"/>
        <v>4</v>
      </c>
      <c r="CU185" s="317">
        <f t="shared" si="181"/>
        <v>4</v>
      </c>
      <c r="CV185" s="317">
        <f t="shared" si="182"/>
        <v>3</v>
      </c>
      <c r="CW185" s="317">
        <f t="shared" si="159"/>
        <v>3</v>
      </c>
      <c r="CX185" s="317">
        <f t="shared" si="160"/>
        <v>3</v>
      </c>
      <c r="CY185" s="317">
        <f t="shared" si="161"/>
        <v>5</v>
      </c>
    </row>
    <row r="186" spans="1:103" s="8" customFormat="1" x14ac:dyDescent="0.25">
      <c r="A186" s="133">
        <v>191</v>
      </c>
      <c r="B186" s="20">
        <v>42100</v>
      </c>
      <c r="C186" s="8">
        <v>1082402</v>
      </c>
      <c r="D186" s="8" t="s">
        <v>2003</v>
      </c>
      <c r="E186" s="8" t="str">
        <f t="shared" si="194"/>
        <v/>
      </c>
      <c r="F186" s="8" t="str">
        <f t="shared" si="195"/>
        <v/>
      </c>
      <c r="G186" s="8" t="s">
        <v>472</v>
      </c>
      <c r="K186" s="152" t="str">
        <f t="shared" ca="1" si="199"/>
        <v/>
      </c>
      <c r="N186" s="153" t="str">
        <f t="shared" si="142"/>
        <v/>
      </c>
      <c r="O186" s="8" t="s">
        <v>298</v>
      </c>
      <c r="P186" s="113" t="s">
        <v>689</v>
      </c>
      <c r="R186" s="8">
        <v>9287296968</v>
      </c>
      <c r="S186" s="153">
        <f t="shared" si="200"/>
        <v>9287296968</v>
      </c>
      <c r="T186" s="153" t="str">
        <f t="shared" si="201"/>
        <v/>
      </c>
      <c r="U186" s="8" t="s">
        <v>1971</v>
      </c>
      <c r="V186" s="8" t="s">
        <v>1953</v>
      </c>
      <c r="W186" s="8" t="s">
        <v>1952</v>
      </c>
      <c r="Y186" s="8" t="s">
        <v>73</v>
      </c>
      <c r="Z186" s="8" t="s">
        <v>74</v>
      </c>
      <c r="AH186" s="113" t="s">
        <v>52</v>
      </c>
      <c r="AI186" s="8" t="s">
        <v>1846</v>
      </c>
      <c r="AJ186" s="153" t="str">
        <f t="shared" si="196"/>
        <v/>
      </c>
      <c r="AL186" s="8" t="s">
        <v>259</v>
      </c>
      <c r="AM186" s="8" t="s">
        <v>854</v>
      </c>
      <c r="AN186" s="20">
        <v>33134</v>
      </c>
      <c r="AS186" s="165"/>
      <c r="AT186" s="113"/>
      <c r="AU186" s="113"/>
      <c r="AV186" s="182"/>
      <c r="AW186" s="187"/>
      <c r="AX186" s="113"/>
      <c r="AY186" s="113"/>
      <c r="AZ186" s="113"/>
      <c r="BA186" s="113"/>
      <c r="BB186" s="182"/>
      <c r="BC186" s="165"/>
      <c r="BD186" s="182"/>
      <c r="BE186" s="165"/>
      <c r="BF186" s="182"/>
      <c r="BG186" s="165"/>
      <c r="BH186" s="274"/>
      <c r="BI186" s="182"/>
      <c r="BJ186" s="165"/>
      <c r="BK186" s="113"/>
      <c r="BL186" s="182"/>
      <c r="BM186" s="165"/>
      <c r="BN186" s="113"/>
      <c r="BO186" s="182"/>
      <c r="BP186" s="165"/>
      <c r="BQ186" s="113"/>
      <c r="BR186" s="182"/>
      <c r="BS186" s="187"/>
      <c r="BT186" s="129"/>
      <c r="BU186" s="177"/>
      <c r="BV186" s="182"/>
      <c r="BW186" s="398" t="str">
        <f t="shared" si="211"/>
        <v/>
      </c>
      <c r="BX186" s="398" t="str">
        <f t="shared" si="198"/>
        <v/>
      </c>
      <c r="BY186" s="398" t="str">
        <f t="shared" si="144"/>
        <v/>
      </c>
      <c r="BZ186" s="399" t="str">
        <f t="shared" si="202"/>
        <v/>
      </c>
      <c r="CA186" s="168" t="str">
        <f t="shared" si="197"/>
        <v/>
      </c>
      <c r="CB186" s="151" t="str">
        <f t="shared" si="203"/>
        <v/>
      </c>
      <c r="CC186" s="153" t="str">
        <f t="shared" ca="1" si="204"/>
        <v/>
      </c>
      <c r="CD186" s="153" t="str">
        <f t="shared" si="205"/>
        <v/>
      </c>
      <c r="CE186" s="153" t="str">
        <f t="shared" si="206"/>
        <v/>
      </c>
      <c r="CF186" s="396" t="str">
        <f t="shared" si="207"/>
        <v/>
      </c>
      <c r="CG186" s="397" t="str">
        <f t="shared" si="208"/>
        <v/>
      </c>
      <c r="CH186" s="153" t="str">
        <f t="shared" si="209"/>
        <v/>
      </c>
      <c r="CI186" s="151" t="str">
        <f t="shared" si="210"/>
        <v/>
      </c>
      <c r="CJ186" s="151" t="str">
        <f t="shared" si="146"/>
        <v/>
      </c>
      <c r="CK186" s="153">
        <f t="shared" si="147"/>
        <v>5</v>
      </c>
      <c r="CL186" s="153">
        <f t="shared" si="148"/>
        <v>5</v>
      </c>
      <c r="CM186" s="153">
        <f t="shared" si="149"/>
        <v>5</v>
      </c>
      <c r="CN186" s="153">
        <f t="shared" si="150"/>
        <v>5</v>
      </c>
      <c r="CO186" s="153">
        <f t="shared" si="151"/>
        <v>5</v>
      </c>
      <c r="CP186" s="153">
        <f t="shared" si="152"/>
        <v>5</v>
      </c>
      <c r="CQ186" s="153">
        <f t="shared" si="153"/>
        <v>4</v>
      </c>
      <c r="CR186" s="153">
        <f t="shared" si="154"/>
        <v>4</v>
      </c>
      <c r="CS186" s="153">
        <f t="shared" si="155"/>
        <v>3</v>
      </c>
      <c r="CT186" s="153">
        <f t="shared" si="180"/>
        <v>4</v>
      </c>
      <c r="CU186" s="153">
        <f t="shared" si="181"/>
        <v>4</v>
      </c>
      <c r="CV186" s="153">
        <f t="shared" si="182"/>
        <v>3</v>
      </c>
      <c r="CW186" s="153">
        <f t="shared" si="159"/>
        <v>3</v>
      </c>
      <c r="CX186" s="153">
        <f t="shared" si="160"/>
        <v>4</v>
      </c>
      <c r="CY186" s="153">
        <f t="shared" si="161"/>
        <v>5</v>
      </c>
    </row>
    <row r="187" spans="1:103" s="8" customFormat="1" x14ac:dyDescent="0.25">
      <c r="A187" s="133">
        <v>191</v>
      </c>
      <c r="B187" s="20">
        <v>42101</v>
      </c>
      <c r="C187" s="8">
        <v>1082403</v>
      </c>
      <c r="D187" s="8" t="s">
        <v>2004</v>
      </c>
      <c r="E187" s="8" t="str">
        <f t="shared" si="194"/>
        <v/>
      </c>
      <c r="F187" s="8" t="str">
        <f t="shared" si="195"/>
        <v/>
      </c>
      <c r="G187" s="8" t="s">
        <v>472</v>
      </c>
      <c r="K187" s="132" t="str">
        <f t="shared" ca="1" si="199"/>
        <v/>
      </c>
      <c r="N187" s="113" t="str">
        <f t="shared" si="142"/>
        <v/>
      </c>
      <c r="O187" s="8" t="s">
        <v>298</v>
      </c>
      <c r="P187" s="113" t="s">
        <v>689</v>
      </c>
      <c r="S187" s="113">
        <f t="shared" si="200"/>
        <v>0</v>
      </c>
      <c r="T187" s="113" t="str">
        <f t="shared" si="201"/>
        <v/>
      </c>
      <c r="U187" s="8" t="s">
        <v>2011</v>
      </c>
      <c r="V187" s="8" t="s">
        <v>1978</v>
      </c>
      <c r="W187" s="8" t="s">
        <v>1977</v>
      </c>
      <c r="Y187" s="8" t="s">
        <v>1976</v>
      </c>
      <c r="Z187" s="8" t="s">
        <v>74</v>
      </c>
      <c r="AB187" s="8" t="s">
        <v>2341</v>
      </c>
      <c r="AC187" s="8" t="s">
        <v>2397</v>
      </c>
      <c r="AD187" s="8" t="s">
        <v>2343</v>
      </c>
      <c r="AH187" s="113" t="s">
        <v>52</v>
      </c>
      <c r="AJ187" s="113" t="str">
        <f t="shared" si="196"/>
        <v/>
      </c>
      <c r="AN187" s="20"/>
      <c r="AO187" s="8" t="s">
        <v>2340</v>
      </c>
      <c r="AS187" s="165"/>
      <c r="AT187" s="113"/>
      <c r="AU187" s="113"/>
      <c r="AV187" s="182"/>
      <c r="AW187" s="187"/>
      <c r="AX187" s="113"/>
      <c r="AY187" s="113"/>
      <c r="AZ187" s="113"/>
      <c r="BA187" s="113"/>
      <c r="BB187" s="182"/>
      <c r="BC187" s="165"/>
      <c r="BD187" s="182"/>
      <c r="BE187" s="165"/>
      <c r="BF187" s="182"/>
      <c r="BG187" s="165"/>
      <c r="BH187" s="274"/>
      <c r="BI187" s="182"/>
      <c r="BJ187" s="165"/>
      <c r="BK187" s="113"/>
      <c r="BL187" s="182"/>
      <c r="BM187" s="165"/>
      <c r="BN187" s="113"/>
      <c r="BO187" s="182"/>
      <c r="BP187" s="165"/>
      <c r="BQ187" s="113"/>
      <c r="BR187" s="182"/>
      <c r="BS187" s="187">
        <v>42104</v>
      </c>
      <c r="BT187" s="129"/>
      <c r="BU187" s="177">
        <v>42104</v>
      </c>
      <c r="BV187" s="182"/>
      <c r="BW187" s="532" t="str">
        <f t="shared" si="211"/>
        <v/>
      </c>
      <c r="BX187" s="532" t="str">
        <f t="shared" si="198"/>
        <v/>
      </c>
      <c r="BY187" s="532" t="str">
        <f t="shared" si="144"/>
        <v/>
      </c>
      <c r="BZ187" s="533" t="str">
        <f t="shared" si="202"/>
        <v/>
      </c>
      <c r="CA187" s="165" t="str">
        <f t="shared" si="197"/>
        <v/>
      </c>
      <c r="CB187" s="129" t="str">
        <f t="shared" si="203"/>
        <v/>
      </c>
      <c r="CC187" s="113" t="str">
        <f t="shared" ca="1" si="204"/>
        <v/>
      </c>
      <c r="CD187" s="113" t="str">
        <f t="shared" si="205"/>
        <v/>
      </c>
      <c r="CE187" s="113" t="str">
        <f t="shared" si="206"/>
        <v/>
      </c>
      <c r="CF187" s="534" t="str">
        <f t="shared" si="207"/>
        <v/>
      </c>
      <c r="CG187" s="535" t="str">
        <f t="shared" si="208"/>
        <v/>
      </c>
      <c r="CH187" s="113" t="str">
        <f t="shared" si="209"/>
        <v/>
      </c>
      <c r="CI187" s="129" t="str">
        <f t="shared" si="210"/>
        <v/>
      </c>
      <c r="CJ187" s="129" t="str">
        <f t="shared" si="146"/>
        <v/>
      </c>
      <c r="CK187" s="113">
        <f t="shared" si="147"/>
        <v>5</v>
      </c>
      <c r="CL187" s="113">
        <f t="shared" si="148"/>
        <v>5</v>
      </c>
      <c r="CM187" s="113">
        <f t="shared" si="149"/>
        <v>5</v>
      </c>
      <c r="CN187" s="113">
        <f t="shared" si="150"/>
        <v>5</v>
      </c>
      <c r="CO187" s="113">
        <f t="shared" si="151"/>
        <v>5</v>
      </c>
      <c r="CP187" s="113">
        <f t="shared" si="152"/>
        <v>5</v>
      </c>
      <c r="CQ187" s="113">
        <f t="shared" si="153"/>
        <v>4</v>
      </c>
      <c r="CR187" s="113">
        <f t="shared" si="154"/>
        <v>4</v>
      </c>
      <c r="CS187" s="113">
        <f t="shared" si="155"/>
        <v>3</v>
      </c>
      <c r="CT187" s="113">
        <f t="shared" si="180"/>
        <v>4</v>
      </c>
      <c r="CU187" s="113">
        <f t="shared" si="181"/>
        <v>4</v>
      </c>
      <c r="CV187" s="113">
        <f t="shared" si="182"/>
        <v>3</v>
      </c>
      <c r="CW187" s="113">
        <f t="shared" si="159"/>
        <v>3</v>
      </c>
      <c r="CX187" s="113">
        <f t="shared" si="160"/>
        <v>5</v>
      </c>
      <c r="CY187" s="113">
        <f t="shared" si="161"/>
        <v>5</v>
      </c>
    </row>
    <row r="188" spans="1:103" s="343" customFormat="1" ht="15.75" thickBot="1" x14ac:dyDescent="0.3">
      <c r="A188" s="391">
        <v>191</v>
      </c>
      <c r="B188" s="344">
        <v>42100</v>
      </c>
      <c r="C188" s="343">
        <v>1082404</v>
      </c>
      <c r="D188" s="343" t="s">
        <v>2005</v>
      </c>
      <c r="E188" s="343" t="str">
        <f t="shared" si="194"/>
        <v/>
      </c>
      <c r="F188" s="343" t="str">
        <f t="shared" si="195"/>
        <v xml:space="preserve">Contract, Confi, </v>
      </c>
      <c r="I188" s="344"/>
      <c r="K188" s="491" t="str">
        <f t="shared" ca="1" si="199"/>
        <v/>
      </c>
      <c r="N188" s="487" t="str">
        <f t="shared" si="142"/>
        <v>READY!</v>
      </c>
      <c r="O188" s="343" t="s">
        <v>302</v>
      </c>
      <c r="R188" s="343">
        <v>9178491332</v>
      </c>
      <c r="S188" s="487">
        <f t="shared" si="200"/>
        <v>9178491332</v>
      </c>
      <c r="T188" s="487" t="str">
        <f t="shared" si="201"/>
        <v/>
      </c>
      <c r="U188" s="343" t="s">
        <v>2009</v>
      </c>
      <c r="V188" s="343" t="s">
        <v>2000</v>
      </c>
      <c r="W188" s="343" t="s">
        <v>1999</v>
      </c>
      <c r="X188" s="343" t="s">
        <v>2001</v>
      </c>
      <c r="Y188" s="343" t="s">
        <v>2002</v>
      </c>
      <c r="Z188" s="343" t="s">
        <v>128</v>
      </c>
      <c r="AA188" s="343" t="s">
        <v>2394</v>
      </c>
      <c r="AC188" s="343" t="s">
        <v>1025</v>
      </c>
      <c r="AE188" s="343" t="s">
        <v>2395</v>
      </c>
      <c r="AF188" s="343" t="s">
        <v>1027</v>
      </c>
      <c r="AG188" s="343" t="s">
        <v>2396</v>
      </c>
      <c r="AH188" s="343" t="s">
        <v>52</v>
      </c>
      <c r="AJ188" s="487" t="str">
        <f t="shared" si="196"/>
        <v/>
      </c>
      <c r="AN188" s="344"/>
      <c r="AO188" s="343" t="s">
        <v>2363</v>
      </c>
      <c r="AP188" s="343" t="s">
        <v>2363</v>
      </c>
      <c r="AQ188" s="343" t="s">
        <v>53</v>
      </c>
      <c r="AR188" s="343" t="s">
        <v>495</v>
      </c>
      <c r="AS188" s="356">
        <v>42109</v>
      </c>
      <c r="AT188" s="344">
        <v>42109</v>
      </c>
      <c r="AU188" s="344">
        <v>42109</v>
      </c>
      <c r="AV188" s="353">
        <v>42109</v>
      </c>
      <c r="AW188" s="356">
        <v>42109</v>
      </c>
      <c r="AX188" s="343" t="s">
        <v>2362</v>
      </c>
      <c r="AZ188" s="344">
        <v>42109</v>
      </c>
      <c r="BA188" s="344">
        <v>42122</v>
      </c>
      <c r="BB188" s="351"/>
      <c r="BC188" s="356">
        <v>42109</v>
      </c>
      <c r="BD188" s="351" t="s">
        <v>2364</v>
      </c>
      <c r="BE188" s="356">
        <v>42109</v>
      </c>
      <c r="BF188" s="351" t="s">
        <v>2330</v>
      </c>
      <c r="BG188" s="356">
        <v>42122</v>
      </c>
      <c r="BH188" s="464" t="s">
        <v>2735</v>
      </c>
      <c r="BI188" s="353">
        <v>42122</v>
      </c>
      <c r="BJ188" s="356">
        <v>42109</v>
      </c>
      <c r="BL188" s="351"/>
      <c r="BM188" s="356">
        <v>42109</v>
      </c>
      <c r="BO188" s="351"/>
      <c r="BP188" s="356">
        <v>42130</v>
      </c>
      <c r="BQ188" s="344">
        <v>42122</v>
      </c>
      <c r="BR188" s="353">
        <v>42109</v>
      </c>
      <c r="BS188" s="356">
        <v>42047</v>
      </c>
      <c r="BT188" s="344"/>
      <c r="BU188" s="353"/>
      <c r="BV188" s="351"/>
      <c r="BW188" s="522" t="str">
        <f t="shared" si="211"/>
        <v xml:space="preserve">1905 (for processing) 4/15/2015, 2305 (for processing) 4/28/2015, MDR 4/28/2015, </v>
      </c>
      <c r="BX188" s="522">
        <f t="shared" si="198"/>
        <v>11</v>
      </c>
      <c r="BY188" s="522">
        <f t="shared" si="144"/>
        <v>11</v>
      </c>
      <c r="BZ188" s="523">
        <f t="shared" si="202"/>
        <v>1</v>
      </c>
      <c r="CA188" s="524">
        <f t="shared" si="197"/>
        <v>191</v>
      </c>
      <c r="CB188" s="503">
        <f t="shared" si="203"/>
        <v>42100</v>
      </c>
      <c r="CC188" s="487">
        <f t="shared" ca="1" si="204"/>
        <v>7</v>
      </c>
      <c r="CD188" s="487">
        <f t="shared" si="205"/>
        <v>6</v>
      </c>
      <c r="CE188" s="487">
        <f t="shared" si="206"/>
        <v>4</v>
      </c>
      <c r="CF188" s="504">
        <f t="shared" si="207"/>
        <v>2</v>
      </c>
      <c r="CG188" s="505">
        <f t="shared" si="208"/>
        <v>0.90909090909090906</v>
      </c>
      <c r="CH188" s="487" t="str">
        <f t="shared" si="209"/>
        <v xml:space="preserve">Waiver (2) </v>
      </c>
      <c r="CI188" s="503" t="str">
        <f t="shared" si="210"/>
        <v/>
      </c>
      <c r="CJ188" s="503" t="str">
        <f t="shared" si="146"/>
        <v/>
      </c>
      <c r="CK188" s="487">
        <f t="shared" si="147"/>
        <v>6</v>
      </c>
      <c r="CL188" s="487">
        <f t="shared" si="148"/>
        <v>6</v>
      </c>
      <c r="CM188" s="487">
        <f t="shared" si="149"/>
        <v>6</v>
      </c>
      <c r="CN188" s="487">
        <f t="shared" si="150"/>
        <v>6</v>
      </c>
      <c r="CO188" s="487">
        <f t="shared" si="151"/>
        <v>6</v>
      </c>
      <c r="CP188" s="487">
        <f t="shared" si="152"/>
        <v>6</v>
      </c>
      <c r="CQ188" s="487">
        <f t="shared" si="153"/>
        <v>5</v>
      </c>
      <c r="CR188" s="487">
        <f t="shared" si="154"/>
        <v>5</v>
      </c>
      <c r="CS188" s="487">
        <f t="shared" si="155"/>
        <v>4</v>
      </c>
      <c r="CT188" s="487">
        <f t="shared" ref="CT188:CT219" si="212">IF(CB187="",CT187+IF(IF(O188="n",0,COUNT(AW188))=1,1,0),IF(IF(O188="n",0,COUNT(AW188))=1,1,0))</f>
        <v>5</v>
      </c>
      <c r="CU188" s="487">
        <f t="shared" ref="CU188:CU219" si="213">IF(CB187="",CU187+IF(IF(O188="n",0,COUNT(AZ188))=1,1,0),IF(IF(O188="n",0,COUNT(AZ188))=1,1,0))</f>
        <v>5</v>
      </c>
      <c r="CV188" s="487">
        <f t="shared" ref="CV188:CV219" si="214">IF(CB187="",CV187+IF(IF(O188="n",0,COUNT(BA188))=1,1,0),IF(IF(O188="n",0,COUNT(BA188))=1,1,0))</f>
        <v>4</v>
      </c>
      <c r="CW188" s="487">
        <f t="shared" si="159"/>
        <v>4</v>
      </c>
      <c r="CX188" s="487">
        <f t="shared" si="160"/>
        <v>5</v>
      </c>
      <c r="CY188" s="487">
        <f t="shared" si="161"/>
        <v>6</v>
      </c>
    </row>
    <row r="189" spans="1:103" ht="15.75" thickTop="1" x14ac:dyDescent="0.25">
      <c r="A189" s="7">
        <v>192</v>
      </c>
      <c r="B189" s="16">
        <v>42107</v>
      </c>
      <c r="C189" s="1">
        <v>1082405</v>
      </c>
      <c r="D189" s="1" t="s">
        <v>2332</v>
      </c>
      <c r="E189" s="1" t="str">
        <f t="shared" si="194"/>
        <v xml:space="preserve">SSS, HDMF, AWOL, Waiver, 1905, 2305, </v>
      </c>
      <c r="F189" s="1" t="str">
        <f t="shared" si="195"/>
        <v xml:space="preserve">TOR, COE, 2x2, </v>
      </c>
      <c r="K189" s="152" t="str">
        <f t="shared" ca="1" si="199"/>
        <v>Dedlyn!</v>
      </c>
      <c r="N189" s="153" t="str">
        <f t="shared" si="142"/>
        <v/>
      </c>
      <c r="O189" s="1" t="s">
        <v>301</v>
      </c>
      <c r="Q189" s="1" t="s">
        <v>2491</v>
      </c>
      <c r="R189" s="1">
        <v>9357003199</v>
      </c>
      <c r="S189" s="153">
        <f t="shared" ref="S189:S213" si="215">IFERROR(IF(SEARCH("/",R189)&gt;0,REPLACE(R189,11,11,""),R189),R189)</f>
        <v>9357003199</v>
      </c>
      <c r="T189" s="153" t="str">
        <f t="shared" ref="T189:T213" si="216">IFERROR(IF(SEARCH("/",R189)&gt;0,REPLACE(R189,1,11,""),""),"")</f>
        <v/>
      </c>
      <c r="U189" s="1" t="s">
        <v>2288</v>
      </c>
      <c r="V189" s="1" t="s">
        <v>2063</v>
      </c>
      <c r="W189" s="1" t="s">
        <v>2333</v>
      </c>
      <c r="X189" s="1" t="s">
        <v>2062</v>
      </c>
      <c r="Y189" s="1" t="s">
        <v>1446</v>
      </c>
      <c r="Z189" s="1" t="s">
        <v>74</v>
      </c>
      <c r="AA189" s="1" t="s">
        <v>1037</v>
      </c>
      <c r="AC189" s="1" t="s">
        <v>741</v>
      </c>
      <c r="AD189" s="1" t="s">
        <v>1234</v>
      </c>
      <c r="AH189" s="1" t="s">
        <v>52</v>
      </c>
      <c r="AI189" s="1" t="s">
        <v>253</v>
      </c>
      <c r="AJ189" s="153" t="str">
        <f t="shared" si="196"/>
        <v/>
      </c>
      <c r="AL189" s="1" t="s">
        <v>339</v>
      </c>
      <c r="AM189" s="1" t="s">
        <v>1447</v>
      </c>
      <c r="AN189" s="16">
        <v>32582</v>
      </c>
      <c r="AO189" s="1" t="s">
        <v>2335</v>
      </c>
      <c r="AQ189" s="1" t="s">
        <v>53</v>
      </c>
      <c r="AR189" s="1" t="s">
        <v>378</v>
      </c>
      <c r="AS189" s="169">
        <v>42109</v>
      </c>
      <c r="AU189" s="170">
        <v>42108</v>
      </c>
      <c r="AW189" s="169">
        <v>42109</v>
      </c>
      <c r="AX189" s="112" t="s">
        <v>2344</v>
      </c>
      <c r="BG189" s="169">
        <v>42118</v>
      </c>
      <c r="BH189" s="188" t="s">
        <v>2635</v>
      </c>
      <c r="BI189" s="181">
        <v>42118</v>
      </c>
      <c r="BJ189" s="169">
        <v>42109</v>
      </c>
      <c r="BM189" s="169">
        <v>42108</v>
      </c>
      <c r="BS189" s="169">
        <v>42107</v>
      </c>
      <c r="BT189" s="170">
        <v>42107</v>
      </c>
      <c r="BU189" s="181">
        <v>42107</v>
      </c>
      <c r="BW189" s="398" t="str">
        <f t="shared" si="211"/>
        <v xml:space="preserve">MDR 4/24/2015, </v>
      </c>
      <c r="BX189" s="398">
        <f t="shared" si="198"/>
        <v>6</v>
      </c>
      <c r="BY189" s="398">
        <f t="shared" si="144"/>
        <v>11</v>
      </c>
      <c r="BZ189" s="399">
        <f t="shared" ref="BZ189:BZ213" si="217">IFERROR(BX189/BY189,"")</f>
        <v>0.54545454545454541</v>
      </c>
      <c r="CA189" s="168" t="str">
        <f t="shared" si="197"/>
        <v/>
      </c>
      <c r="CB189" s="151" t="str">
        <f t="shared" ref="CB189:CB213" si="218">IFERROR(CA189*7+40763,"")</f>
        <v/>
      </c>
      <c r="CC189" s="153" t="str">
        <f t="shared" ref="CC189:CC213" ca="1" si="219">IFERROR(ROUND(IF(CB189="","",(TODAY()-CB189)/7)+1,0),"")</f>
        <v/>
      </c>
      <c r="CD189" s="153" t="str">
        <f t="shared" ref="CD189:CD213" si="220">IF(CG189="","",CY189)</f>
        <v/>
      </c>
      <c r="CE189" s="153" t="str">
        <f t="shared" ref="CE189:CE213" si="221">IF(CG189="","",CW189)</f>
        <v/>
      </c>
      <c r="CF189" s="396" t="str">
        <f t="shared" ref="CF189:CF213" si="222">IF(CG189="","",CY189-CW189)</f>
        <v/>
      </c>
      <c r="CG189" s="397" t="str">
        <f t="shared" ref="CG189:CG213" si="223">IF(CB189="","",SUM(CK189:CU189)/((CY189)*11))</f>
        <v/>
      </c>
      <c r="CH189" s="153" t="str">
        <f t="shared" ref="CH189:CH213" si="224">IF(CB189="","",IF(MIN(CK189:CU189)&gt;CY189,"",CONCATENATE(IF(SUM(IF(CK189&lt;CL189,1,0),IF(CK189&lt;CM189,1,0),IF(CK189&lt;CN189,1,0),IF(CK189&lt;CO189,1,0),IF(CK189&lt;CP189,1,0),IF(CK189&lt;CQ189,1,0),IF(CK189&lt;CR189,1,0),IF(CK189&lt;CS189,1,0),IF(CK189&lt;CT189,1,0),IF(CK189&lt;CU189,1,0))&gt;7,"SSS ("&amp;CY189-CK189&amp;") ",""),IF(SUM(IF(CL189&lt;CK189,1,0),IF(CL189&lt;CM189,1,0),IF(CL189&lt;CN189,1,0),IF(CL189&lt;CO189,1,0),IF(CL189&lt;CP189,1,0),IF(CL189&lt;CQ189,1,0),IF(CL189&lt;CR189,1,0),IF(CL189&lt;CS189,1,0),IF(CL189&lt;CT189,1,0),IF(CL189&lt;CU189,1,0))&gt;7,"HDMF ("&amp;CY189-CL189&amp;") ",""),IF(SUM(IF(CM189&lt;CK189,1,0),IF(CM189&lt;CL189,1,0),IF(CM189&lt;CN189,1,0),IF(CM189&lt;CO189,1,0),IF(CM189&lt;CP189,1,0),IF(CM189&lt;CQ189,1,0),IF(CM189&lt;CR189,1,0),IF(CM189&lt;CS189,1,0),IF(CM189&lt;CT189,1,0),IF(CM189&lt;CU189,1,0))&gt;7,"PHIC ("&amp;CY189-CM189&amp;") ",""),IF(SUM(IF(CN189&lt;CK189,1,0),IF(CN189&lt;CL189,1,0),IF(CN189&lt;CM189,1,0),IF(CN189&lt;CO189,1,0),IF(CN189&lt;CP189,1,0),IF(CN189&lt;CQ189,1,0),IF(CN189&lt;CR189,1,0),IF(CN189&lt;CS189,1,0),IF(CN189&lt;CT189,1,0),IF(CN189&lt;CU189,1,0))&gt;7,"NBI ("&amp;CY189-CN189&amp;") ",""),IF(SUM(IF(CO189&lt;CK189,1,0),IF(CO189&lt;CL189,1,0),IF(CO189&lt;CN189,1,0),IF(CO189&lt;CM189,1,0),IF(CO189&lt;CP189,1,0),IF(CO189&lt;CQ189,1,0),IF(CO189&lt;CR189,1,0),IF(CO189&lt;CS189,1,0),IF(CO189&lt;CT189,1,0),IF(CO189&lt;CU189,1,0))&gt;7,"NSO ("&amp;CY189-CO189&amp;") ",""),IF(SUM(IF(CP189&lt;CK189,1,0),IF(CP189&lt;CL189,1,0),IF(CP189&lt;CN189,1,0),IF(CP189&lt;CO189,1,0),IF(CP189&lt;CM189,1,0),IF(CP189&lt;CQ189,1,0),IF(CP189&lt;CR189,1,0),IF(CP189&lt;CS189,1,0),IF(CP189&lt;CT189,1,0),IF(CP189&lt;CU189,1,0))&gt;7,"Info ("&amp;CY189-CP189&amp;") ",""),IF(SUM(IF(CQ189&lt;CK189,1,0),IF(CQ189&lt;CL189,1,0),IF(CQ189&lt;CN189,1,0),IF(CQ189&lt;CO189,1,0),IF(CQ189&lt;CP189,1,0),IF(CQ189&lt;CM189,1,0),IF(CQ189&lt;CR189,1,0),IF(CQ189&lt;CS189,1,0),IF(CQ189&lt;CT189,1,0),IF(CQ189&lt;CU189,1,0))&gt;7,"AWOL ("&amp;CY189-CQ189&amp;") ",""),IF(SUM(IF(CR189&lt;CK189,1,0),IF(CR189&lt;CL189,1,0),IF(CR189&lt;CN189,1,0),IF(CR189&lt;CO189,1,0),IF(CR189&lt;CP189,1,0),IF(CR189&lt;CQ189,1,0),IF(CR189&lt;CM189,1,0),IF(CR189&lt;CS189,1,0),IF(CR189&lt;CT189,1,0),IF(CR189&lt;CU189,1,0))&gt;7,"Hand ("&amp;CY189-CR189&amp;") ",""),IF(SUM(IF(CS189&lt;CK189,1,0),IF(CS189&lt;CL189,1,0),IF(CS189&lt;CN189,1,0),IF(CS189&lt;CO189,1,0),IF(CS189&lt;CP189,1,0),IF(CS189&lt;CQ189,1,0),IF(CS189&lt;CR189,1,0),IF(CS189&lt;CM189,1,0),IF(CS189&lt;CT189,1,0),IF(CS189&lt;CU189,1,0))&gt;7,"Waiver ("&amp;CY189-CS189&amp;") ",""),IF(SUM(IF(CT189&lt;CK189,1,0),IF(CT189&lt;CL189,1,0),IF(CT189&lt;CN189,1,0),IF(CT189&lt;CO189,1,0),IF(CT189&lt;CP189,1,0),IF(CT189&lt;CQ189,1,0),IF(CT189&lt;CR189,1,0),IF(CT189&lt;CS189,1,0),IF(CT189&lt;CM189,1,0),IF(CT189&lt;CU189,1,0))&gt;7,"TIN ("&amp;CY189-CT189&amp;") ",""),IF(SUM(IF(CU189&lt;CK189,1,0),IF(CU189&lt;CL189,1,0),IF(CU189&lt;CN189,1,0),IF(CU189&lt;CO189,1,0),IF(CU189&lt;CP189,1,0),IF(CU189&lt;CQ189,1,0),IF(CU189&lt;CR189,1,0),IF(CU189&lt;CS189,1,0),IF(CU189&lt;CT189,1,0),IF(CU189&lt;CM189,1,0))&gt;7,"1905 ("&amp;CY189-CU189&amp;") ",""))))</f>
        <v/>
      </c>
      <c r="CI189" s="151" t="str">
        <f t="shared" ref="CI189:CI213" si="225">IF(CA189="","",CJ189)</f>
        <v/>
      </c>
      <c r="CJ189" s="151" t="str">
        <f t="shared" si="146"/>
        <v/>
      </c>
      <c r="CK189" s="153">
        <f t="shared" si="147"/>
        <v>0</v>
      </c>
      <c r="CL189" s="153">
        <f t="shared" si="148"/>
        <v>0</v>
      </c>
      <c r="CM189" s="153">
        <f t="shared" si="149"/>
        <v>1</v>
      </c>
      <c r="CN189" s="153">
        <f t="shared" si="150"/>
        <v>1</v>
      </c>
      <c r="CO189" s="153">
        <f t="shared" si="151"/>
        <v>1</v>
      </c>
      <c r="CP189" s="153">
        <f t="shared" si="152"/>
        <v>1</v>
      </c>
      <c r="CQ189" s="153">
        <f t="shared" si="153"/>
        <v>0</v>
      </c>
      <c r="CR189" s="153">
        <f t="shared" si="154"/>
        <v>1</v>
      </c>
      <c r="CS189" s="153">
        <f t="shared" si="155"/>
        <v>0</v>
      </c>
      <c r="CT189" s="153">
        <f t="shared" si="212"/>
        <v>1</v>
      </c>
      <c r="CU189" s="153">
        <f t="shared" si="213"/>
        <v>0</v>
      </c>
      <c r="CV189" s="153">
        <f t="shared" si="214"/>
        <v>0</v>
      </c>
      <c r="CW189" s="153">
        <f t="shared" si="159"/>
        <v>0</v>
      </c>
      <c r="CX189" s="153">
        <f t="shared" si="160"/>
        <v>0</v>
      </c>
      <c r="CY189" s="153">
        <f t="shared" si="161"/>
        <v>1</v>
      </c>
    </row>
    <row r="190" spans="1:103" s="321" customFormat="1" x14ac:dyDescent="0.25">
      <c r="A190" s="382">
        <v>192</v>
      </c>
      <c r="B190" s="334">
        <v>42107</v>
      </c>
      <c r="C190" s="321">
        <v>1082406</v>
      </c>
      <c r="D190" s="321" t="s">
        <v>2369</v>
      </c>
      <c r="E190" s="321" t="str">
        <f t="shared" si="194"/>
        <v/>
      </c>
      <c r="F190" s="321" t="str">
        <f t="shared" si="195"/>
        <v/>
      </c>
      <c r="I190" s="334">
        <v>42094</v>
      </c>
      <c r="K190" s="384" t="str">
        <f t="shared" ca="1" si="199"/>
        <v/>
      </c>
      <c r="N190" s="317" t="str">
        <f t="shared" si="142"/>
        <v>READY!</v>
      </c>
      <c r="O190" s="321" t="s">
        <v>302</v>
      </c>
      <c r="Q190" s="1" t="s">
        <v>2492</v>
      </c>
      <c r="R190" s="1">
        <v>9278529037</v>
      </c>
      <c r="S190" s="153">
        <f t="shared" si="215"/>
        <v>9278529037</v>
      </c>
      <c r="T190" s="153" t="str">
        <f t="shared" si="216"/>
        <v/>
      </c>
      <c r="U190" s="1" t="s">
        <v>2289</v>
      </c>
      <c r="V190" s="1" t="s">
        <v>2065</v>
      </c>
      <c r="W190" s="1" t="s">
        <v>2064</v>
      </c>
      <c r="X190" s="1" t="s">
        <v>2370</v>
      </c>
      <c r="Y190" s="1" t="s">
        <v>1446</v>
      </c>
      <c r="Z190" s="1" t="s">
        <v>70</v>
      </c>
      <c r="AA190" s="1" t="s">
        <v>1232</v>
      </c>
      <c r="AB190" s="1"/>
      <c r="AC190" s="1" t="s">
        <v>741</v>
      </c>
      <c r="AD190" s="1" t="s">
        <v>1038</v>
      </c>
      <c r="AE190" s="1"/>
      <c r="AF190" s="1"/>
      <c r="AG190" s="1"/>
      <c r="AH190" s="1" t="s">
        <v>52</v>
      </c>
      <c r="AI190" s="1" t="s">
        <v>253</v>
      </c>
      <c r="AJ190" s="153" t="str">
        <f t="shared" si="196"/>
        <v/>
      </c>
      <c r="AK190" s="1"/>
      <c r="AL190" s="1" t="s">
        <v>339</v>
      </c>
      <c r="AM190" s="1" t="s">
        <v>1447</v>
      </c>
      <c r="AN190" s="16">
        <v>32367</v>
      </c>
      <c r="AO190" s="1" t="s">
        <v>2334</v>
      </c>
      <c r="AP190" s="1" t="s">
        <v>2334</v>
      </c>
      <c r="AQ190" s="1" t="s">
        <v>53</v>
      </c>
      <c r="AR190" s="1" t="s">
        <v>378</v>
      </c>
      <c r="AS190" s="169">
        <v>42109</v>
      </c>
      <c r="AT190" s="170">
        <v>42108</v>
      </c>
      <c r="AU190" s="170">
        <v>42108</v>
      </c>
      <c r="AV190" s="181">
        <v>42108</v>
      </c>
      <c r="AW190" s="169">
        <v>42108</v>
      </c>
      <c r="AX190" s="112" t="s">
        <v>2788</v>
      </c>
      <c r="AY190" s="112"/>
      <c r="AZ190" s="112">
        <v>1</v>
      </c>
      <c r="BA190" s="170">
        <v>42108</v>
      </c>
      <c r="BB190" s="172"/>
      <c r="BC190" s="169">
        <v>42108</v>
      </c>
      <c r="BD190" s="172" t="s">
        <v>2787</v>
      </c>
      <c r="BE190" s="169">
        <v>42108</v>
      </c>
      <c r="BF190" s="172" t="s">
        <v>2790</v>
      </c>
      <c r="BG190" s="169">
        <v>42109</v>
      </c>
      <c r="BH190" s="188" t="s">
        <v>2371</v>
      </c>
      <c r="BI190" s="181">
        <v>42109</v>
      </c>
      <c r="BJ190" s="169">
        <v>42108</v>
      </c>
      <c r="BK190" s="112"/>
      <c r="BL190" s="172"/>
      <c r="BM190" s="169">
        <v>42108</v>
      </c>
      <c r="BN190" s="112"/>
      <c r="BO190" s="172"/>
      <c r="BP190" s="169">
        <v>42109</v>
      </c>
      <c r="BQ190" s="170">
        <v>42109</v>
      </c>
      <c r="BR190" s="181">
        <v>42107</v>
      </c>
      <c r="BS190" s="169">
        <v>42107</v>
      </c>
      <c r="BT190" s="170">
        <v>42107</v>
      </c>
      <c r="BU190" s="181">
        <v>42107</v>
      </c>
      <c r="BV190" s="172" t="s">
        <v>2789</v>
      </c>
      <c r="BW190" s="398" t="str">
        <f t="shared" si="211"/>
        <v>2305 (for processing) 4/14/2015, MDR 4/15/2015, 2316 (2014) - 4/14/2015</v>
      </c>
      <c r="BX190" s="398">
        <f t="shared" si="198"/>
        <v>11</v>
      </c>
      <c r="BY190" s="398">
        <f t="shared" si="144"/>
        <v>11</v>
      </c>
      <c r="BZ190" s="399">
        <f t="shared" si="217"/>
        <v>1</v>
      </c>
      <c r="CA190" s="168" t="str">
        <f t="shared" si="197"/>
        <v/>
      </c>
      <c r="CB190" s="151" t="str">
        <f t="shared" si="218"/>
        <v/>
      </c>
      <c r="CC190" s="153" t="str">
        <f t="shared" ca="1" si="219"/>
        <v/>
      </c>
      <c r="CD190" s="153" t="str">
        <f t="shared" si="220"/>
        <v/>
      </c>
      <c r="CE190" s="153" t="str">
        <f t="shared" si="221"/>
        <v/>
      </c>
      <c r="CF190" s="396" t="str">
        <f t="shared" si="222"/>
        <v/>
      </c>
      <c r="CG190" s="397" t="str">
        <f t="shared" si="223"/>
        <v/>
      </c>
      <c r="CH190" s="153" t="str">
        <f t="shared" si="224"/>
        <v/>
      </c>
      <c r="CI190" s="151" t="str">
        <f t="shared" si="225"/>
        <v/>
      </c>
      <c r="CJ190" s="151" t="str">
        <f t="shared" si="146"/>
        <v/>
      </c>
      <c r="CK190" s="153">
        <f t="shared" si="147"/>
        <v>1</v>
      </c>
      <c r="CL190" s="153">
        <f t="shared" si="148"/>
        <v>1</v>
      </c>
      <c r="CM190" s="153">
        <f t="shared" si="149"/>
        <v>2</v>
      </c>
      <c r="CN190" s="153">
        <f t="shared" si="150"/>
        <v>2</v>
      </c>
      <c r="CO190" s="153">
        <f t="shared" si="151"/>
        <v>2</v>
      </c>
      <c r="CP190" s="153">
        <f t="shared" si="152"/>
        <v>2</v>
      </c>
      <c r="CQ190" s="153">
        <f t="shared" si="153"/>
        <v>1</v>
      </c>
      <c r="CR190" s="153">
        <f t="shared" si="154"/>
        <v>2</v>
      </c>
      <c r="CS190" s="153">
        <f t="shared" si="155"/>
        <v>1</v>
      </c>
      <c r="CT190" s="153">
        <f t="shared" si="212"/>
        <v>2</v>
      </c>
      <c r="CU190" s="153">
        <f t="shared" si="213"/>
        <v>1</v>
      </c>
      <c r="CV190" s="153">
        <f t="shared" si="214"/>
        <v>1</v>
      </c>
      <c r="CW190" s="153">
        <f t="shared" si="159"/>
        <v>1</v>
      </c>
      <c r="CX190" s="153">
        <f t="shared" si="160"/>
        <v>0</v>
      </c>
      <c r="CY190" s="153">
        <f t="shared" si="161"/>
        <v>2</v>
      </c>
    </row>
    <row r="191" spans="1:103" x14ac:dyDescent="0.25">
      <c r="A191" s="7">
        <v>192</v>
      </c>
      <c r="B191" s="16">
        <v>42107</v>
      </c>
      <c r="C191" s="1">
        <v>1082407</v>
      </c>
      <c r="D191" s="1" t="s">
        <v>2115</v>
      </c>
      <c r="E191" s="1" t="str">
        <f t="shared" si="194"/>
        <v xml:space="preserve">SSS, HDMF, PHIC, Hand, Waiver, TIN, 1905, 2305, </v>
      </c>
      <c r="F191" s="1" t="str">
        <f t="shared" si="195"/>
        <v xml:space="preserve">MDR, TOR, COE, 2x2, </v>
      </c>
      <c r="I191" s="16">
        <v>42107</v>
      </c>
      <c r="K191" s="152" t="str">
        <f t="shared" ca="1" si="199"/>
        <v>Dedlyn!</v>
      </c>
      <c r="N191" s="153" t="str">
        <f t="shared" si="142"/>
        <v/>
      </c>
      <c r="O191" s="1" t="s">
        <v>301</v>
      </c>
      <c r="Q191" s="1" t="s">
        <v>2493</v>
      </c>
      <c r="R191" s="1" t="s">
        <v>2315</v>
      </c>
      <c r="S191" s="153" t="str">
        <f t="shared" si="215"/>
        <v>9064082769</v>
      </c>
      <c r="T191" s="153" t="str">
        <f t="shared" si="216"/>
        <v>9162089820</v>
      </c>
      <c r="U191" s="1" t="s">
        <v>2290</v>
      </c>
      <c r="V191" s="1" t="s">
        <v>2068</v>
      </c>
      <c r="W191" s="1" t="s">
        <v>2066</v>
      </c>
      <c r="X191" s="1" t="s">
        <v>2067</v>
      </c>
      <c r="Y191" s="1" t="s">
        <v>1143</v>
      </c>
      <c r="Z191" s="1" t="s">
        <v>128</v>
      </c>
      <c r="AA191" s="1" t="s">
        <v>2338</v>
      </c>
      <c r="AC191" s="1" t="s">
        <v>1025</v>
      </c>
      <c r="AE191" s="1" t="s">
        <v>1026</v>
      </c>
      <c r="AF191" s="1" t="s">
        <v>1027</v>
      </c>
      <c r="AH191" s="1" t="s">
        <v>52</v>
      </c>
      <c r="AI191" s="1" t="s">
        <v>253</v>
      </c>
      <c r="AJ191" s="153" t="str">
        <f t="shared" si="196"/>
        <v/>
      </c>
      <c r="AL191" s="1" t="s">
        <v>1144</v>
      </c>
      <c r="AM191" s="1" t="s">
        <v>2069</v>
      </c>
      <c r="AN191" s="16">
        <v>32123</v>
      </c>
      <c r="AO191" s="1" t="s">
        <v>2337</v>
      </c>
      <c r="AP191" s="1" t="s">
        <v>2337</v>
      </c>
      <c r="AQ191" s="1" t="s">
        <v>50</v>
      </c>
      <c r="AR191" s="1" t="s">
        <v>378</v>
      </c>
      <c r="AS191" s="169">
        <v>42121</v>
      </c>
      <c r="AT191" s="170">
        <v>42121</v>
      </c>
      <c r="BJ191" s="169">
        <v>42121</v>
      </c>
      <c r="BM191" s="169">
        <v>42121</v>
      </c>
      <c r="BO191" s="181">
        <v>42121</v>
      </c>
      <c r="BS191" s="169">
        <v>42107</v>
      </c>
      <c r="BT191" s="170">
        <v>42107</v>
      </c>
      <c r="BU191" s="181">
        <v>42107</v>
      </c>
      <c r="BW191" s="398" t="str">
        <f t="shared" si="211"/>
        <v/>
      </c>
      <c r="BX191" s="398">
        <f t="shared" si="198"/>
        <v>4</v>
      </c>
      <c r="BY191" s="398">
        <f t="shared" si="144"/>
        <v>11</v>
      </c>
      <c r="BZ191" s="399">
        <f t="shared" si="217"/>
        <v>0.36363636363636365</v>
      </c>
      <c r="CA191" s="168" t="str">
        <f t="shared" si="197"/>
        <v/>
      </c>
      <c r="CB191" s="151" t="str">
        <f t="shared" si="218"/>
        <v/>
      </c>
      <c r="CC191" s="153" t="str">
        <f t="shared" ca="1" si="219"/>
        <v/>
      </c>
      <c r="CD191" s="153" t="str">
        <f t="shared" si="220"/>
        <v/>
      </c>
      <c r="CE191" s="153" t="str">
        <f t="shared" si="221"/>
        <v/>
      </c>
      <c r="CF191" s="396" t="str">
        <f t="shared" si="222"/>
        <v/>
      </c>
      <c r="CG191" s="397" t="str">
        <f t="shared" si="223"/>
        <v/>
      </c>
      <c r="CH191" s="153" t="str">
        <f t="shared" si="224"/>
        <v/>
      </c>
      <c r="CI191" s="151" t="str">
        <f t="shared" si="225"/>
        <v/>
      </c>
      <c r="CJ191" s="151" t="str">
        <f t="shared" si="146"/>
        <v/>
      </c>
      <c r="CK191" s="153">
        <f t="shared" si="147"/>
        <v>1</v>
      </c>
      <c r="CL191" s="153">
        <f t="shared" si="148"/>
        <v>1</v>
      </c>
      <c r="CM191" s="153">
        <f t="shared" si="149"/>
        <v>2</v>
      </c>
      <c r="CN191" s="153">
        <f t="shared" si="150"/>
        <v>3</v>
      </c>
      <c r="CO191" s="153">
        <f t="shared" si="151"/>
        <v>3</v>
      </c>
      <c r="CP191" s="153">
        <f t="shared" si="152"/>
        <v>3</v>
      </c>
      <c r="CQ191" s="153">
        <f t="shared" si="153"/>
        <v>2</v>
      </c>
      <c r="CR191" s="153">
        <f t="shared" si="154"/>
        <v>2</v>
      </c>
      <c r="CS191" s="153">
        <f t="shared" si="155"/>
        <v>1</v>
      </c>
      <c r="CT191" s="153">
        <f t="shared" si="212"/>
        <v>2</v>
      </c>
      <c r="CU191" s="153">
        <f t="shared" si="213"/>
        <v>1</v>
      </c>
      <c r="CV191" s="153">
        <f t="shared" si="214"/>
        <v>1</v>
      </c>
      <c r="CW191" s="153">
        <f t="shared" si="159"/>
        <v>1</v>
      </c>
      <c r="CX191" s="153">
        <f t="shared" si="160"/>
        <v>0</v>
      </c>
      <c r="CY191" s="153">
        <f t="shared" si="161"/>
        <v>3</v>
      </c>
    </row>
    <row r="192" spans="1:103" s="8" customFormat="1" x14ac:dyDescent="0.25">
      <c r="A192" s="133">
        <v>192</v>
      </c>
      <c r="B192" s="20">
        <v>42107</v>
      </c>
      <c r="C192" s="8">
        <v>1082408</v>
      </c>
      <c r="D192" s="8" t="s">
        <v>2116</v>
      </c>
      <c r="E192" s="8" t="str">
        <f t="shared" si="194"/>
        <v/>
      </c>
      <c r="F192" s="8" t="str">
        <f t="shared" si="195"/>
        <v/>
      </c>
      <c r="K192" s="132" t="str">
        <f t="shared" ca="1" si="199"/>
        <v/>
      </c>
      <c r="M192" s="20">
        <v>42117</v>
      </c>
      <c r="N192" s="113" t="str">
        <f t="shared" si="142"/>
        <v/>
      </c>
      <c r="O192" s="8" t="s">
        <v>298</v>
      </c>
      <c r="P192" s="113" t="s">
        <v>689</v>
      </c>
      <c r="Q192" s="8" t="s">
        <v>2494</v>
      </c>
      <c r="R192" s="8">
        <v>9153478182</v>
      </c>
      <c r="S192" s="113">
        <f t="shared" si="215"/>
        <v>9153478182</v>
      </c>
      <c r="T192" s="113" t="str">
        <f t="shared" si="216"/>
        <v/>
      </c>
      <c r="U192" s="8" t="s">
        <v>2287</v>
      </c>
      <c r="V192" s="8" t="s">
        <v>2072</v>
      </c>
      <c r="W192" s="8" t="s">
        <v>2070</v>
      </c>
      <c r="X192" s="8" t="s">
        <v>2071</v>
      </c>
      <c r="Y192" s="8" t="s">
        <v>135</v>
      </c>
      <c r="Z192" s="8" t="s">
        <v>70</v>
      </c>
      <c r="AA192" s="8" t="s">
        <v>1037</v>
      </c>
      <c r="AC192" s="8" t="s">
        <v>1025</v>
      </c>
      <c r="AE192" s="8" t="s">
        <v>1026</v>
      </c>
      <c r="AF192" s="8" t="s">
        <v>1027</v>
      </c>
      <c r="AH192" s="8" t="s">
        <v>52</v>
      </c>
      <c r="AI192" s="8" t="s">
        <v>253</v>
      </c>
      <c r="AJ192" s="113" t="str">
        <f t="shared" si="196"/>
        <v/>
      </c>
      <c r="AL192" s="8" t="s">
        <v>1250</v>
      </c>
      <c r="AM192" s="8" t="s">
        <v>2073</v>
      </c>
      <c r="AN192" s="20">
        <v>33990</v>
      </c>
      <c r="AO192" s="8" t="s">
        <v>2336</v>
      </c>
      <c r="AS192" s="165"/>
      <c r="AT192" s="129">
        <v>42108</v>
      </c>
      <c r="AU192" s="129">
        <v>42108</v>
      </c>
      <c r="AV192" s="182"/>
      <c r="AW192" s="187">
        <v>42109</v>
      </c>
      <c r="AX192" s="113" t="s">
        <v>2375</v>
      </c>
      <c r="AY192" s="113"/>
      <c r="AZ192" s="129">
        <v>42109</v>
      </c>
      <c r="BA192" s="129">
        <v>42108</v>
      </c>
      <c r="BB192" s="182"/>
      <c r="BC192" s="187">
        <v>42109</v>
      </c>
      <c r="BD192" s="182" t="s">
        <v>2374</v>
      </c>
      <c r="BE192" s="187">
        <v>42109</v>
      </c>
      <c r="BF192" s="182" t="s">
        <v>2372</v>
      </c>
      <c r="BG192" s="187">
        <v>42109</v>
      </c>
      <c r="BH192" s="274" t="s">
        <v>2373</v>
      </c>
      <c r="BI192" s="182"/>
      <c r="BJ192" s="187">
        <v>42109</v>
      </c>
      <c r="BK192" s="113"/>
      <c r="BL192" s="182"/>
      <c r="BM192" s="187">
        <v>42108</v>
      </c>
      <c r="BN192" s="113"/>
      <c r="BO192" s="182"/>
      <c r="BP192" s="165"/>
      <c r="BQ192" s="113"/>
      <c r="BR192" s="182"/>
      <c r="BS192" s="187">
        <v>42107</v>
      </c>
      <c r="BT192" s="129">
        <v>42107</v>
      </c>
      <c r="BU192" s="177">
        <v>42107</v>
      </c>
      <c r="BV192" s="182"/>
      <c r="BW192" s="532" t="str">
        <f t="shared" si="211"/>
        <v xml:space="preserve">1905 4/15/2015, 2305 4/14/2015, </v>
      </c>
      <c r="BX192" s="532" t="str">
        <f t="shared" si="198"/>
        <v/>
      </c>
      <c r="BY192" s="532" t="str">
        <f t="shared" si="144"/>
        <v/>
      </c>
      <c r="BZ192" s="533" t="str">
        <f t="shared" si="217"/>
        <v/>
      </c>
      <c r="CA192" s="165" t="str">
        <f t="shared" si="197"/>
        <v/>
      </c>
      <c r="CB192" s="129" t="str">
        <f t="shared" si="218"/>
        <v/>
      </c>
      <c r="CC192" s="113" t="str">
        <f t="shared" ca="1" si="219"/>
        <v/>
      </c>
      <c r="CD192" s="113" t="str">
        <f t="shared" si="220"/>
        <v/>
      </c>
      <c r="CE192" s="113" t="str">
        <f t="shared" si="221"/>
        <v/>
      </c>
      <c r="CF192" s="534" t="str">
        <f t="shared" si="222"/>
        <v/>
      </c>
      <c r="CG192" s="535" t="str">
        <f t="shared" si="223"/>
        <v/>
      </c>
      <c r="CH192" s="113" t="str">
        <f t="shared" si="224"/>
        <v/>
      </c>
      <c r="CI192" s="129" t="str">
        <f t="shared" si="225"/>
        <v/>
      </c>
      <c r="CJ192" s="129" t="str">
        <f t="shared" si="146"/>
        <v/>
      </c>
      <c r="CK192" s="113">
        <f t="shared" si="147"/>
        <v>1</v>
      </c>
      <c r="CL192" s="113">
        <f t="shared" si="148"/>
        <v>1</v>
      </c>
      <c r="CM192" s="113">
        <f t="shared" si="149"/>
        <v>2</v>
      </c>
      <c r="CN192" s="113">
        <f t="shared" si="150"/>
        <v>3</v>
      </c>
      <c r="CO192" s="113">
        <f t="shared" si="151"/>
        <v>3</v>
      </c>
      <c r="CP192" s="113">
        <f t="shared" si="152"/>
        <v>3</v>
      </c>
      <c r="CQ192" s="113">
        <f t="shared" si="153"/>
        <v>2</v>
      </c>
      <c r="CR192" s="113">
        <f t="shared" si="154"/>
        <v>2</v>
      </c>
      <c r="CS192" s="113">
        <f t="shared" si="155"/>
        <v>1</v>
      </c>
      <c r="CT192" s="113">
        <f t="shared" si="212"/>
        <v>2</v>
      </c>
      <c r="CU192" s="113">
        <f t="shared" si="213"/>
        <v>1</v>
      </c>
      <c r="CV192" s="113">
        <f t="shared" si="214"/>
        <v>1</v>
      </c>
      <c r="CW192" s="113">
        <f t="shared" si="159"/>
        <v>1</v>
      </c>
      <c r="CX192" s="113">
        <f t="shared" si="160"/>
        <v>1</v>
      </c>
      <c r="CY192" s="113">
        <f t="shared" si="161"/>
        <v>3</v>
      </c>
    </row>
    <row r="193" spans="1:103" s="321" customFormat="1" x14ac:dyDescent="0.25">
      <c r="A193" s="382">
        <v>192</v>
      </c>
      <c r="B193" s="334">
        <v>42107</v>
      </c>
      <c r="C193" s="321">
        <v>1082409</v>
      </c>
      <c r="D193" s="321" t="s">
        <v>2117</v>
      </c>
      <c r="E193" s="321" t="str">
        <f t="shared" si="194"/>
        <v/>
      </c>
      <c r="F193" s="321" t="str">
        <f t="shared" si="195"/>
        <v/>
      </c>
      <c r="I193" s="334">
        <v>42076</v>
      </c>
      <c r="K193" s="384" t="str">
        <f t="shared" ca="1" si="199"/>
        <v/>
      </c>
      <c r="N193" s="317" t="str">
        <f t="shared" si="142"/>
        <v>READY!</v>
      </c>
      <c r="O193" s="321" t="s">
        <v>302</v>
      </c>
      <c r="Q193" s="321" t="s">
        <v>2495</v>
      </c>
      <c r="R193" s="321">
        <v>9167772022</v>
      </c>
      <c r="S193" s="317">
        <f t="shared" si="215"/>
        <v>9167772022</v>
      </c>
      <c r="T193" s="317" t="str">
        <f t="shared" si="216"/>
        <v/>
      </c>
      <c r="U193" s="321" t="s">
        <v>2291</v>
      </c>
      <c r="V193" s="321" t="s">
        <v>537</v>
      </c>
      <c r="W193" s="321" t="s">
        <v>2074</v>
      </c>
      <c r="X193" s="321" t="s">
        <v>2075</v>
      </c>
      <c r="Y193" s="321" t="s">
        <v>73</v>
      </c>
      <c r="Z193" s="321" t="s">
        <v>74</v>
      </c>
      <c r="AA193" s="321" t="s">
        <v>1232</v>
      </c>
      <c r="AC193" s="321" t="s">
        <v>741</v>
      </c>
      <c r="AD193" s="321" t="s">
        <v>1234</v>
      </c>
      <c r="AH193" s="321" t="s">
        <v>52</v>
      </c>
      <c r="AI193" s="321" t="s">
        <v>253</v>
      </c>
      <c r="AJ193" s="317" t="str">
        <f t="shared" si="196"/>
        <v/>
      </c>
      <c r="AL193" s="321" t="s">
        <v>282</v>
      </c>
      <c r="AM193" s="321" t="s">
        <v>854</v>
      </c>
      <c r="AN193" s="334">
        <v>33668</v>
      </c>
      <c r="AO193" s="321" t="s">
        <v>2317</v>
      </c>
      <c r="AP193" s="321" t="s">
        <v>2317</v>
      </c>
      <c r="AQ193" s="321" t="s">
        <v>50</v>
      </c>
      <c r="AR193" s="321" t="s">
        <v>378</v>
      </c>
      <c r="AS193" s="332">
        <v>42118</v>
      </c>
      <c r="AT193" s="318">
        <v>42118</v>
      </c>
      <c r="AU193" s="318">
        <v>42118</v>
      </c>
      <c r="AV193" s="329">
        <v>42130</v>
      </c>
      <c r="AW193" s="332">
        <v>42118</v>
      </c>
      <c r="AX193" s="317" t="s">
        <v>2614</v>
      </c>
      <c r="AY193" s="317"/>
      <c r="AZ193" s="318">
        <v>42118</v>
      </c>
      <c r="BA193" s="318">
        <v>42118</v>
      </c>
      <c r="BB193" s="329">
        <v>42118</v>
      </c>
      <c r="BC193" s="332">
        <v>42118</v>
      </c>
      <c r="BD193" s="326" t="s">
        <v>2618</v>
      </c>
      <c r="BE193" s="332">
        <v>42118</v>
      </c>
      <c r="BF193" s="326" t="s">
        <v>2617</v>
      </c>
      <c r="BG193" s="332">
        <v>42118</v>
      </c>
      <c r="BH193" s="385" t="s">
        <v>2616</v>
      </c>
      <c r="BI193" s="329">
        <v>42118</v>
      </c>
      <c r="BJ193" s="332">
        <v>42118</v>
      </c>
      <c r="BK193" s="317"/>
      <c r="BL193" s="326"/>
      <c r="BM193" s="332">
        <v>42118</v>
      </c>
      <c r="BN193" s="317"/>
      <c r="BO193" s="326"/>
      <c r="BP193" s="332">
        <v>42118</v>
      </c>
      <c r="BQ193" s="318">
        <v>42118</v>
      </c>
      <c r="BR193" s="329">
        <v>42118</v>
      </c>
      <c r="BS193" s="332">
        <v>42110</v>
      </c>
      <c r="BT193" s="318">
        <v>42110</v>
      </c>
      <c r="BU193" s="329">
        <v>42110</v>
      </c>
      <c r="BV193" s="326"/>
      <c r="BW193" s="536" t="str">
        <f t="shared" si="211"/>
        <v xml:space="preserve">1905 (for processing) 4/24/2015, 2305 (for processing) 4/24/2015, MDR 4/24/2015, </v>
      </c>
      <c r="BX193" s="536">
        <f t="shared" si="198"/>
        <v>11</v>
      </c>
      <c r="BY193" s="536">
        <f t="shared" si="144"/>
        <v>11</v>
      </c>
      <c r="BZ193" s="537">
        <f t="shared" si="217"/>
        <v>1</v>
      </c>
      <c r="CA193" s="337" t="str">
        <f t="shared" si="197"/>
        <v/>
      </c>
      <c r="CB193" s="318" t="str">
        <f t="shared" si="218"/>
        <v/>
      </c>
      <c r="CC193" s="317" t="str">
        <f t="shared" ca="1" si="219"/>
        <v/>
      </c>
      <c r="CD193" s="317" t="str">
        <f t="shared" si="220"/>
        <v/>
      </c>
      <c r="CE193" s="317" t="str">
        <f t="shared" si="221"/>
        <v/>
      </c>
      <c r="CF193" s="538" t="str">
        <f t="shared" si="222"/>
        <v/>
      </c>
      <c r="CG193" s="539" t="str">
        <f t="shared" si="223"/>
        <v/>
      </c>
      <c r="CH193" s="317" t="str">
        <f t="shared" si="224"/>
        <v/>
      </c>
      <c r="CI193" s="318" t="str">
        <f t="shared" si="225"/>
        <v/>
      </c>
      <c r="CJ193" s="318" t="str">
        <f t="shared" si="146"/>
        <v/>
      </c>
      <c r="CK193" s="317">
        <f t="shared" si="147"/>
        <v>2</v>
      </c>
      <c r="CL193" s="317">
        <f t="shared" si="148"/>
        <v>2</v>
      </c>
      <c r="CM193" s="317">
        <f t="shared" si="149"/>
        <v>3</v>
      </c>
      <c r="CN193" s="317">
        <f t="shared" si="150"/>
        <v>4</v>
      </c>
      <c r="CO193" s="317">
        <f t="shared" si="151"/>
        <v>4</v>
      </c>
      <c r="CP193" s="317">
        <f t="shared" si="152"/>
        <v>4</v>
      </c>
      <c r="CQ193" s="317">
        <f t="shared" si="153"/>
        <v>3</v>
      </c>
      <c r="CR193" s="317">
        <f t="shared" si="154"/>
        <v>3</v>
      </c>
      <c r="CS193" s="317">
        <f t="shared" si="155"/>
        <v>2</v>
      </c>
      <c r="CT193" s="317">
        <f t="shared" si="212"/>
        <v>3</v>
      </c>
      <c r="CU193" s="317">
        <f t="shared" si="213"/>
        <v>2</v>
      </c>
      <c r="CV193" s="317">
        <f t="shared" si="214"/>
        <v>2</v>
      </c>
      <c r="CW193" s="317">
        <f t="shared" si="159"/>
        <v>2</v>
      </c>
      <c r="CX193" s="317">
        <f t="shared" si="160"/>
        <v>1</v>
      </c>
      <c r="CY193" s="317">
        <f t="shared" si="161"/>
        <v>4</v>
      </c>
    </row>
    <row r="194" spans="1:103" s="8" customFormat="1" x14ac:dyDescent="0.25">
      <c r="A194" s="133">
        <v>192</v>
      </c>
      <c r="B194" s="20">
        <v>42107</v>
      </c>
      <c r="C194" s="8">
        <v>1082410</v>
      </c>
      <c r="D194" s="8" t="s">
        <v>2118</v>
      </c>
      <c r="E194" s="8" t="str">
        <f t="shared" ref="E194:E225" si="226">IF(P194="(*_*)","",IF(BC194&lt;1,"SSS, ","")&amp;IF(BE194&lt;1,"HDMF, ","")&amp;IF(BG194&lt;1,"PHIC, ","")&amp;IF(BJ194&lt;1,"NBI, ","")&amp;IF(BM194&lt;1,"NSO, ","")&amp;IF(AS194&lt;1,"Info, ","")&amp;IF(AT194&lt;1,"AWOL, ","")&amp;IF(AU194&lt;1,"Hand, ","")&amp;IF(AV194&lt;1,"Waiver, ","")&amp;IF(AW194&lt;1,"TIN, ","")&amp;IF(AZ194&lt;1,"1905, ","")&amp;IF(BA194&lt;1,"2305, ",""))</f>
        <v/>
      </c>
      <c r="F194" s="8" t="str">
        <f t="shared" ref="F194:F225" si="227">IF(P194="(*_*)","",IF(BI194&lt;1,"MDR, ","")&amp;IF(BS194&lt;1,"JO, ","")&amp;IF(BT194&lt;1,"Contract, ","")&amp;IF(BU194&lt;1,"Confi, ","")&amp;IF(BQ194&lt;1,"TOR, ","")&amp;IF(BR194&lt;1,"COE, ","")&amp;IF(BP194&lt;1,"2x2, ",""))</f>
        <v/>
      </c>
      <c r="I194" s="20">
        <v>42110</v>
      </c>
      <c r="K194" s="132" t="str">
        <f t="shared" ca="1" si="199"/>
        <v/>
      </c>
      <c r="N194" s="113" t="str">
        <f t="shared" si="142"/>
        <v/>
      </c>
      <c r="O194" s="8" t="s">
        <v>298</v>
      </c>
      <c r="P194" s="113" t="s">
        <v>689</v>
      </c>
      <c r="Q194" s="8" t="s">
        <v>2496</v>
      </c>
      <c r="R194" s="8">
        <v>9156738931</v>
      </c>
      <c r="S194" s="113">
        <f t="shared" si="215"/>
        <v>9156738931</v>
      </c>
      <c r="T194" s="113" t="str">
        <f t="shared" si="216"/>
        <v/>
      </c>
      <c r="U194" s="8" t="s">
        <v>2292</v>
      </c>
      <c r="V194" s="8" t="s">
        <v>2078</v>
      </c>
      <c r="W194" s="8" t="s">
        <v>2076</v>
      </c>
      <c r="X194" s="8" t="s">
        <v>2077</v>
      </c>
      <c r="Y194" s="8" t="s">
        <v>73</v>
      </c>
      <c r="Z194" s="8" t="s">
        <v>70</v>
      </c>
      <c r="AA194" s="8" t="s">
        <v>1233</v>
      </c>
      <c r="AC194" s="8" t="s">
        <v>741</v>
      </c>
      <c r="AD194" s="8" t="s">
        <v>1038</v>
      </c>
      <c r="AH194" s="8" t="s">
        <v>52</v>
      </c>
      <c r="AI194" s="8" t="s">
        <v>2079</v>
      </c>
      <c r="AJ194" s="113" t="str">
        <f t="shared" si="196"/>
        <v/>
      </c>
      <c r="AL194" s="8" t="s">
        <v>282</v>
      </c>
      <c r="AM194" s="8" t="s">
        <v>854</v>
      </c>
      <c r="AN194" s="20">
        <v>33534</v>
      </c>
      <c r="AO194" s="8" t="s">
        <v>2322</v>
      </c>
      <c r="AS194" s="165"/>
      <c r="AT194" s="129">
        <v>42105</v>
      </c>
      <c r="AU194" s="113"/>
      <c r="AV194" s="182"/>
      <c r="AW194" s="187"/>
      <c r="AX194" s="113"/>
      <c r="AY194" s="113"/>
      <c r="AZ194" s="113"/>
      <c r="BA194" s="113"/>
      <c r="BB194" s="182"/>
      <c r="BC194" s="165"/>
      <c r="BD194" s="182"/>
      <c r="BE194" s="165"/>
      <c r="BF194" s="182"/>
      <c r="BG194" s="165"/>
      <c r="BH194" s="274"/>
      <c r="BI194" s="182"/>
      <c r="BJ194" s="165"/>
      <c r="BK194" s="113"/>
      <c r="BL194" s="182"/>
      <c r="BM194" s="165"/>
      <c r="BN194" s="113"/>
      <c r="BO194" s="182"/>
      <c r="BP194" s="165"/>
      <c r="BQ194" s="113"/>
      <c r="BR194" s="182"/>
      <c r="BS194" s="187">
        <v>42110</v>
      </c>
      <c r="BT194" s="129">
        <v>42110</v>
      </c>
      <c r="BU194" s="177">
        <v>42110</v>
      </c>
      <c r="BV194" s="182"/>
      <c r="BW194" s="532" t="str">
        <f t="shared" si="211"/>
        <v/>
      </c>
      <c r="BX194" s="532" t="str">
        <f t="shared" si="198"/>
        <v/>
      </c>
      <c r="BY194" s="532" t="str">
        <f t="shared" si="144"/>
        <v/>
      </c>
      <c r="BZ194" s="533" t="str">
        <f t="shared" si="217"/>
        <v/>
      </c>
      <c r="CA194" s="165" t="str">
        <f t="shared" ref="CA194:CA225" si="228">IF((A194-A195)=0,"",A194)</f>
        <v/>
      </c>
      <c r="CB194" s="129" t="str">
        <f t="shared" si="218"/>
        <v/>
      </c>
      <c r="CC194" s="113" t="str">
        <f t="shared" ca="1" si="219"/>
        <v/>
      </c>
      <c r="CD194" s="113" t="str">
        <f t="shared" si="220"/>
        <v/>
      </c>
      <c r="CE194" s="113" t="str">
        <f t="shared" si="221"/>
        <v/>
      </c>
      <c r="CF194" s="534" t="str">
        <f t="shared" si="222"/>
        <v/>
      </c>
      <c r="CG194" s="535" t="str">
        <f t="shared" si="223"/>
        <v/>
      </c>
      <c r="CH194" s="113" t="str">
        <f t="shared" si="224"/>
        <v/>
      </c>
      <c r="CI194" s="129" t="str">
        <f t="shared" si="225"/>
        <v/>
      </c>
      <c r="CJ194" s="129" t="str">
        <f t="shared" si="146"/>
        <v/>
      </c>
      <c r="CK194" s="113">
        <f t="shared" si="147"/>
        <v>2</v>
      </c>
      <c r="CL194" s="113">
        <f t="shared" si="148"/>
        <v>2</v>
      </c>
      <c r="CM194" s="113">
        <f t="shared" si="149"/>
        <v>3</v>
      </c>
      <c r="CN194" s="113">
        <f t="shared" si="150"/>
        <v>4</v>
      </c>
      <c r="CO194" s="113">
        <f t="shared" si="151"/>
        <v>4</v>
      </c>
      <c r="CP194" s="113">
        <f t="shared" si="152"/>
        <v>4</v>
      </c>
      <c r="CQ194" s="113">
        <f t="shared" si="153"/>
        <v>3</v>
      </c>
      <c r="CR194" s="113">
        <f t="shared" si="154"/>
        <v>3</v>
      </c>
      <c r="CS194" s="113">
        <f t="shared" si="155"/>
        <v>2</v>
      </c>
      <c r="CT194" s="113">
        <f t="shared" si="212"/>
        <v>3</v>
      </c>
      <c r="CU194" s="113">
        <f t="shared" si="213"/>
        <v>2</v>
      </c>
      <c r="CV194" s="113">
        <f t="shared" si="214"/>
        <v>2</v>
      </c>
      <c r="CW194" s="113">
        <f t="shared" si="159"/>
        <v>2</v>
      </c>
      <c r="CX194" s="113">
        <f t="shared" si="160"/>
        <v>2</v>
      </c>
      <c r="CY194" s="113">
        <f t="shared" si="161"/>
        <v>4</v>
      </c>
    </row>
    <row r="195" spans="1:103" s="321" customFormat="1" x14ac:dyDescent="0.25">
      <c r="A195" s="382">
        <v>192</v>
      </c>
      <c r="B195" s="334">
        <v>42107</v>
      </c>
      <c r="C195" s="321">
        <v>1082411</v>
      </c>
      <c r="D195" s="321" t="s">
        <v>2119</v>
      </c>
      <c r="E195" s="321" t="str">
        <f t="shared" si="226"/>
        <v/>
      </c>
      <c r="F195" s="321" t="str">
        <f t="shared" si="227"/>
        <v xml:space="preserve">2x2, </v>
      </c>
      <c r="I195" s="334">
        <v>42110</v>
      </c>
      <c r="K195" s="384" t="str">
        <f t="shared" ca="1" si="199"/>
        <v/>
      </c>
      <c r="N195" s="317" t="str">
        <f t="shared" ref="N195:N247" si="229">IF(AND(M195&gt;0,AW195="")=TRUE,"UPDATE!",IF(AND(BM195&gt;0,AZ195&gt;0,BA195&gt;0,M195="",P195&lt;&gt;"(*_*)")=TRUE,"READY!",""))</f>
        <v>READY!</v>
      </c>
      <c r="O195" s="321" t="s">
        <v>302</v>
      </c>
      <c r="Q195" s="1" t="s">
        <v>2497</v>
      </c>
      <c r="R195" s="1">
        <v>9168841596</v>
      </c>
      <c r="S195" s="153">
        <f t="shared" si="215"/>
        <v>9168841596</v>
      </c>
      <c r="T195" s="153" t="str">
        <f t="shared" si="216"/>
        <v/>
      </c>
      <c r="U195" s="1" t="s">
        <v>2293</v>
      </c>
      <c r="V195" s="1" t="s">
        <v>2082</v>
      </c>
      <c r="W195" s="1" t="s">
        <v>2080</v>
      </c>
      <c r="X195" s="1" t="s">
        <v>2081</v>
      </c>
      <c r="Y195" s="1" t="s">
        <v>73</v>
      </c>
      <c r="Z195" s="1" t="s">
        <v>74</v>
      </c>
      <c r="AA195" s="1" t="s">
        <v>1232</v>
      </c>
      <c r="AB195" s="1"/>
      <c r="AC195" s="1" t="s">
        <v>741</v>
      </c>
      <c r="AD195" s="1" t="s">
        <v>1234</v>
      </c>
      <c r="AE195" s="1"/>
      <c r="AF195" s="1"/>
      <c r="AG195" s="1"/>
      <c r="AH195" s="1" t="s">
        <v>52</v>
      </c>
      <c r="AI195" s="1" t="s">
        <v>253</v>
      </c>
      <c r="AJ195" s="153" t="str">
        <f t="shared" si="196"/>
        <v/>
      </c>
      <c r="AK195" s="1"/>
      <c r="AL195" s="1" t="s">
        <v>282</v>
      </c>
      <c r="AM195" s="1" t="s">
        <v>854</v>
      </c>
      <c r="AN195" s="16">
        <v>31538</v>
      </c>
      <c r="AO195" s="1" t="s">
        <v>2327</v>
      </c>
      <c r="AP195" s="1" t="s">
        <v>2327</v>
      </c>
      <c r="AQ195" s="1" t="s">
        <v>53</v>
      </c>
      <c r="AR195" s="1" t="s">
        <v>378</v>
      </c>
      <c r="AS195" s="169">
        <v>42136</v>
      </c>
      <c r="AT195" s="170">
        <v>42105</v>
      </c>
      <c r="AU195" s="170">
        <v>42136</v>
      </c>
      <c r="AV195" s="181">
        <v>42136</v>
      </c>
      <c r="AW195" s="169">
        <v>42136</v>
      </c>
      <c r="AX195" s="112" t="s">
        <v>3270</v>
      </c>
      <c r="AY195" s="112"/>
      <c r="AZ195" s="112">
        <v>1</v>
      </c>
      <c r="BA195" s="170">
        <v>42136</v>
      </c>
      <c r="BB195" s="172"/>
      <c r="BC195" s="169">
        <v>42136</v>
      </c>
      <c r="BD195" s="172" t="s">
        <v>3268</v>
      </c>
      <c r="BE195" s="169">
        <v>42136</v>
      </c>
      <c r="BF195" s="172" t="s">
        <v>3269</v>
      </c>
      <c r="BG195" s="169">
        <v>42136</v>
      </c>
      <c r="BH195" s="188" t="s">
        <v>3267</v>
      </c>
      <c r="BI195" s="181">
        <v>42136</v>
      </c>
      <c r="BJ195" s="169">
        <v>42136</v>
      </c>
      <c r="BK195" s="112"/>
      <c r="BL195" s="172"/>
      <c r="BM195" s="169">
        <v>42136</v>
      </c>
      <c r="BN195" s="112"/>
      <c r="BO195" s="172"/>
      <c r="BP195" s="159"/>
      <c r="BQ195" s="170">
        <v>42136</v>
      </c>
      <c r="BR195" s="181">
        <v>42136</v>
      </c>
      <c r="BS195" s="169">
        <v>42110</v>
      </c>
      <c r="BT195" s="170">
        <v>42110</v>
      </c>
      <c r="BU195" s="181">
        <v>42110</v>
      </c>
      <c r="BV195" s="172" t="s">
        <v>3271</v>
      </c>
      <c r="BW195" s="398" t="str">
        <f t="shared" si="211"/>
        <v>2305 (for processing) 5/12/2015, MDR 5/12/2015, 2316 (2014) - 5/12/2015</v>
      </c>
      <c r="BX195" s="398">
        <f t="shared" si="198"/>
        <v>11</v>
      </c>
      <c r="BY195" s="398">
        <f t="shared" ref="BY195:BY232" si="230">IF(O195="n","",11)</f>
        <v>11</v>
      </c>
      <c r="BZ195" s="399">
        <f t="shared" si="217"/>
        <v>1</v>
      </c>
      <c r="CA195" s="168" t="str">
        <f t="shared" si="228"/>
        <v/>
      </c>
      <c r="CB195" s="151" t="str">
        <f t="shared" si="218"/>
        <v/>
      </c>
      <c r="CC195" s="153" t="str">
        <f t="shared" ca="1" si="219"/>
        <v/>
      </c>
      <c r="CD195" s="153" t="str">
        <f t="shared" si="220"/>
        <v/>
      </c>
      <c r="CE195" s="153" t="str">
        <f t="shared" si="221"/>
        <v/>
      </c>
      <c r="CF195" s="396" t="str">
        <f t="shared" si="222"/>
        <v/>
      </c>
      <c r="CG195" s="397" t="str">
        <f t="shared" si="223"/>
        <v/>
      </c>
      <c r="CH195" s="153" t="str">
        <f t="shared" si="224"/>
        <v/>
      </c>
      <c r="CI195" s="151" t="str">
        <f t="shared" si="225"/>
        <v/>
      </c>
      <c r="CJ195" s="151" t="str">
        <f t="shared" si="146"/>
        <v/>
      </c>
      <c r="CK195" s="153">
        <f t="shared" si="147"/>
        <v>3</v>
      </c>
      <c r="CL195" s="153">
        <f t="shared" si="148"/>
        <v>3</v>
      </c>
      <c r="CM195" s="153">
        <f t="shared" si="149"/>
        <v>4</v>
      </c>
      <c r="CN195" s="153">
        <f t="shared" si="150"/>
        <v>5</v>
      </c>
      <c r="CO195" s="153">
        <f t="shared" si="151"/>
        <v>5</v>
      </c>
      <c r="CP195" s="153">
        <f t="shared" si="152"/>
        <v>5</v>
      </c>
      <c r="CQ195" s="153">
        <f t="shared" si="153"/>
        <v>4</v>
      </c>
      <c r="CR195" s="153">
        <f t="shared" si="154"/>
        <v>4</v>
      </c>
      <c r="CS195" s="153">
        <f t="shared" si="155"/>
        <v>3</v>
      </c>
      <c r="CT195" s="153">
        <f t="shared" si="212"/>
        <v>4</v>
      </c>
      <c r="CU195" s="153">
        <f t="shared" si="213"/>
        <v>3</v>
      </c>
      <c r="CV195" s="153">
        <f t="shared" si="214"/>
        <v>3</v>
      </c>
      <c r="CW195" s="153">
        <f t="shared" si="159"/>
        <v>3</v>
      </c>
      <c r="CX195" s="153">
        <f t="shared" si="160"/>
        <v>2</v>
      </c>
      <c r="CY195" s="153">
        <f t="shared" si="161"/>
        <v>5</v>
      </c>
    </row>
    <row r="196" spans="1:103" s="8" customFormat="1" x14ac:dyDescent="0.25">
      <c r="A196" s="133">
        <v>192</v>
      </c>
      <c r="B196" s="20">
        <v>42107</v>
      </c>
      <c r="C196" s="8">
        <v>1082412</v>
      </c>
      <c r="D196" s="8" t="s">
        <v>2120</v>
      </c>
      <c r="E196" s="8" t="str">
        <f t="shared" si="226"/>
        <v/>
      </c>
      <c r="F196" s="8" t="str">
        <f t="shared" si="227"/>
        <v/>
      </c>
      <c r="I196" s="20">
        <v>42110</v>
      </c>
      <c r="K196" s="152" t="str">
        <f t="shared" ca="1" si="199"/>
        <v/>
      </c>
      <c r="N196" s="153" t="str">
        <f t="shared" si="229"/>
        <v/>
      </c>
      <c r="O196" s="8" t="s">
        <v>298</v>
      </c>
      <c r="P196" s="113" t="s">
        <v>689</v>
      </c>
      <c r="Q196" s="8" t="s">
        <v>2498</v>
      </c>
      <c r="R196" s="8">
        <v>9064319240</v>
      </c>
      <c r="S196" s="153">
        <f t="shared" si="215"/>
        <v>9064319240</v>
      </c>
      <c r="T196" s="153" t="str">
        <f t="shared" si="216"/>
        <v/>
      </c>
      <c r="U196" s="8" t="s">
        <v>2294</v>
      </c>
      <c r="V196" s="8" t="s">
        <v>2085</v>
      </c>
      <c r="W196" s="8" t="s">
        <v>2083</v>
      </c>
      <c r="X196" s="8" t="s">
        <v>2084</v>
      </c>
      <c r="Y196" s="8" t="s">
        <v>73</v>
      </c>
      <c r="Z196" s="8" t="s">
        <v>74</v>
      </c>
      <c r="AA196" s="8" t="s">
        <v>1232</v>
      </c>
      <c r="AC196" s="8" t="s">
        <v>741</v>
      </c>
      <c r="AD196" s="8" t="s">
        <v>1234</v>
      </c>
      <c r="AH196" s="8" t="s">
        <v>52</v>
      </c>
      <c r="AI196" s="8" t="s">
        <v>253</v>
      </c>
      <c r="AJ196" s="153" t="str">
        <f t="shared" si="196"/>
        <v/>
      </c>
      <c r="AL196" s="8" t="s">
        <v>254</v>
      </c>
      <c r="AM196" s="8" t="s">
        <v>854</v>
      </c>
      <c r="AN196" s="20">
        <v>34673</v>
      </c>
      <c r="AO196" s="8" t="s">
        <v>2321</v>
      </c>
      <c r="AS196" s="165"/>
      <c r="AT196" s="129">
        <v>42105</v>
      </c>
      <c r="AU196" s="113"/>
      <c r="AV196" s="177">
        <v>42107</v>
      </c>
      <c r="AW196" s="187"/>
      <c r="AX196" s="113"/>
      <c r="AY196" s="113"/>
      <c r="AZ196" s="113"/>
      <c r="BA196" s="113"/>
      <c r="BB196" s="182"/>
      <c r="BC196" s="165"/>
      <c r="BD196" s="182"/>
      <c r="BE196" s="165"/>
      <c r="BF196" s="182"/>
      <c r="BG196" s="165"/>
      <c r="BH196" s="274"/>
      <c r="BI196" s="182"/>
      <c r="BJ196" s="165"/>
      <c r="BK196" s="113"/>
      <c r="BL196" s="182"/>
      <c r="BM196" s="165"/>
      <c r="BN196" s="113"/>
      <c r="BO196" s="182"/>
      <c r="BP196" s="165"/>
      <c r="BQ196" s="113"/>
      <c r="BR196" s="182"/>
      <c r="BS196" s="187">
        <v>42110</v>
      </c>
      <c r="BT196" s="129">
        <v>42110</v>
      </c>
      <c r="BU196" s="177">
        <v>42110</v>
      </c>
      <c r="BV196" s="182"/>
      <c r="BW196" s="398" t="str">
        <f t="shared" si="211"/>
        <v/>
      </c>
      <c r="BX196" s="398" t="str">
        <f t="shared" si="198"/>
        <v/>
      </c>
      <c r="BY196" s="398" t="str">
        <f t="shared" si="230"/>
        <v/>
      </c>
      <c r="BZ196" s="399" t="str">
        <f t="shared" si="217"/>
        <v/>
      </c>
      <c r="CA196" s="168" t="str">
        <f t="shared" si="228"/>
        <v/>
      </c>
      <c r="CB196" s="151" t="str">
        <f t="shared" si="218"/>
        <v/>
      </c>
      <c r="CC196" s="153" t="str">
        <f t="shared" ca="1" si="219"/>
        <v/>
      </c>
      <c r="CD196" s="153" t="str">
        <f t="shared" si="220"/>
        <v/>
      </c>
      <c r="CE196" s="153" t="str">
        <f t="shared" si="221"/>
        <v/>
      </c>
      <c r="CF196" s="396" t="str">
        <f t="shared" si="222"/>
        <v/>
      </c>
      <c r="CG196" s="397" t="str">
        <f t="shared" si="223"/>
        <v/>
      </c>
      <c r="CH196" s="153" t="str">
        <f t="shared" si="224"/>
        <v/>
      </c>
      <c r="CI196" s="151" t="str">
        <f t="shared" si="225"/>
        <v/>
      </c>
      <c r="CJ196" s="151" t="str">
        <f t="shared" si="146"/>
        <v/>
      </c>
      <c r="CK196" s="153">
        <f t="shared" si="147"/>
        <v>3</v>
      </c>
      <c r="CL196" s="153">
        <f t="shared" si="148"/>
        <v>3</v>
      </c>
      <c r="CM196" s="153">
        <f t="shared" si="149"/>
        <v>4</v>
      </c>
      <c r="CN196" s="153">
        <f t="shared" si="150"/>
        <v>5</v>
      </c>
      <c r="CO196" s="153">
        <f t="shared" si="151"/>
        <v>5</v>
      </c>
      <c r="CP196" s="153">
        <f t="shared" si="152"/>
        <v>5</v>
      </c>
      <c r="CQ196" s="153">
        <f t="shared" si="153"/>
        <v>4</v>
      </c>
      <c r="CR196" s="153">
        <f t="shared" si="154"/>
        <v>4</v>
      </c>
      <c r="CS196" s="153">
        <f t="shared" si="155"/>
        <v>3</v>
      </c>
      <c r="CT196" s="153">
        <f t="shared" si="212"/>
        <v>4</v>
      </c>
      <c r="CU196" s="153">
        <f t="shared" si="213"/>
        <v>3</v>
      </c>
      <c r="CV196" s="153">
        <f t="shared" si="214"/>
        <v>3</v>
      </c>
      <c r="CW196" s="153">
        <f t="shared" si="159"/>
        <v>3</v>
      </c>
      <c r="CX196" s="153">
        <f t="shared" si="160"/>
        <v>3</v>
      </c>
      <c r="CY196" s="153">
        <f t="shared" si="161"/>
        <v>5</v>
      </c>
    </row>
    <row r="197" spans="1:103" s="321" customFormat="1" x14ac:dyDescent="0.25">
      <c r="A197" s="382">
        <v>192</v>
      </c>
      <c r="B197" s="334">
        <v>42107</v>
      </c>
      <c r="C197" s="321">
        <v>1082413</v>
      </c>
      <c r="D197" s="321" t="s">
        <v>2121</v>
      </c>
      <c r="E197" s="321" t="str">
        <f t="shared" si="226"/>
        <v/>
      </c>
      <c r="F197" s="321" t="str">
        <f t="shared" si="227"/>
        <v xml:space="preserve">MDR, COE, 2x2, </v>
      </c>
      <c r="I197" s="334">
        <v>42110</v>
      </c>
      <c r="K197" s="384" t="str">
        <f t="shared" ca="1" si="199"/>
        <v/>
      </c>
      <c r="M197" s="334">
        <v>42131</v>
      </c>
      <c r="N197" s="317" t="str">
        <f t="shared" si="229"/>
        <v/>
      </c>
      <c r="O197" s="321" t="s">
        <v>302</v>
      </c>
      <c r="Q197" s="321" t="s">
        <v>2499</v>
      </c>
      <c r="R197" s="321">
        <v>9258329475</v>
      </c>
      <c r="S197" s="317">
        <f t="shared" si="215"/>
        <v>9258329475</v>
      </c>
      <c r="T197" s="317" t="str">
        <f t="shared" si="216"/>
        <v/>
      </c>
      <c r="U197" s="321" t="s">
        <v>2295</v>
      </c>
      <c r="V197" s="321" t="s">
        <v>2088</v>
      </c>
      <c r="W197" s="321" t="s">
        <v>2086</v>
      </c>
      <c r="X197" s="321" t="s">
        <v>2087</v>
      </c>
      <c r="Y197" s="321" t="s">
        <v>73</v>
      </c>
      <c r="Z197" s="321" t="s">
        <v>74</v>
      </c>
      <c r="AA197" s="321" t="s">
        <v>1232</v>
      </c>
      <c r="AC197" s="321" t="s">
        <v>741</v>
      </c>
      <c r="AD197" s="321" t="s">
        <v>1234</v>
      </c>
      <c r="AH197" s="321" t="s">
        <v>52</v>
      </c>
      <c r="AI197" s="321" t="s">
        <v>878</v>
      </c>
      <c r="AJ197" s="317" t="str">
        <f t="shared" si="196"/>
        <v/>
      </c>
      <c r="AL197" s="321" t="s">
        <v>254</v>
      </c>
      <c r="AM197" s="321" t="s">
        <v>854</v>
      </c>
      <c r="AN197" s="334">
        <v>33375</v>
      </c>
      <c r="AO197" s="321" t="s">
        <v>2326</v>
      </c>
      <c r="AP197" s="321" t="s">
        <v>2326</v>
      </c>
      <c r="AQ197" s="321" t="s">
        <v>50</v>
      </c>
      <c r="AR197" s="321" t="s">
        <v>378</v>
      </c>
      <c r="AS197" s="332">
        <v>42125</v>
      </c>
      <c r="AT197" s="318">
        <v>42125</v>
      </c>
      <c r="AU197" s="318">
        <v>42125</v>
      </c>
      <c r="AV197" s="329">
        <v>42107</v>
      </c>
      <c r="AW197" s="332">
        <v>42125</v>
      </c>
      <c r="AX197" s="317" t="s">
        <v>2814</v>
      </c>
      <c r="AY197" s="317"/>
      <c r="AZ197" s="317">
        <v>1</v>
      </c>
      <c r="BA197" s="318">
        <v>42131</v>
      </c>
      <c r="BB197" s="326"/>
      <c r="BC197" s="332">
        <v>42125</v>
      </c>
      <c r="BD197" s="326" t="s">
        <v>2816</v>
      </c>
      <c r="BE197" s="332">
        <v>42125</v>
      </c>
      <c r="BF197" s="326" t="s">
        <v>2815</v>
      </c>
      <c r="BG197" s="332">
        <v>42125</v>
      </c>
      <c r="BH197" s="385" t="s">
        <v>2813</v>
      </c>
      <c r="BI197" s="326"/>
      <c r="BJ197" s="332">
        <v>42125</v>
      </c>
      <c r="BK197" s="317"/>
      <c r="BL197" s="326"/>
      <c r="BM197" s="332">
        <v>42125</v>
      </c>
      <c r="BN197" s="317"/>
      <c r="BO197" s="326"/>
      <c r="BP197" s="337"/>
      <c r="BQ197" s="318">
        <v>42130</v>
      </c>
      <c r="BR197" s="326"/>
      <c r="BS197" s="332">
        <v>42110</v>
      </c>
      <c r="BT197" s="318">
        <v>42110</v>
      </c>
      <c r="BU197" s="329">
        <v>42110</v>
      </c>
      <c r="BV197" s="326"/>
      <c r="BW197" s="536" t="str">
        <f t="shared" si="211"/>
        <v xml:space="preserve">2305 5/7/2015, </v>
      </c>
      <c r="BX197" s="536">
        <f t="shared" si="198"/>
        <v>11</v>
      </c>
      <c r="BY197" s="536">
        <f t="shared" si="230"/>
        <v>11</v>
      </c>
      <c r="BZ197" s="537">
        <f t="shared" si="217"/>
        <v>1</v>
      </c>
      <c r="CA197" s="337" t="str">
        <f t="shared" si="228"/>
        <v/>
      </c>
      <c r="CB197" s="318" t="str">
        <f t="shared" si="218"/>
        <v/>
      </c>
      <c r="CC197" s="317" t="str">
        <f t="shared" ca="1" si="219"/>
        <v/>
      </c>
      <c r="CD197" s="317" t="str">
        <f t="shared" si="220"/>
        <v/>
      </c>
      <c r="CE197" s="317" t="str">
        <f t="shared" si="221"/>
        <v/>
      </c>
      <c r="CF197" s="538" t="str">
        <f t="shared" si="222"/>
        <v/>
      </c>
      <c r="CG197" s="539" t="str">
        <f t="shared" si="223"/>
        <v/>
      </c>
      <c r="CH197" s="317" t="str">
        <f t="shared" si="224"/>
        <v/>
      </c>
      <c r="CI197" s="318" t="str">
        <f t="shared" si="225"/>
        <v/>
      </c>
      <c r="CJ197" s="318" t="str">
        <f t="shared" si="146"/>
        <v/>
      </c>
      <c r="CK197" s="317">
        <f t="shared" si="147"/>
        <v>4</v>
      </c>
      <c r="CL197" s="317">
        <f t="shared" si="148"/>
        <v>4</v>
      </c>
      <c r="CM197" s="317">
        <f t="shared" si="149"/>
        <v>5</v>
      </c>
      <c r="CN197" s="317">
        <f t="shared" si="150"/>
        <v>6</v>
      </c>
      <c r="CO197" s="317">
        <f t="shared" si="151"/>
        <v>6</v>
      </c>
      <c r="CP197" s="317">
        <f t="shared" si="152"/>
        <v>6</v>
      </c>
      <c r="CQ197" s="317">
        <f t="shared" si="153"/>
        <v>5</v>
      </c>
      <c r="CR197" s="317">
        <f t="shared" si="154"/>
        <v>5</v>
      </c>
      <c r="CS197" s="317">
        <f t="shared" si="155"/>
        <v>4</v>
      </c>
      <c r="CT197" s="317">
        <f t="shared" si="212"/>
        <v>5</v>
      </c>
      <c r="CU197" s="317">
        <f t="shared" si="213"/>
        <v>4</v>
      </c>
      <c r="CV197" s="317">
        <f t="shared" si="214"/>
        <v>4</v>
      </c>
      <c r="CW197" s="317">
        <f t="shared" si="159"/>
        <v>4</v>
      </c>
      <c r="CX197" s="317">
        <f t="shared" si="160"/>
        <v>3</v>
      </c>
      <c r="CY197" s="317">
        <f t="shared" si="161"/>
        <v>6</v>
      </c>
    </row>
    <row r="198" spans="1:103" s="321" customFormat="1" x14ac:dyDescent="0.25">
      <c r="A198" s="382">
        <v>192</v>
      </c>
      <c r="B198" s="334">
        <v>42107</v>
      </c>
      <c r="C198" s="321">
        <v>1082414</v>
      </c>
      <c r="D198" s="321" t="s">
        <v>2122</v>
      </c>
      <c r="E198" s="321" t="str">
        <f t="shared" si="226"/>
        <v/>
      </c>
      <c r="F198" s="321" t="str">
        <f t="shared" si="227"/>
        <v xml:space="preserve">MDR, COE, 2x2, </v>
      </c>
      <c r="I198" s="334">
        <v>42110</v>
      </c>
      <c r="K198" s="152" t="str">
        <f t="shared" ca="1" si="199"/>
        <v/>
      </c>
      <c r="M198" s="334">
        <v>42117</v>
      </c>
      <c r="N198" s="153" t="str">
        <f t="shared" si="229"/>
        <v/>
      </c>
      <c r="O198" s="321" t="s">
        <v>302</v>
      </c>
      <c r="Q198" s="1" t="s">
        <v>2500</v>
      </c>
      <c r="R198" s="1">
        <v>9076794835</v>
      </c>
      <c r="S198" s="153">
        <f t="shared" si="215"/>
        <v>9076794835</v>
      </c>
      <c r="T198" s="153" t="str">
        <f t="shared" si="216"/>
        <v/>
      </c>
      <c r="U198" s="1" t="s">
        <v>2296</v>
      </c>
      <c r="V198" s="1" t="s">
        <v>2091</v>
      </c>
      <c r="W198" s="1" t="s">
        <v>2089</v>
      </c>
      <c r="X198" s="1" t="s">
        <v>2090</v>
      </c>
      <c r="Y198" s="1" t="s">
        <v>73</v>
      </c>
      <c r="Z198" s="1" t="s">
        <v>70</v>
      </c>
      <c r="AA198" s="1" t="s">
        <v>1233</v>
      </c>
      <c r="AB198" s="1"/>
      <c r="AC198" s="1" t="s">
        <v>741</v>
      </c>
      <c r="AD198" s="1" t="s">
        <v>1038</v>
      </c>
      <c r="AE198" s="1"/>
      <c r="AF198" s="1"/>
      <c r="AG198" s="1"/>
      <c r="AH198" s="1" t="s">
        <v>52</v>
      </c>
      <c r="AI198" s="1" t="s">
        <v>253</v>
      </c>
      <c r="AJ198" s="153" t="str">
        <f t="shared" si="196"/>
        <v/>
      </c>
      <c r="AK198" s="1"/>
      <c r="AL198" s="1" t="s">
        <v>558</v>
      </c>
      <c r="AM198" s="1" t="s">
        <v>854</v>
      </c>
      <c r="AN198" s="16">
        <v>32141</v>
      </c>
      <c r="AO198" s="1" t="s">
        <v>2319</v>
      </c>
      <c r="AP198" s="1" t="s">
        <v>2355</v>
      </c>
      <c r="AQ198" s="1" t="s">
        <v>50</v>
      </c>
      <c r="AR198" s="1" t="s">
        <v>378</v>
      </c>
      <c r="AS198" s="169">
        <v>42109</v>
      </c>
      <c r="AT198" s="170">
        <v>42109</v>
      </c>
      <c r="AU198" s="170">
        <v>42109</v>
      </c>
      <c r="AV198" s="181">
        <v>42107</v>
      </c>
      <c r="AW198" s="169">
        <v>42109</v>
      </c>
      <c r="AX198" s="112" t="s">
        <v>2354</v>
      </c>
      <c r="AY198" s="112"/>
      <c r="AZ198" s="170">
        <v>42109</v>
      </c>
      <c r="BA198" s="170">
        <v>42109</v>
      </c>
      <c r="BB198" s="172"/>
      <c r="BC198" s="169">
        <v>42118</v>
      </c>
      <c r="BD198" s="172" t="s">
        <v>2642</v>
      </c>
      <c r="BE198" s="169">
        <v>42118</v>
      </c>
      <c r="BF198" s="172" t="s">
        <v>2644</v>
      </c>
      <c r="BG198" s="169">
        <v>42118</v>
      </c>
      <c r="BH198" s="188" t="s">
        <v>2643</v>
      </c>
      <c r="BI198" s="172"/>
      <c r="BJ198" s="169">
        <v>42118</v>
      </c>
      <c r="BK198" s="112"/>
      <c r="BL198" s="172"/>
      <c r="BM198" s="169">
        <v>42109</v>
      </c>
      <c r="BN198" s="112"/>
      <c r="BO198" s="172"/>
      <c r="BP198" s="159"/>
      <c r="BQ198" s="170">
        <v>42109</v>
      </c>
      <c r="BR198" s="172"/>
      <c r="BS198" s="169">
        <v>42110</v>
      </c>
      <c r="BT198" s="170">
        <v>42110</v>
      </c>
      <c r="BU198" s="181">
        <v>42110</v>
      </c>
      <c r="BV198" s="172"/>
      <c r="BW198" s="398" t="str">
        <f t="shared" si="211"/>
        <v xml:space="preserve">1905 4/15/2015, 2305 4/15/2015, </v>
      </c>
      <c r="BX198" s="398">
        <f t="shared" si="198"/>
        <v>11</v>
      </c>
      <c r="BY198" s="398">
        <f t="shared" si="230"/>
        <v>11</v>
      </c>
      <c r="BZ198" s="399">
        <f t="shared" si="217"/>
        <v>1</v>
      </c>
      <c r="CA198" s="168" t="str">
        <f t="shared" si="228"/>
        <v/>
      </c>
      <c r="CB198" s="151" t="str">
        <f t="shared" si="218"/>
        <v/>
      </c>
      <c r="CC198" s="153" t="str">
        <f t="shared" ca="1" si="219"/>
        <v/>
      </c>
      <c r="CD198" s="153" t="str">
        <f t="shared" si="220"/>
        <v/>
      </c>
      <c r="CE198" s="153" t="str">
        <f t="shared" si="221"/>
        <v/>
      </c>
      <c r="CF198" s="396" t="str">
        <f t="shared" si="222"/>
        <v/>
      </c>
      <c r="CG198" s="397" t="str">
        <f t="shared" si="223"/>
        <v/>
      </c>
      <c r="CH198" s="153" t="str">
        <f t="shared" si="224"/>
        <v/>
      </c>
      <c r="CI198" s="151" t="str">
        <f t="shared" si="225"/>
        <v/>
      </c>
      <c r="CJ198" s="151" t="str">
        <f t="shared" si="146"/>
        <v/>
      </c>
      <c r="CK198" s="153">
        <f t="shared" si="147"/>
        <v>5</v>
      </c>
      <c r="CL198" s="153">
        <f t="shared" si="148"/>
        <v>5</v>
      </c>
      <c r="CM198" s="153">
        <f t="shared" si="149"/>
        <v>6</v>
      </c>
      <c r="CN198" s="153">
        <f t="shared" si="150"/>
        <v>7</v>
      </c>
      <c r="CO198" s="153">
        <f t="shared" si="151"/>
        <v>7</v>
      </c>
      <c r="CP198" s="153">
        <f t="shared" si="152"/>
        <v>7</v>
      </c>
      <c r="CQ198" s="153">
        <f t="shared" si="153"/>
        <v>6</v>
      </c>
      <c r="CR198" s="153">
        <f t="shared" si="154"/>
        <v>6</v>
      </c>
      <c r="CS198" s="153">
        <f t="shared" si="155"/>
        <v>5</v>
      </c>
      <c r="CT198" s="153">
        <f t="shared" si="212"/>
        <v>6</v>
      </c>
      <c r="CU198" s="153">
        <f t="shared" si="213"/>
        <v>5</v>
      </c>
      <c r="CV198" s="153">
        <f t="shared" si="214"/>
        <v>5</v>
      </c>
      <c r="CW198" s="153">
        <f t="shared" si="159"/>
        <v>5</v>
      </c>
      <c r="CX198" s="153">
        <f t="shared" si="160"/>
        <v>3</v>
      </c>
      <c r="CY198" s="153">
        <f t="shared" si="161"/>
        <v>7</v>
      </c>
    </row>
    <row r="199" spans="1:103" s="321" customFormat="1" x14ac:dyDescent="0.25">
      <c r="A199" s="382">
        <v>192</v>
      </c>
      <c r="B199" s="334">
        <v>42107</v>
      </c>
      <c r="C199" s="321">
        <v>1082415</v>
      </c>
      <c r="D199" s="321" t="s">
        <v>2123</v>
      </c>
      <c r="E199" s="321" t="str">
        <f t="shared" si="226"/>
        <v/>
      </c>
      <c r="F199" s="321" t="str">
        <f t="shared" si="227"/>
        <v xml:space="preserve">2x2, </v>
      </c>
      <c r="I199" s="334">
        <v>42110</v>
      </c>
      <c r="K199" s="384" t="str">
        <f t="shared" ca="1" si="199"/>
        <v/>
      </c>
      <c r="N199" s="317" t="str">
        <f t="shared" si="229"/>
        <v>READY!</v>
      </c>
      <c r="O199" s="321" t="s">
        <v>302</v>
      </c>
      <c r="Q199" s="321" t="s">
        <v>2501</v>
      </c>
      <c r="R199" s="321">
        <v>9279038347</v>
      </c>
      <c r="S199" s="317">
        <f t="shared" si="215"/>
        <v>9279038347</v>
      </c>
      <c r="T199" s="317" t="str">
        <f t="shared" si="216"/>
        <v/>
      </c>
      <c r="U199" s="321" t="s">
        <v>2297</v>
      </c>
      <c r="V199" s="321" t="s">
        <v>2094</v>
      </c>
      <c r="W199" s="321" t="s">
        <v>2092</v>
      </c>
      <c r="X199" s="321" t="s">
        <v>2093</v>
      </c>
      <c r="Y199" s="321" t="s">
        <v>73</v>
      </c>
      <c r="Z199" s="321" t="s">
        <v>70</v>
      </c>
      <c r="AA199" s="321" t="s">
        <v>1233</v>
      </c>
      <c r="AC199" s="321" t="s">
        <v>741</v>
      </c>
      <c r="AD199" s="321" t="s">
        <v>1038</v>
      </c>
      <c r="AH199" s="321" t="s">
        <v>52</v>
      </c>
      <c r="AI199" s="321" t="s">
        <v>253</v>
      </c>
      <c r="AJ199" s="317" t="str">
        <f t="shared" si="196"/>
        <v/>
      </c>
      <c r="AL199" s="321" t="s">
        <v>558</v>
      </c>
      <c r="AM199" s="321" t="s">
        <v>854</v>
      </c>
      <c r="AN199" s="334">
        <v>32547</v>
      </c>
      <c r="AO199" s="321" t="s">
        <v>2314</v>
      </c>
      <c r="AP199" s="321" t="s">
        <v>2368</v>
      </c>
      <c r="AQ199" s="321" t="s">
        <v>53</v>
      </c>
      <c r="AS199" s="332">
        <v>42109</v>
      </c>
      <c r="AT199" s="318">
        <v>42105</v>
      </c>
      <c r="AU199" s="318">
        <v>42109</v>
      </c>
      <c r="AV199" s="329">
        <v>42107</v>
      </c>
      <c r="AW199" s="332">
        <v>41744</v>
      </c>
      <c r="AX199" s="317" t="s">
        <v>2367</v>
      </c>
      <c r="AY199" s="317"/>
      <c r="AZ199" s="318">
        <v>42122</v>
      </c>
      <c r="BA199" s="318">
        <v>42109</v>
      </c>
      <c r="BB199" s="326"/>
      <c r="BC199" s="332">
        <v>42109</v>
      </c>
      <c r="BD199" s="326" t="s">
        <v>2361</v>
      </c>
      <c r="BE199" s="332">
        <v>42111</v>
      </c>
      <c r="BF199" s="326" t="s">
        <v>2385</v>
      </c>
      <c r="BG199" s="332">
        <v>42109</v>
      </c>
      <c r="BH199" s="385" t="s">
        <v>2352</v>
      </c>
      <c r="BI199" s="329">
        <v>42132</v>
      </c>
      <c r="BJ199" s="332">
        <v>42109</v>
      </c>
      <c r="BK199" s="317"/>
      <c r="BL199" s="326"/>
      <c r="BM199" s="332">
        <v>42109</v>
      </c>
      <c r="BN199" s="317"/>
      <c r="BO199" s="329">
        <v>42109</v>
      </c>
      <c r="BP199" s="337"/>
      <c r="BQ199" s="318">
        <v>42108</v>
      </c>
      <c r="BR199" s="329">
        <v>42109</v>
      </c>
      <c r="BS199" s="332">
        <v>42110</v>
      </c>
      <c r="BT199" s="318">
        <v>42110</v>
      </c>
      <c r="BU199" s="329">
        <v>42110</v>
      </c>
      <c r="BV199" s="326" t="s">
        <v>2366</v>
      </c>
      <c r="BW199" s="536" t="str">
        <f t="shared" si="211"/>
        <v>1905 (for processing) 4/28/2015, 2305 (for processing) 4/15/2015, MDR 5/8/2015, 2316 (2014) - 4/15/2015</v>
      </c>
      <c r="BX199" s="536">
        <f t="shared" si="198"/>
        <v>11</v>
      </c>
      <c r="BY199" s="536">
        <f t="shared" si="230"/>
        <v>11</v>
      </c>
      <c r="BZ199" s="537">
        <f t="shared" si="217"/>
        <v>1</v>
      </c>
      <c r="CA199" s="337" t="str">
        <f t="shared" si="228"/>
        <v/>
      </c>
      <c r="CB199" s="318" t="str">
        <f t="shared" si="218"/>
        <v/>
      </c>
      <c r="CC199" s="317" t="str">
        <f t="shared" ca="1" si="219"/>
        <v/>
      </c>
      <c r="CD199" s="317" t="str">
        <f t="shared" si="220"/>
        <v/>
      </c>
      <c r="CE199" s="317" t="str">
        <f t="shared" si="221"/>
        <v/>
      </c>
      <c r="CF199" s="538" t="str">
        <f t="shared" si="222"/>
        <v/>
      </c>
      <c r="CG199" s="539" t="str">
        <f t="shared" si="223"/>
        <v/>
      </c>
      <c r="CH199" s="317" t="str">
        <f t="shared" si="224"/>
        <v/>
      </c>
      <c r="CI199" s="318" t="str">
        <f t="shared" si="225"/>
        <v/>
      </c>
      <c r="CJ199" s="318" t="str">
        <f t="shared" ref="CJ199:CJ232" si="231">IF(CA198="",IF(IF(CJ198="",0,CJ198)&gt;L199,IF(CJ198="","",CJ198),IF(L199="","",L199)),IF(L199="","",L199))</f>
        <v/>
      </c>
      <c r="CK199" s="317">
        <f t="shared" ref="CK199:CK232" si="232">IF(CB198="",CK198+IF(IF(O199="n",0,COUNT(BC199))=1,1,0),IF(IF(O199="n",0,COUNT(BC199))=1,1,0))</f>
        <v>6</v>
      </c>
      <c r="CL199" s="317">
        <f t="shared" ref="CL199:CL232" si="233">IF(CB198="",CL198+IF(IF(O199="n",0,COUNT(BE199))=1,1,0),IF(IF(O199="n",0,COUNT(BE199))=1,1,0))</f>
        <v>6</v>
      </c>
      <c r="CM199" s="317">
        <f t="shared" ref="CM199:CM232" si="234">IF(CB198="",CM198+IF(IF(O199="n",0,COUNT(BG199))=1,1,0),IF(IF(O199="n",0,COUNT(BG199))=1,1,0))</f>
        <v>7</v>
      </c>
      <c r="CN199" s="317">
        <f t="shared" ref="CN199:CN232" si="235">IF(CB198="",CN198+IF(IF(O199="n",0,COUNT(BJ199))=1,1,0),IF(IF(O199="n",0,COUNT(BJ199))=1,1,0))</f>
        <v>8</v>
      </c>
      <c r="CO199" s="317">
        <f t="shared" ref="CO199:CO232" si="236">IF(CB198="",CO198+IF(IF(O199="n",0,COUNT(BM199))=1,1,0),IF(IF(O199="n",0,COUNT(BM199))=1,1,0))</f>
        <v>8</v>
      </c>
      <c r="CP199" s="317">
        <f t="shared" ref="CP199:CP232" si="237">IF(CB198="",CP198+IF(IF(O199="n",0,COUNT(AS199))=1,1,0),IF(IF(O199="n",0,COUNT(AS199))=1,1,0))</f>
        <v>8</v>
      </c>
      <c r="CQ199" s="317">
        <f t="shared" ref="CQ199:CQ232" si="238">IF(CB198="",CQ198+IF(IF(O199="n",0,COUNT(AT199))=1,1,0),IF(IF(O199="n",0,COUNT(AT199))=1,1,0))</f>
        <v>7</v>
      </c>
      <c r="CR199" s="317">
        <f t="shared" ref="CR199:CR232" si="239">IF(CB198="",CR198+IF(IF(O199="n",0,COUNT(AU199))=1,1,0),IF(IF(O199="n",0,COUNT(AU199))=1,1,0))</f>
        <v>7</v>
      </c>
      <c r="CS199" s="317">
        <f t="shared" ref="CS199:CS232" si="240">IF(CB198="",CS198+IF(IF(O199="n",0,COUNT(AV199))=1,1,0),IF(IF(O199="n",0,COUNT(AV199))=1,1,0))</f>
        <v>6</v>
      </c>
      <c r="CT199" s="317">
        <f t="shared" si="212"/>
        <v>7</v>
      </c>
      <c r="CU199" s="317">
        <f t="shared" si="213"/>
        <v>6</v>
      </c>
      <c r="CV199" s="317">
        <f t="shared" si="214"/>
        <v>6</v>
      </c>
      <c r="CW199" s="317">
        <f t="shared" ref="CW199:CW232" si="241">IF(CB198="",CW198+IF(O199="c",1,0),IF(O199="c",1,0))</f>
        <v>6</v>
      </c>
      <c r="CX199" s="317">
        <f t="shared" ref="CX199:CX232" si="242">IF(CB198="",CX198+IF(O199="n",1,0),IF(O199="n",1,0))</f>
        <v>3</v>
      </c>
      <c r="CY199" s="317">
        <f t="shared" ref="CY199:CY232" si="243">IF(CB198="",IF(O199="n",CY198,1+CY198),IF(O199="n",0,1))</f>
        <v>8</v>
      </c>
    </row>
    <row r="200" spans="1:103" x14ac:dyDescent="0.25">
      <c r="A200" s="7">
        <v>192</v>
      </c>
      <c r="B200" s="16">
        <v>42107</v>
      </c>
      <c r="C200" s="1">
        <v>1082416</v>
      </c>
      <c r="D200" s="1" t="s">
        <v>2124</v>
      </c>
      <c r="E200" s="1" t="str">
        <f t="shared" si="226"/>
        <v xml:space="preserve">Info, Hand, Waiver, 1905, 2305, </v>
      </c>
      <c r="F200" s="1" t="str">
        <f t="shared" si="227"/>
        <v xml:space="preserve">TOR, COE, 2x2, </v>
      </c>
      <c r="I200" s="16">
        <v>42110</v>
      </c>
      <c r="K200" s="152" t="str">
        <f t="shared" ca="1" si="199"/>
        <v>Dedlyn!</v>
      </c>
      <c r="N200" s="153" t="str">
        <f t="shared" si="229"/>
        <v/>
      </c>
      <c r="O200" s="1" t="s">
        <v>301</v>
      </c>
      <c r="Q200" s="1" t="s">
        <v>2502</v>
      </c>
      <c r="R200" s="1">
        <v>9174478034</v>
      </c>
      <c r="S200" s="153">
        <f t="shared" si="215"/>
        <v>9174478034</v>
      </c>
      <c r="T200" s="153" t="str">
        <f t="shared" si="216"/>
        <v/>
      </c>
      <c r="U200" s="1" t="s">
        <v>2298</v>
      </c>
      <c r="V200" s="1" t="s">
        <v>2097</v>
      </c>
      <c r="W200" s="1" t="s">
        <v>2095</v>
      </c>
      <c r="X200" s="1" t="s">
        <v>2096</v>
      </c>
      <c r="Y200" s="1" t="s">
        <v>73</v>
      </c>
      <c r="Z200" s="1" t="s">
        <v>74</v>
      </c>
      <c r="AA200" s="1" t="s">
        <v>1232</v>
      </c>
      <c r="AC200" s="1" t="s">
        <v>741</v>
      </c>
      <c r="AD200" s="1" t="s">
        <v>1234</v>
      </c>
      <c r="AH200" s="1" t="s">
        <v>52</v>
      </c>
      <c r="AI200" s="1" t="s">
        <v>1465</v>
      </c>
      <c r="AJ200" s="153" t="str">
        <f t="shared" si="196"/>
        <v>Anna Mae Paraoan</v>
      </c>
      <c r="AL200" s="1" t="s">
        <v>259</v>
      </c>
      <c r="AM200" s="1" t="s">
        <v>854</v>
      </c>
      <c r="AN200" s="16">
        <v>31869</v>
      </c>
      <c r="AO200" s="1" t="s">
        <v>2318</v>
      </c>
      <c r="AT200" s="170">
        <v>42105</v>
      </c>
      <c r="AW200" s="169">
        <v>42109</v>
      </c>
      <c r="AX200" s="112" t="s">
        <v>2392</v>
      </c>
      <c r="BC200" s="169">
        <v>42109</v>
      </c>
      <c r="BD200" s="172" t="s">
        <v>2391</v>
      </c>
      <c r="BE200" s="169">
        <v>42109</v>
      </c>
      <c r="BF200" s="172" t="s">
        <v>2393</v>
      </c>
      <c r="BG200" s="169">
        <v>42118</v>
      </c>
      <c r="BH200" s="188" t="s">
        <v>2619</v>
      </c>
      <c r="BI200" s="181">
        <v>42118</v>
      </c>
      <c r="BJ200" s="169">
        <v>42109</v>
      </c>
      <c r="BM200" s="169">
        <v>42109</v>
      </c>
      <c r="BS200" s="169">
        <v>42110</v>
      </c>
      <c r="BT200" s="170">
        <v>42110</v>
      </c>
      <c r="BU200" s="181">
        <v>42110</v>
      </c>
      <c r="BV200" s="172" t="s">
        <v>2366</v>
      </c>
      <c r="BW200" s="398" t="str">
        <f t="shared" si="211"/>
        <v>MDR 4/24/2015, 2316 (2014) - 4/15/2015</v>
      </c>
      <c r="BX200" s="398">
        <f t="shared" si="198"/>
        <v>7</v>
      </c>
      <c r="BY200" s="398">
        <f t="shared" si="230"/>
        <v>11</v>
      </c>
      <c r="BZ200" s="399">
        <f t="shared" si="217"/>
        <v>0.63636363636363635</v>
      </c>
      <c r="CA200" s="168" t="str">
        <f t="shared" si="228"/>
        <v/>
      </c>
      <c r="CB200" s="151" t="str">
        <f t="shared" si="218"/>
        <v/>
      </c>
      <c r="CC200" s="153" t="str">
        <f t="shared" ca="1" si="219"/>
        <v/>
      </c>
      <c r="CD200" s="153" t="str">
        <f t="shared" si="220"/>
        <v/>
      </c>
      <c r="CE200" s="153" t="str">
        <f t="shared" si="221"/>
        <v/>
      </c>
      <c r="CF200" s="396" t="str">
        <f t="shared" si="222"/>
        <v/>
      </c>
      <c r="CG200" s="397" t="str">
        <f t="shared" si="223"/>
        <v/>
      </c>
      <c r="CH200" s="153" t="str">
        <f t="shared" si="224"/>
        <v/>
      </c>
      <c r="CI200" s="151" t="str">
        <f t="shared" si="225"/>
        <v/>
      </c>
      <c r="CJ200" s="151" t="str">
        <f t="shared" si="231"/>
        <v/>
      </c>
      <c r="CK200" s="153">
        <f t="shared" si="232"/>
        <v>7</v>
      </c>
      <c r="CL200" s="153">
        <f t="shared" si="233"/>
        <v>7</v>
      </c>
      <c r="CM200" s="153">
        <f t="shared" si="234"/>
        <v>8</v>
      </c>
      <c r="CN200" s="153">
        <f t="shared" si="235"/>
        <v>9</v>
      </c>
      <c r="CO200" s="153">
        <f t="shared" si="236"/>
        <v>9</v>
      </c>
      <c r="CP200" s="153">
        <f t="shared" si="237"/>
        <v>8</v>
      </c>
      <c r="CQ200" s="153">
        <f t="shared" si="238"/>
        <v>8</v>
      </c>
      <c r="CR200" s="153">
        <f t="shared" si="239"/>
        <v>7</v>
      </c>
      <c r="CS200" s="153">
        <f t="shared" si="240"/>
        <v>6</v>
      </c>
      <c r="CT200" s="153">
        <f t="shared" si="212"/>
        <v>8</v>
      </c>
      <c r="CU200" s="153">
        <f t="shared" si="213"/>
        <v>6</v>
      </c>
      <c r="CV200" s="153">
        <f t="shared" si="214"/>
        <v>6</v>
      </c>
      <c r="CW200" s="153">
        <f t="shared" si="241"/>
        <v>6</v>
      </c>
      <c r="CX200" s="153">
        <f t="shared" si="242"/>
        <v>3</v>
      </c>
      <c r="CY200" s="153">
        <f t="shared" si="243"/>
        <v>9</v>
      </c>
    </row>
    <row r="201" spans="1:103" s="321" customFormat="1" x14ac:dyDescent="0.25">
      <c r="A201" s="382">
        <v>192</v>
      </c>
      <c r="B201" s="334">
        <v>42107</v>
      </c>
      <c r="C201" s="321">
        <v>1082417</v>
      </c>
      <c r="D201" s="321" t="s">
        <v>2125</v>
      </c>
      <c r="E201" s="321" t="str">
        <f t="shared" si="226"/>
        <v/>
      </c>
      <c r="F201" s="321" t="str">
        <f t="shared" si="227"/>
        <v xml:space="preserve">COE, 2x2, </v>
      </c>
      <c r="I201" s="334">
        <v>42110</v>
      </c>
      <c r="K201" s="384" t="str">
        <f t="shared" ca="1" si="199"/>
        <v/>
      </c>
      <c r="M201" s="334">
        <v>42117</v>
      </c>
      <c r="N201" s="317" t="str">
        <f t="shared" si="229"/>
        <v/>
      </c>
      <c r="O201" s="321" t="s">
        <v>302</v>
      </c>
      <c r="Q201" s="321" t="s">
        <v>2503</v>
      </c>
      <c r="R201" s="321">
        <v>9162551202</v>
      </c>
      <c r="S201" s="317">
        <f t="shared" si="215"/>
        <v>9162551202</v>
      </c>
      <c r="T201" s="317" t="str">
        <f t="shared" si="216"/>
        <v/>
      </c>
      <c r="U201" s="321" t="s">
        <v>2299</v>
      </c>
      <c r="V201" s="321" t="s">
        <v>2100</v>
      </c>
      <c r="W201" s="321" t="s">
        <v>2098</v>
      </c>
      <c r="X201" s="321" t="s">
        <v>2099</v>
      </c>
      <c r="Y201" s="321" t="s">
        <v>73</v>
      </c>
      <c r="Z201" s="321" t="s">
        <v>74</v>
      </c>
      <c r="AA201" s="321" t="s">
        <v>1232</v>
      </c>
      <c r="AC201" s="321" t="s">
        <v>741</v>
      </c>
      <c r="AD201" s="321" t="s">
        <v>1234</v>
      </c>
      <c r="AH201" s="321" t="s">
        <v>52</v>
      </c>
      <c r="AI201" s="321" t="s">
        <v>253</v>
      </c>
      <c r="AJ201" s="317" t="str">
        <f t="shared" si="196"/>
        <v/>
      </c>
      <c r="AL201" s="321" t="s">
        <v>259</v>
      </c>
      <c r="AM201" s="321" t="s">
        <v>854</v>
      </c>
      <c r="AN201" s="334">
        <v>34197</v>
      </c>
      <c r="AO201" s="321" t="s">
        <v>2320</v>
      </c>
      <c r="AP201" s="321" t="s">
        <v>2320</v>
      </c>
      <c r="AQ201" s="321" t="s">
        <v>53</v>
      </c>
      <c r="AR201" s="321" t="s">
        <v>378</v>
      </c>
      <c r="AS201" s="332">
        <v>42111</v>
      </c>
      <c r="AT201" s="318">
        <v>42105</v>
      </c>
      <c r="AU201" s="318">
        <v>42111</v>
      </c>
      <c r="AV201" s="329">
        <v>42123</v>
      </c>
      <c r="AW201" s="332">
        <v>42111</v>
      </c>
      <c r="AX201" s="317" t="s">
        <v>2380</v>
      </c>
      <c r="AY201" s="317"/>
      <c r="AZ201" s="317">
        <v>1</v>
      </c>
      <c r="BA201" s="318">
        <v>42111</v>
      </c>
      <c r="BB201" s="326"/>
      <c r="BC201" s="332">
        <v>42123</v>
      </c>
      <c r="BD201" s="326" t="s">
        <v>2766</v>
      </c>
      <c r="BE201" s="332">
        <v>42123</v>
      </c>
      <c r="BF201" s="326" t="s">
        <v>2765</v>
      </c>
      <c r="BG201" s="332">
        <v>42111</v>
      </c>
      <c r="BH201" s="385" t="s">
        <v>2381</v>
      </c>
      <c r="BI201" s="329">
        <v>42123</v>
      </c>
      <c r="BJ201" s="332">
        <v>42111</v>
      </c>
      <c r="BK201" s="317"/>
      <c r="BL201" s="326"/>
      <c r="BM201" s="332">
        <v>42111</v>
      </c>
      <c r="BN201" s="317"/>
      <c r="BO201" s="326"/>
      <c r="BP201" s="337"/>
      <c r="BQ201" s="318">
        <v>42111</v>
      </c>
      <c r="BR201" s="326"/>
      <c r="BS201" s="332">
        <v>42110</v>
      </c>
      <c r="BT201" s="318">
        <v>42110</v>
      </c>
      <c r="BU201" s="329">
        <v>42110</v>
      </c>
      <c r="BV201" s="326"/>
      <c r="BW201" s="536" t="str">
        <f t="shared" si="211"/>
        <v xml:space="preserve">2305 4/17/2015, MDR 4/29/2015, </v>
      </c>
      <c r="BX201" s="536">
        <f t="shared" si="198"/>
        <v>11</v>
      </c>
      <c r="BY201" s="536">
        <f t="shared" si="230"/>
        <v>11</v>
      </c>
      <c r="BZ201" s="537">
        <f t="shared" si="217"/>
        <v>1</v>
      </c>
      <c r="CA201" s="337" t="str">
        <f t="shared" si="228"/>
        <v/>
      </c>
      <c r="CB201" s="318" t="str">
        <f t="shared" si="218"/>
        <v/>
      </c>
      <c r="CC201" s="317" t="str">
        <f t="shared" ca="1" si="219"/>
        <v/>
      </c>
      <c r="CD201" s="317" t="str">
        <f t="shared" si="220"/>
        <v/>
      </c>
      <c r="CE201" s="317" t="str">
        <f t="shared" si="221"/>
        <v/>
      </c>
      <c r="CF201" s="538" t="str">
        <f t="shared" si="222"/>
        <v/>
      </c>
      <c r="CG201" s="539" t="str">
        <f t="shared" si="223"/>
        <v/>
      </c>
      <c r="CH201" s="317" t="str">
        <f t="shared" si="224"/>
        <v/>
      </c>
      <c r="CI201" s="318" t="str">
        <f t="shared" si="225"/>
        <v/>
      </c>
      <c r="CJ201" s="318" t="str">
        <f t="shared" si="231"/>
        <v/>
      </c>
      <c r="CK201" s="317">
        <f t="shared" si="232"/>
        <v>8</v>
      </c>
      <c r="CL201" s="317">
        <f t="shared" si="233"/>
        <v>8</v>
      </c>
      <c r="CM201" s="317">
        <f t="shared" si="234"/>
        <v>9</v>
      </c>
      <c r="CN201" s="317">
        <f t="shared" si="235"/>
        <v>10</v>
      </c>
      <c r="CO201" s="317">
        <f t="shared" si="236"/>
        <v>10</v>
      </c>
      <c r="CP201" s="317">
        <f t="shared" si="237"/>
        <v>9</v>
      </c>
      <c r="CQ201" s="317">
        <f t="shared" si="238"/>
        <v>9</v>
      </c>
      <c r="CR201" s="317">
        <f t="shared" si="239"/>
        <v>8</v>
      </c>
      <c r="CS201" s="317">
        <f t="shared" si="240"/>
        <v>7</v>
      </c>
      <c r="CT201" s="317">
        <f t="shared" si="212"/>
        <v>9</v>
      </c>
      <c r="CU201" s="317">
        <f t="shared" si="213"/>
        <v>7</v>
      </c>
      <c r="CV201" s="317">
        <f t="shared" si="214"/>
        <v>7</v>
      </c>
      <c r="CW201" s="317">
        <f t="shared" si="241"/>
        <v>7</v>
      </c>
      <c r="CX201" s="317">
        <f t="shared" si="242"/>
        <v>3</v>
      </c>
      <c r="CY201" s="317">
        <f t="shared" si="243"/>
        <v>10</v>
      </c>
    </row>
    <row r="202" spans="1:103" s="321" customFormat="1" x14ac:dyDescent="0.25">
      <c r="A202" s="382">
        <v>192</v>
      </c>
      <c r="B202" s="334">
        <v>42107</v>
      </c>
      <c r="C202" s="321">
        <v>1082418</v>
      </c>
      <c r="D202" s="321" t="s">
        <v>2126</v>
      </c>
      <c r="E202" s="321" t="str">
        <f t="shared" si="226"/>
        <v/>
      </c>
      <c r="F202" s="321" t="str">
        <f t="shared" si="227"/>
        <v/>
      </c>
      <c r="I202" s="334">
        <v>42110</v>
      </c>
      <c r="K202" s="384" t="str">
        <f t="shared" ca="1" si="199"/>
        <v/>
      </c>
      <c r="N202" s="317" t="str">
        <f t="shared" si="229"/>
        <v>READY!</v>
      </c>
      <c r="O202" s="321" t="s">
        <v>302</v>
      </c>
      <c r="Q202" s="1" t="s">
        <v>2504</v>
      </c>
      <c r="R202" s="1">
        <v>9255654325</v>
      </c>
      <c r="S202" s="153">
        <f t="shared" si="215"/>
        <v>9255654325</v>
      </c>
      <c r="T202" s="153" t="str">
        <f t="shared" si="216"/>
        <v/>
      </c>
      <c r="U202" s="1" t="s">
        <v>2300</v>
      </c>
      <c r="V202" s="1" t="s">
        <v>1866</v>
      </c>
      <c r="W202" s="1" t="s">
        <v>2101</v>
      </c>
      <c r="X202" s="1" t="s">
        <v>2102</v>
      </c>
      <c r="Y202" s="1" t="s">
        <v>73</v>
      </c>
      <c r="Z202" s="1" t="s">
        <v>70</v>
      </c>
      <c r="AA202" s="1" t="s">
        <v>1233</v>
      </c>
      <c r="AB202" s="1"/>
      <c r="AC202" s="1" t="s">
        <v>741</v>
      </c>
      <c r="AD202" s="1" t="s">
        <v>1038</v>
      </c>
      <c r="AE202" s="1"/>
      <c r="AF202" s="1"/>
      <c r="AG202" s="1"/>
      <c r="AH202" s="1" t="s">
        <v>52</v>
      </c>
      <c r="AI202" s="1" t="s">
        <v>253</v>
      </c>
      <c r="AJ202" s="153" t="str">
        <f t="shared" si="196"/>
        <v/>
      </c>
      <c r="AK202" s="1"/>
      <c r="AL202" s="1" t="s">
        <v>265</v>
      </c>
      <c r="AM202" s="1" t="s">
        <v>854</v>
      </c>
      <c r="AN202" s="16">
        <v>32153</v>
      </c>
      <c r="AO202" s="1" t="s">
        <v>2324</v>
      </c>
      <c r="AP202" s="1" t="s">
        <v>2324</v>
      </c>
      <c r="AQ202" s="1" t="s">
        <v>53</v>
      </c>
      <c r="AR202" s="1" t="s">
        <v>378</v>
      </c>
      <c r="AS202" s="169">
        <v>42123</v>
      </c>
      <c r="AT202" s="170">
        <v>42105</v>
      </c>
      <c r="AU202" s="170">
        <v>42130</v>
      </c>
      <c r="AV202" s="181">
        <v>42107</v>
      </c>
      <c r="AW202" s="169">
        <v>42118</v>
      </c>
      <c r="AX202" s="112" t="s">
        <v>2615</v>
      </c>
      <c r="AY202" s="112"/>
      <c r="AZ202" s="170">
        <v>42124</v>
      </c>
      <c r="BA202" s="170">
        <v>42111</v>
      </c>
      <c r="BB202" s="172"/>
      <c r="BC202" s="169">
        <v>42118</v>
      </c>
      <c r="BD202" s="172" t="s">
        <v>2613</v>
      </c>
      <c r="BE202" s="169">
        <v>42123</v>
      </c>
      <c r="BF202" s="172" t="s">
        <v>2767</v>
      </c>
      <c r="BG202" s="169">
        <v>42111</v>
      </c>
      <c r="BH202" s="188" t="s">
        <v>2384</v>
      </c>
      <c r="BI202" s="181">
        <v>42111</v>
      </c>
      <c r="BJ202" s="169">
        <v>42111</v>
      </c>
      <c r="BK202" s="112"/>
      <c r="BL202" s="172"/>
      <c r="BM202" s="169">
        <v>42111</v>
      </c>
      <c r="BN202" s="112"/>
      <c r="BO202" s="172"/>
      <c r="BP202" s="169">
        <v>42118</v>
      </c>
      <c r="BQ202" s="170">
        <v>42118</v>
      </c>
      <c r="BR202" s="181">
        <v>42118</v>
      </c>
      <c r="BS202" s="169">
        <v>42110</v>
      </c>
      <c r="BT202" s="170">
        <v>42110</v>
      </c>
      <c r="BU202" s="181">
        <v>42110</v>
      </c>
      <c r="BV202" s="172"/>
      <c r="BW202" s="398" t="str">
        <f t="shared" si="211"/>
        <v xml:space="preserve">1905 (for processing) 4/30/2015, 2305 (for processing) 4/17/2015, MDR 4/17/2015, </v>
      </c>
      <c r="BX202" s="398">
        <f t="shared" si="198"/>
        <v>11</v>
      </c>
      <c r="BY202" s="398">
        <f t="shared" si="230"/>
        <v>11</v>
      </c>
      <c r="BZ202" s="399">
        <f t="shared" si="217"/>
        <v>1</v>
      </c>
      <c r="CA202" s="168" t="str">
        <f t="shared" si="228"/>
        <v/>
      </c>
      <c r="CB202" s="151" t="str">
        <f t="shared" si="218"/>
        <v/>
      </c>
      <c r="CC202" s="153" t="str">
        <f t="shared" ca="1" si="219"/>
        <v/>
      </c>
      <c r="CD202" s="153" t="str">
        <f t="shared" si="220"/>
        <v/>
      </c>
      <c r="CE202" s="153" t="str">
        <f t="shared" si="221"/>
        <v/>
      </c>
      <c r="CF202" s="396" t="str">
        <f t="shared" si="222"/>
        <v/>
      </c>
      <c r="CG202" s="397" t="str">
        <f t="shared" si="223"/>
        <v/>
      </c>
      <c r="CH202" s="153" t="str">
        <f t="shared" si="224"/>
        <v/>
      </c>
      <c r="CI202" s="151" t="str">
        <f t="shared" si="225"/>
        <v/>
      </c>
      <c r="CJ202" s="151" t="str">
        <f t="shared" si="231"/>
        <v/>
      </c>
      <c r="CK202" s="153">
        <f t="shared" si="232"/>
        <v>9</v>
      </c>
      <c r="CL202" s="153">
        <f t="shared" si="233"/>
        <v>9</v>
      </c>
      <c r="CM202" s="153">
        <f t="shared" si="234"/>
        <v>10</v>
      </c>
      <c r="CN202" s="153">
        <f t="shared" si="235"/>
        <v>11</v>
      </c>
      <c r="CO202" s="153">
        <f t="shared" si="236"/>
        <v>11</v>
      </c>
      <c r="CP202" s="153">
        <f t="shared" si="237"/>
        <v>10</v>
      </c>
      <c r="CQ202" s="153">
        <f t="shared" si="238"/>
        <v>10</v>
      </c>
      <c r="CR202" s="153">
        <f t="shared" si="239"/>
        <v>9</v>
      </c>
      <c r="CS202" s="153">
        <f t="shared" si="240"/>
        <v>8</v>
      </c>
      <c r="CT202" s="153">
        <f t="shared" si="212"/>
        <v>10</v>
      </c>
      <c r="CU202" s="153">
        <f t="shared" si="213"/>
        <v>8</v>
      </c>
      <c r="CV202" s="153">
        <f t="shared" si="214"/>
        <v>8</v>
      </c>
      <c r="CW202" s="153">
        <f t="shared" si="241"/>
        <v>8</v>
      </c>
      <c r="CX202" s="153">
        <f t="shared" si="242"/>
        <v>3</v>
      </c>
      <c r="CY202" s="153">
        <f t="shared" si="243"/>
        <v>11</v>
      </c>
    </row>
    <row r="203" spans="1:103" s="8" customFormat="1" x14ac:dyDescent="0.25">
      <c r="A203" s="133">
        <v>192</v>
      </c>
      <c r="B203" s="20">
        <v>42107</v>
      </c>
      <c r="C203" s="8">
        <v>1082419</v>
      </c>
      <c r="D203" s="8" t="s">
        <v>2127</v>
      </c>
      <c r="E203" s="8" t="str">
        <f t="shared" si="226"/>
        <v/>
      </c>
      <c r="F203" s="8" t="str">
        <f t="shared" si="227"/>
        <v/>
      </c>
      <c r="I203" s="20">
        <v>42110</v>
      </c>
      <c r="K203" s="132" t="str">
        <f t="shared" ca="1" si="199"/>
        <v/>
      </c>
      <c r="N203" s="113" t="str">
        <f t="shared" si="229"/>
        <v/>
      </c>
      <c r="O203" s="8" t="s">
        <v>298</v>
      </c>
      <c r="P203" s="113" t="s">
        <v>689</v>
      </c>
      <c r="Q203" s="8" t="s">
        <v>2505</v>
      </c>
      <c r="R203" s="8">
        <v>9328722426</v>
      </c>
      <c r="S203" s="113">
        <f t="shared" si="215"/>
        <v>9328722426</v>
      </c>
      <c r="T203" s="113" t="str">
        <f t="shared" si="216"/>
        <v/>
      </c>
      <c r="U203" s="8" t="s">
        <v>2301</v>
      </c>
      <c r="V203" s="8" t="s">
        <v>275</v>
      </c>
      <c r="W203" s="8" t="s">
        <v>2103</v>
      </c>
      <c r="X203" s="8" t="s">
        <v>256</v>
      </c>
      <c r="Y203" s="8" t="s">
        <v>73</v>
      </c>
      <c r="Z203" s="8" t="s">
        <v>74</v>
      </c>
      <c r="AA203" s="8" t="s">
        <v>1232</v>
      </c>
      <c r="AC203" s="8" t="s">
        <v>741</v>
      </c>
      <c r="AD203" s="8" t="s">
        <v>1234</v>
      </c>
      <c r="AH203" s="8" t="s">
        <v>52</v>
      </c>
      <c r="AI203" s="8" t="s">
        <v>253</v>
      </c>
      <c r="AJ203" s="113" t="str">
        <f t="shared" si="196"/>
        <v/>
      </c>
      <c r="AL203" s="8" t="s">
        <v>265</v>
      </c>
      <c r="AM203" s="8" t="s">
        <v>854</v>
      </c>
      <c r="AN203" s="20">
        <v>32305</v>
      </c>
      <c r="AO203" s="8" t="s">
        <v>2325</v>
      </c>
      <c r="AS203" s="165"/>
      <c r="AT203" s="113"/>
      <c r="AU203" s="113"/>
      <c r="AV203" s="177">
        <v>42107</v>
      </c>
      <c r="AW203" s="187"/>
      <c r="AX203" s="113"/>
      <c r="AY203" s="113"/>
      <c r="AZ203" s="113"/>
      <c r="BA203" s="113"/>
      <c r="BB203" s="182"/>
      <c r="BC203" s="187">
        <v>42118</v>
      </c>
      <c r="BD203" s="182" t="s">
        <v>2608</v>
      </c>
      <c r="BE203" s="165"/>
      <c r="BF203" s="182"/>
      <c r="BG203" s="187">
        <v>42118</v>
      </c>
      <c r="BH203" s="274" t="s">
        <v>2607</v>
      </c>
      <c r="BI203" s="182"/>
      <c r="BJ203" s="187">
        <v>42118</v>
      </c>
      <c r="BK203" s="113"/>
      <c r="BL203" s="182"/>
      <c r="BM203" s="187">
        <v>42118</v>
      </c>
      <c r="BN203" s="129">
        <v>42118</v>
      </c>
      <c r="BO203" s="177">
        <v>42118</v>
      </c>
      <c r="BP203" s="165"/>
      <c r="BQ203" s="113"/>
      <c r="BR203" s="182"/>
      <c r="BS203" s="187">
        <v>42110</v>
      </c>
      <c r="BT203" s="129">
        <v>42110</v>
      </c>
      <c r="BU203" s="177">
        <v>42110</v>
      </c>
      <c r="BV203" s="182"/>
      <c r="BW203" s="532" t="str">
        <f t="shared" si="211"/>
        <v/>
      </c>
      <c r="BX203" s="532" t="str">
        <f t="shared" si="198"/>
        <v/>
      </c>
      <c r="BY203" s="532" t="str">
        <f t="shared" si="230"/>
        <v/>
      </c>
      <c r="BZ203" s="533" t="str">
        <f t="shared" si="217"/>
        <v/>
      </c>
      <c r="CA203" s="165" t="str">
        <f t="shared" si="228"/>
        <v/>
      </c>
      <c r="CB203" s="129" t="str">
        <f t="shared" si="218"/>
        <v/>
      </c>
      <c r="CC203" s="113" t="str">
        <f t="shared" ca="1" si="219"/>
        <v/>
      </c>
      <c r="CD203" s="113" t="str">
        <f t="shared" si="220"/>
        <v/>
      </c>
      <c r="CE203" s="113" t="str">
        <f t="shared" si="221"/>
        <v/>
      </c>
      <c r="CF203" s="534" t="str">
        <f t="shared" si="222"/>
        <v/>
      </c>
      <c r="CG203" s="535" t="str">
        <f t="shared" si="223"/>
        <v/>
      </c>
      <c r="CH203" s="113" t="str">
        <f t="shared" si="224"/>
        <v/>
      </c>
      <c r="CI203" s="129" t="str">
        <f t="shared" si="225"/>
        <v/>
      </c>
      <c r="CJ203" s="129" t="str">
        <f t="shared" si="231"/>
        <v/>
      </c>
      <c r="CK203" s="113">
        <f t="shared" si="232"/>
        <v>9</v>
      </c>
      <c r="CL203" s="113">
        <f t="shared" si="233"/>
        <v>9</v>
      </c>
      <c r="CM203" s="113">
        <f t="shared" si="234"/>
        <v>10</v>
      </c>
      <c r="CN203" s="113">
        <f t="shared" si="235"/>
        <v>11</v>
      </c>
      <c r="CO203" s="113">
        <f t="shared" si="236"/>
        <v>11</v>
      </c>
      <c r="CP203" s="113">
        <f t="shared" si="237"/>
        <v>10</v>
      </c>
      <c r="CQ203" s="113">
        <f t="shared" si="238"/>
        <v>10</v>
      </c>
      <c r="CR203" s="113">
        <f t="shared" si="239"/>
        <v>9</v>
      </c>
      <c r="CS203" s="113">
        <f t="shared" si="240"/>
        <v>8</v>
      </c>
      <c r="CT203" s="113">
        <f t="shared" si="212"/>
        <v>10</v>
      </c>
      <c r="CU203" s="113">
        <f t="shared" si="213"/>
        <v>8</v>
      </c>
      <c r="CV203" s="113">
        <f t="shared" si="214"/>
        <v>8</v>
      </c>
      <c r="CW203" s="113">
        <f t="shared" si="241"/>
        <v>8</v>
      </c>
      <c r="CX203" s="113">
        <f t="shared" si="242"/>
        <v>4</v>
      </c>
      <c r="CY203" s="113">
        <f t="shared" si="243"/>
        <v>11</v>
      </c>
    </row>
    <row r="204" spans="1:103" x14ac:dyDescent="0.25">
      <c r="A204" s="7">
        <v>192</v>
      </c>
      <c r="B204" s="16">
        <v>42107</v>
      </c>
      <c r="C204" s="1">
        <v>1082420</v>
      </c>
      <c r="D204" s="1" t="s">
        <v>2128</v>
      </c>
      <c r="E204" s="1" t="str">
        <f t="shared" si="226"/>
        <v xml:space="preserve">HDMF, 1905, </v>
      </c>
      <c r="F204" s="1" t="str">
        <f t="shared" si="227"/>
        <v xml:space="preserve">MDR, TOR, </v>
      </c>
      <c r="I204" s="16">
        <v>42110</v>
      </c>
      <c r="K204" s="152" t="str">
        <f t="shared" ca="1" si="199"/>
        <v>Dedlyn!</v>
      </c>
      <c r="N204" s="153" t="str">
        <f t="shared" si="229"/>
        <v/>
      </c>
      <c r="O204" s="1" t="s">
        <v>301</v>
      </c>
      <c r="Q204" s="1" t="s">
        <v>2506</v>
      </c>
      <c r="R204" s="1">
        <v>9989789035</v>
      </c>
      <c r="S204" s="153">
        <f t="shared" si="215"/>
        <v>9989789035</v>
      </c>
      <c r="T204" s="153" t="str">
        <f t="shared" si="216"/>
        <v/>
      </c>
      <c r="U204" s="1" t="s">
        <v>2302</v>
      </c>
      <c r="V204" s="1" t="s">
        <v>2106</v>
      </c>
      <c r="W204" s="1" t="s">
        <v>2104</v>
      </c>
      <c r="X204" s="1" t="s">
        <v>2105</v>
      </c>
      <c r="Y204" s="1" t="s">
        <v>73</v>
      </c>
      <c r="Z204" s="1" t="s">
        <v>74</v>
      </c>
      <c r="AA204" s="1" t="s">
        <v>1232</v>
      </c>
      <c r="AC204" s="1" t="s">
        <v>741</v>
      </c>
      <c r="AD204" s="1" t="s">
        <v>1234</v>
      </c>
      <c r="AH204" s="1" t="s">
        <v>52</v>
      </c>
      <c r="AI204" s="1" t="s">
        <v>2107</v>
      </c>
      <c r="AJ204" s="153" t="str">
        <f t="shared" si="196"/>
        <v>Alwyn Sergio</v>
      </c>
      <c r="AL204" s="1" t="s">
        <v>265</v>
      </c>
      <c r="AM204" s="1" t="s">
        <v>854</v>
      </c>
      <c r="AN204" s="16">
        <v>32394</v>
      </c>
      <c r="AO204" s="1" t="s">
        <v>2328</v>
      </c>
      <c r="AP204" s="1" t="s">
        <v>2328</v>
      </c>
      <c r="AQ204" s="1" t="s">
        <v>53</v>
      </c>
      <c r="AR204" s="1" t="s">
        <v>378</v>
      </c>
      <c r="AS204" s="169">
        <v>42118</v>
      </c>
      <c r="AT204" s="170">
        <v>42118</v>
      </c>
      <c r="AU204" s="170">
        <v>42118</v>
      </c>
      <c r="AV204" s="181">
        <v>42107</v>
      </c>
      <c r="AW204" s="169">
        <v>42118</v>
      </c>
      <c r="AX204" s="112" t="s">
        <v>2610</v>
      </c>
      <c r="BA204" s="170">
        <v>42118</v>
      </c>
      <c r="BC204" s="169">
        <v>42118</v>
      </c>
      <c r="BD204" s="172" t="s">
        <v>2611</v>
      </c>
      <c r="BG204" s="169">
        <v>42118</v>
      </c>
      <c r="BH204" s="188" t="s">
        <v>2612</v>
      </c>
      <c r="BJ204" s="169">
        <v>42118</v>
      </c>
      <c r="BM204" s="169">
        <v>42118</v>
      </c>
      <c r="BO204" s="181">
        <v>42118</v>
      </c>
      <c r="BP204" s="169">
        <v>42118</v>
      </c>
      <c r="BR204" s="181">
        <v>42118</v>
      </c>
      <c r="BS204" s="169">
        <v>42110</v>
      </c>
      <c r="BT204" s="170">
        <v>42110</v>
      </c>
      <c r="BU204" s="181">
        <v>42110</v>
      </c>
      <c r="BV204" s="172" t="s">
        <v>2609</v>
      </c>
      <c r="BW204" s="398" t="str">
        <f t="shared" si="211"/>
        <v>2305 (for processing) 4/24/2015, 2316 (2013) - 4/24/2015</v>
      </c>
      <c r="BX204" s="398">
        <f t="shared" si="198"/>
        <v>9</v>
      </c>
      <c r="BY204" s="398">
        <f t="shared" si="230"/>
        <v>11</v>
      </c>
      <c r="BZ204" s="399">
        <f t="shared" si="217"/>
        <v>0.81818181818181823</v>
      </c>
      <c r="CA204" s="168" t="str">
        <f t="shared" si="228"/>
        <v/>
      </c>
      <c r="CB204" s="151" t="str">
        <f t="shared" si="218"/>
        <v/>
      </c>
      <c r="CC204" s="153" t="str">
        <f t="shared" ca="1" si="219"/>
        <v/>
      </c>
      <c r="CD204" s="153" t="str">
        <f t="shared" si="220"/>
        <v/>
      </c>
      <c r="CE204" s="153" t="str">
        <f t="shared" si="221"/>
        <v/>
      </c>
      <c r="CF204" s="396" t="str">
        <f t="shared" si="222"/>
        <v/>
      </c>
      <c r="CG204" s="397" t="str">
        <f t="shared" si="223"/>
        <v/>
      </c>
      <c r="CH204" s="153" t="str">
        <f t="shared" si="224"/>
        <v/>
      </c>
      <c r="CI204" s="151" t="str">
        <f t="shared" si="225"/>
        <v/>
      </c>
      <c r="CJ204" s="151" t="str">
        <f t="shared" si="231"/>
        <v/>
      </c>
      <c r="CK204" s="153">
        <f t="shared" si="232"/>
        <v>10</v>
      </c>
      <c r="CL204" s="153">
        <f t="shared" si="233"/>
        <v>9</v>
      </c>
      <c r="CM204" s="153">
        <f t="shared" si="234"/>
        <v>11</v>
      </c>
      <c r="CN204" s="153">
        <f t="shared" si="235"/>
        <v>12</v>
      </c>
      <c r="CO204" s="153">
        <f t="shared" si="236"/>
        <v>12</v>
      </c>
      <c r="CP204" s="153">
        <f t="shared" si="237"/>
        <v>11</v>
      </c>
      <c r="CQ204" s="153">
        <f t="shared" si="238"/>
        <v>11</v>
      </c>
      <c r="CR204" s="153">
        <f t="shared" si="239"/>
        <v>10</v>
      </c>
      <c r="CS204" s="153">
        <f t="shared" si="240"/>
        <v>9</v>
      </c>
      <c r="CT204" s="153">
        <f t="shared" si="212"/>
        <v>11</v>
      </c>
      <c r="CU204" s="153">
        <f t="shared" si="213"/>
        <v>8</v>
      </c>
      <c r="CV204" s="153">
        <f t="shared" si="214"/>
        <v>9</v>
      </c>
      <c r="CW204" s="153">
        <f t="shared" si="241"/>
        <v>8</v>
      </c>
      <c r="CX204" s="153">
        <f t="shared" si="242"/>
        <v>4</v>
      </c>
      <c r="CY204" s="153">
        <f t="shared" si="243"/>
        <v>12</v>
      </c>
    </row>
    <row r="205" spans="1:103" s="321" customFormat="1" x14ac:dyDescent="0.25">
      <c r="A205" s="382">
        <v>192</v>
      </c>
      <c r="B205" s="334">
        <v>42107</v>
      </c>
      <c r="C205" s="321">
        <v>1082421</v>
      </c>
      <c r="D205" s="321" t="s">
        <v>2129</v>
      </c>
      <c r="E205" s="321" t="str">
        <f t="shared" si="226"/>
        <v/>
      </c>
      <c r="F205" s="321" t="str">
        <f t="shared" si="227"/>
        <v xml:space="preserve">MDR, TOR, COE, 2x2, </v>
      </c>
      <c r="I205" s="334">
        <v>42110</v>
      </c>
      <c r="K205" s="384" t="str">
        <f t="shared" ca="1" si="199"/>
        <v/>
      </c>
      <c r="N205" s="317" t="str">
        <f t="shared" si="229"/>
        <v>READY!</v>
      </c>
      <c r="O205" s="321" t="s">
        <v>302</v>
      </c>
      <c r="Q205" s="321" t="s">
        <v>2507</v>
      </c>
      <c r="R205" s="321">
        <v>9272009963</v>
      </c>
      <c r="S205" s="317">
        <f t="shared" si="215"/>
        <v>9272009963</v>
      </c>
      <c r="T205" s="317" t="str">
        <f t="shared" si="216"/>
        <v/>
      </c>
      <c r="U205" s="321" t="s">
        <v>2303</v>
      </c>
      <c r="V205" s="321" t="s">
        <v>2110</v>
      </c>
      <c r="W205" s="321" t="s">
        <v>2108</v>
      </c>
      <c r="X205" s="321" t="s">
        <v>2109</v>
      </c>
      <c r="Y205" s="321" t="s">
        <v>73</v>
      </c>
      <c r="Z205" s="321" t="s">
        <v>74</v>
      </c>
      <c r="AA205" s="321" t="s">
        <v>1232</v>
      </c>
      <c r="AC205" s="321" t="s">
        <v>741</v>
      </c>
      <c r="AD205" s="321" t="s">
        <v>1234</v>
      </c>
      <c r="AH205" s="321" t="s">
        <v>52</v>
      </c>
      <c r="AI205" s="321" t="s">
        <v>253</v>
      </c>
      <c r="AJ205" s="317" t="str">
        <f t="shared" si="196"/>
        <v/>
      </c>
      <c r="AL205" s="321" t="s">
        <v>265</v>
      </c>
      <c r="AM205" s="321" t="s">
        <v>854</v>
      </c>
      <c r="AN205" s="334">
        <v>30448</v>
      </c>
      <c r="AO205" s="321" t="s">
        <v>2811</v>
      </c>
      <c r="AP205" s="321" t="s">
        <v>2812</v>
      </c>
      <c r="AQ205" s="321" t="s">
        <v>53</v>
      </c>
      <c r="AR205" s="321" t="s">
        <v>378</v>
      </c>
      <c r="AS205" s="332">
        <v>42125</v>
      </c>
      <c r="AT205" s="318">
        <v>42105</v>
      </c>
      <c r="AU205" s="318">
        <v>42111</v>
      </c>
      <c r="AV205" s="329">
        <v>42107</v>
      </c>
      <c r="AW205" s="332">
        <v>42111</v>
      </c>
      <c r="AX205" s="317" t="s">
        <v>2386</v>
      </c>
      <c r="AY205" s="317"/>
      <c r="AZ205" s="318">
        <v>42125</v>
      </c>
      <c r="BA205" s="318">
        <v>42125</v>
      </c>
      <c r="BB205" s="326"/>
      <c r="BC205" s="332">
        <v>42125</v>
      </c>
      <c r="BD205" s="326" t="s">
        <v>2810</v>
      </c>
      <c r="BE205" s="332">
        <v>42111</v>
      </c>
      <c r="BF205" s="326" t="s">
        <v>2388</v>
      </c>
      <c r="BG205" s="332">
        <v>42111</v>
      </c>
      <c r="BH205" s="385" t="s">
        <v>2389</v>
      </c>
      <c r="BI205" s="326"/>
      <c r="BJ205" s="332">
        <v>42125</v>
      </c>
      <c r="BK205" s="317"/>
      <c r="BL205" s="326"/>
      <c r="BM205" s="332">
        <v>42125</v>
      </c>
      <c r="BN205" s="317"/>
      <c r="BO205" s="326"/>
      <c r="BP205" s="337"/>
      <c r="BQ205" s="317"/>
      <c r="BR205" s="326"/>
      <c r="BS205" s="332">
        <v>42110</v>
      </c>
      <c r="BT205" s="318">
        <v>42110</v>
      </c>
      <c r="BU205" s="329">
        <v>42110</v>
      </c>
      <c r="BV205" s="326" t="s">
        <v>2387</v>
      </c>
      <c r="BW205" s="536" t="str">
        <f t="shared" si="211"/>
        <v>1905 (for processing) 5/1/2015, 2305 (for processing) 5/1/2015, 2316 (2014) - 4/17/2015</v>
      </c>
      <c r="BX205" s="536">
        <f t="shared" ref="BX205:BX232" si="244">IF(O205="n","",COUNT(BM205,BJ205,BG205,BE205,BC205,AW205,AV205,AU205,AT205,AS205,AZ205))</f>
        <v>11</v>
      </c>
      <c r="BY205" s="536">
        <f t="shared" si="230"/>
        <v>11</v>
      </c>
      <c r="BZ205" s="537">
        <f t="shared" si="217"/>
        <v>1</v>
      </c>
      <c r="CA205" s="337" t="str">
        <f t="shared" si="228"/>
        <v/>
      </c>
      <c r="CB205" s="318" t="str">
        <f t="shared" si="218"/>
        <v/>
      </c>
      <c r="CC205" s="317" t="str">
        <f t="shared" ca="1" si="219"/>
        <v/>
      </c>
      <c r="CD205" s="317" t="str">
        <f t="shared" si="220"/>
        <v/>
      </c>
      <c r="CE205" s="317" t="str">
        <f t="shared" si="221"/>
        <v/>
      </c>
      <c r="CF205" s="538" t="str">
        <f t="shared" si="222"/>
        <v/>
      </c>
      <c r="CG205" s="539" t="str">
        <f t="shared" si="223"/>
        <v/>
      </c>
      <c r="CH205" s="317" t="str">
        <f t="shared" si="224"/>
        <v/>
      </c>
      <c r="CI205" s="318" t="str">
        <f t="shared" si="225"/>
        <v/>
      </c>
      <c r="CJ205" s="318" t="str">
        <f t="shared" si="231"/>
        <v/>
      </c>
      <c r="CK205" s="317">
        <f t="shared" si="232"/>
        <v>11</v>
      </c>
      <c r="CL205" s="317">
        <f t="shared" si="233"/>
        <v>10</v>
      </c>
      <c r="CM205" s="317">
        <f t="shared" si="234"/>
        <v>12</v>
      </c>
      <c r="CN205" s="317">
        <f t="shared" si="235"/>
        <v>13</v>
      </c>
      <c r="CO205" s="317">
        <f t="shared" si="236"/>
        <v>13</v>
      </c>
      <c r="CP205" s="317">
        <f t="shared" si="237"/>
        <v>12</v>
      </c>
      <c r="CQ205" s="317">
        <f t="shared" si="238"/>
        <v>12</v>
      </c>
      <c r="CR205" s="317">
        <f t="shared" si="239"/>
        <v>11</v>
      </c>
      <c r="CS205" s="317">
        <f t="shared" si="240"/>
        <v>10</v>
      </c>
      <c r="CT205" s="317">
        <f t="shared" si="212"/>
        <v>12</v>
      </c>
      <c r="CU205" s="317">
        <f t="shared" si="213"/>
        <v>9</v>
      </c>
      <c r="CV205" s="317">
        <f t="shared" si="214"/>
        <v>10</v>
      </c>
      <c r="CW205" s="317">
        <f t="shared" si="241"/>
        <v>9</v>
      </c>
      <c r="CX205" s="317">
        <f t="shared" si="242"/>
        <v>4</v>
      </c>
      <c r="CY205" s="317">
        <f t="shared" si="243"/>
        <v>13</v>
      </c>
    </row>
    <row r="206" spans="1:103" s="8" customFormat="1" x14ac:dyDescent="0.25">
      <c r="A206" s="133">
        <v>192</v>
      </c>
      <c r="B206" s="20">
        <v>42107</v>
      </c>
      <c r="C206" s="8">
        <v>1082422</v>
      </c>
      <c r="D206" s="8" t="s">
        <v>2130</v>
      </c>
      <c r="E206" s="8" t="str">
        <f t="shared" si="226"/>
        <v/>
      </c>
      <c r="F206" s="8" t="str">
        <f t="shared" si="227"/>
        <v/>
      </c>
      <c r="K206" s="152" t="str">
        <f t="shared" ca="1" si="199"/>
        <v/>
      </c>
      <c r="N206" s="153" t="str">
        <f t="shared" si="229"/>
        <v/>
      </c>
      <c r="O206" s="8" t="s">
        <v>298</v>
      </c>
      <c r="P206" s="113" t="s">
        <v>689</v>
      </c>
      <c r="Q206" s="8" t="s">
        <v>2508</v>
      </c>
      <c r="R206" s="8">
        <v>9176386552</v>
      </c>
      <c r="S206" s="153">
        <f t="shared" si="215"/>
        <v>9176386552</v>
      </c>
      <c r="T206" s="153" t="str">
        <f t="shared" si="216"/>
        <v/>
      </c>
      <c r="V206" s="8" t="s">
        <v>563</v>
      </c>
      <c r="W206" s="8" t="s">
        <v>2111</v>
      </c>
      <c r="Y206" s="8" t="s">
        <v>73</v>
      </c>
      <c r="Z206" s="8" t="s">
        <v>74</v>
      </c>
      <c r="AH206" s="8" t="s">
        <v>52</v>
      </c>
      <c r="AI206" s="8" t="s">
        <v>253</v>
      </c>
      <c r="AJ206" s="153" t="str">
        <f t="shared" si="196"/>
        <v/>
      </c>
      <c r="AL206" s="8" t="s">
        <v>265</v>
      </c>
      <c r="AM206" s="8" t="s">
        <v>854</v>
      </c>
      <c r="AN206" s="20">
        <v>32473</v>
      </c>
      <c r="AS206" s="165"/>
      <c r="AT206" s="129">
        <v>42105</v>
      </c>
      <c r="AU206" s="113"/>
      <c r="AV206" s="182"/>
      <c r="AW206" s="187"/>
      <c r="AX206" s="113"/>
      <c r="AY206" s="113"/>
      <c r="AZ206" s="113"/>
      <c r="BA206" s="113"/>
      <c r="BB206" s="182"/>
      <c r="BC206" s="165"/>
      <c r="BD206" s="182"/>
      <c r="BE206" s="165"/>
      <c r="BF206" s="182"/>
      <c r="BG206" s="165"/>
      <c r="BH206" s="274"/>
      <c r="BI206" s="182"/>
      <c r="BJ206" s="165"/>
      <c r="BK206" s="113"/>
      <c r="BL206" s="182"/>
      <c r="BM206" s="165"/>
      <c r="BN206" s="113"/>
      <c r="BO206" s="182"/>
      <c r="BP206" s="165"/>
      <c r="BQ206" s="113"/>
      <c r="BR206" s="182"/>
      <c r="BS206" s="187"/>
      <c r="BT206" s="129"/>
      <c r="BU206" s="177"/>
      <c r="BV206" s="182"/>
      <c r="BW206" s="398" t="str">
        <f t="shared" si="211"/>
        <v/>
      </c>
      <c r="BX206" s="398" t="str">
        <f t="shared" si="244"/>
        <v/>
      </c>
      <c r="BY206" s="398" t="str">
        <f t="shared" si="230"/>
        <v/>
      </c>
      <c r="BZ206" s="399" t="str">
        <f t="shared" si="217"/>
        <v/>
      </c>
      <c r="CA206" s="168" t="str">
        <f t="shared" si="228"/>
        <v/>
      </c>
      <c r="CB206" s="151" t="str">
        <f t="shared" si="218"/>
        <v/>
      </c>
      <c r="CC206" s="153" t="str">
        <f t="shared" ca="1" si="219"/>
        <v/>
      </c>
      <c r="CD206" s="153" t="str">
        <f t="shared" si="220"/>
        <v/>
      </c>
      <c r="CE206" s="153" t="str">
        <f t="shared" si="221"/>
        <v/>
      </c>
      <c r="CF206" s="396" t="str">
        <f t="shared" si="222"/>
        <v/>
      </c>
      <c r="CG206" s="397" t="str">
        <f t="shared" si="223"/>
        <v/>
      </c>
      <c r="CH206" s="153" t="str">
        <f t="shared" si="224"/>
        <v/>
      </c>
      <c r="CI206" s="151" t="str">
        <f t="shared" si="225"/>
        <v/>
      </c>
      <c r="CJ206" s="151" t="str">
        <f t="shared" si="231"/>
        <v/>
      </c>
      <c r="CK206" s="153">
        <f t="shared" si="232"/>
        <v>11</v>
      </c>
      <c r="CL206" s="153">
        <f t="shared" si="233"/>
        <v>10</v>
      </c>
      <c r="CM206" s="153">
        <f t="shared" si="234"/>
        <v>12</v>
      </c>
      <c r="CN206" s="153">
        <f t="shared" si="235"/>
        <v>13</v>
      </c>
      <c r="CO206" s="153">
        <f t="shared" si="236"/>
        <v>13</v>
      </c>
      <c r="CP206" s="153">
        <f t="shared" si="237"/>
        <v>12</v>
      </c>
      <c r="CQ206" s="153">
        <f t="shared" si="238"/>
        <v>12</v>
      </c>
      <c r="CR206" s="153">
        <f t="shared" si="239"/>
        <v>11</v>
      </c>
      <c r="CS206" s="153">
        <f t="shared" si="240"/>
        <v>10</v>
      </c>
      <c r="CT206" s="153">
        <f t="shared" si="212"/>
        <v>12</v>
      </c>
      <c r="CU206" s="153">
        <f t="shared" si="213"/>
        <v>9</v>
      </c>
      <c r="CV206" s="153">
        <f t="shared" si="214"/>
        <v>10</v>
      </c>
      <c r="CW206" s="153">
        <f t="shared" si="241"/>
        <v>9</v>
      </c>
      <c r="CX206" s="153">
        <f t="shared" si="242"/>
        <v>5</v>
      </c>
      <c r="CY206" s="153">
        <f t="shared" si="243"/>
        <v>13</v>
      </c>
    </row>
    <row r="207" spans="1:103" s="8" customFormat="1" x14ac:dyDescent="0.25">
      <c r="A207" s="133">
        <v>192</v>
      </c>
      <c r="B207" s="20">
        <v>42107</v>
      </c>
      <c r="C207" s="8">
        <v>1082423</v>
      </c>
      <c r="D207" s="8" t="s">
        <v>2131</v>
      </c>
      <c r="E207" s="8" t="str">
        <f t="shared" si="226"/>
        <v/>
      </c>
      <c r="F207" s="8" t="str">
        <f t="shared" si="227"/>
        <v/>
      </c>
      <c r="I207" s="20">
        <v>42110</v>
      </c>
      <c r="K207" s="132" t="str">
        <f t="shared" ca="1" si="199"/>
        <v/>
      </c>
      <c r="M207" s="20">
        <v>42117</v>
      </c>
      <c r="N207" s="113" t="str">
        <f t="shared" si="229"/>
        <v/>
      </c>
      <c r="O207" s="8" t="s">
        <v>298</v>
      </c>
      <c r="P207" s="113" t="s">
        <v>689</v>
      </c>
      <c r="Q207" s="8" t="s">
        <v>2509</v>
      </c>
      <c r="R207" s="8">
        <v>9151494955</v>
      </c>
      <c r="S207" s="113">
        <f t="shared" si="215"/>
        <v>9151494955</v>
      </c>
      <c r="T207" s="113" t="str">
        <f t="shared" si="216"/>
        <v/>
      </c>
      <c r="U207" s="8" t="s">
        <v>2304</v>
      </c>
      <c r="V207" s="8" t="s">
        <v>2114</v>
      </c>
      <c r="W207" s="8" t="s">
        <v>2112</v>
      </c>
      <c r="X207" s="8" t="s">
        <v>2113</v>
      </c>
      <c r="Y207" s="8" t="s">
        <v>73</v>
      </c>
      <c r="Z207" s="8" t="s">
        <v>74</v>
      </c>
      <c r="AA207" s="8" t="s">
        <v>1232</v>
      </c>
      <c r="AC207" s="8" t="s">
        <v>741</v>
      </c>
      <c r="AD207" s="8" t="s">
        <v>1234</v>
      </c>
      <c r="AH207" s="8" t="s">
        <v>52</v>
      </c>
      <c r="AI207" s="8" t="s">
        <v>253</v>
      </c>
      <c r="AJ207" s="113" t="str">
        <f t="shared" si="196"/>
        <v/>
      </c>
      <c r="AL207" s="8" t="s">
        <v>265</v>
      </c>
      <c r="AM207" s="8" t="s">
        <v>854</v>
      </c>
      <c r="AN207" s="20">
        <v>33292</v>
      </c>
      <c r="AO207" s="8" t="s">
        <v>2323</v>
      </c>
      <c r="AP207" s="8" t="s">
        <v>2323</v>
      </c>
      <c r="AQ207" s="8" t="s">
        <v>53</v>
      </c>
      <c r="AR207" s="8" t="s">
        <v>973</v>
      </c>
      <c r="AS207" s="187">
        <v>42111</v>
      </c>
      <c r="AT207" s="129">
        <v>42105</v>
      </c>
      <c r="AU207" s="129">
        <v>42111</v>
      </c>
      <c r="AV207" s="177">
        <v>42107</v>
      </c>
      <c r="AW207" s="187">
        <v>42111</v>
      </c>
      <c r="AX207" s="113" t="s">
        <v>2382</v>
      </c>
      <c r="AY207" s="113"/>
      <c r="AZ207" s="129">
        <v>42111</v>
      </c>
      <c r="BA207" s="129">
        <v>42111</v>
      </c>
      <c r="BB207" s="182"/>
      <c r="BC207" s="187">
        <v>42111</v>
      </c>
      <c r="BD207" s="182" t="s">
        <v>2383</v>
      </c>
      <c r="BE207" s="165"/>
      <c r="BF207" s="182"/>
      <c r="BG207" s="165"/>
      <c r="BH207" s="274"/>
      <c r="BI207" s="182"/>
      <c r="BJ207" s="165"/>
      <c r="BK207" s="113"/>
      <c r="BL207" s="182"/>
      <c r="BM207" s="187">
        <v>42111</v>
      </c>
      <c r="BN207" s="113"/>
      <c r="BO207" s="177">
        <v>42111</v>
      </c>
      <c r="BP207" s="187">
        <v>42111</v>
      </c>
      <c r="BQ207" s="113"/>
      <c r="BR207" s="182"/>
      <c r="BS207" s="187">
        <v>42110</v>
      </c>
      <c r="BT207" s="129">
        <v>42110</v>
      </c>
      <c r="BU207" s="177">
        <v>42110</v>
      </c>
      <c r="BV207" s="182"/>
      <c r="BW207" s="532" t="str">
        <f t="shared" si="211"/>
        <v xml:space="preserve">1905 4/17/2015, 2305 4/17/2015, </v>
      </c>
      <c r="BX207" s="532" t="str">
        <f t="shared" si="244"/>
        <v/>
      </c>
      <c r="BY207" s="532" t="str">
        <f t="shared" si="230"/>
        <v/>
      </c>
      <c r="BZ207" s="533" t="str">
        <f t="shared" si="217"/>
        <v/>
      </c>
      <c r="CA207" s="165" t="str">
        <f t="shared" si="228"/>
        <v/>
      </c>
      <c r="CB207" s="129" t="str">
        <f t="shared" si="218"/>
        <v/>
      </c>
      <c r="CC207" s="113" t="str">
        <f t="shared" ca="1" si="219"/>
        <v/>
      </c>
      <c r="CD207" s="113" t="str">
        <f t="shared" si="220"/>
        <v/>
      </c>
      <c r="CE207" s="113" t="str">
        <f t="shared" si="221"/>
        <v/>
      </c>
      <c r="CF207" s="534" t="str">
        <f t="shared" si="222"/>
        <v/>
      </c>
      <c r="CG207" s="535" t="str">
        <f t="shared" si="223"/>
        <v/>
      </c>
      <c r="CH207" s="113" t="str">
        <f t="shared" si="224"/>
        <v/>
      </c>
      <c r="CI207" s="129" t="str">
        <f t="shared" si="225"/>
        <v/>
      </c>
      <c r="CJ207" s="129" t="str">
        <f t="shared" si="231"/>
        <v/>
      </c>
      <c r="CK207" s="113">
        <f t="shared" si="232"/>
        <v>11</v>
      </c>
      <c r="CL207" s="113">
        <f t="shared" si="233"/>
        <v>10</v>
      </c>
      <c r="CM207" s="113">
        <f t="shared" si="234"/>
        <v>12</v>
      </c>
      <c r="CN207" s="113">
        <f t="shared" si="235"/>
        <v>13</v>
      </c>
      <c r="CO207" s="113">
        <f t="shared" si="236"/>
        <v>13</v>
      </c>
      <c r="CP207" s="113">
        <f t="shared" si="237"/>
        <v>12</v>
      </c>
      <c r="CQ207" s="113">
        <f t="shared" si="238"/>
        <v>12</v>
      </c>
      <c r="CR207" s="113">
        <f t="shared" si="239"/>
        <v>11</v>
      </c>
      <c r="CS207" s="113">
        <f t="shared" si="240"/>
        <v>10</v>
      </c>
      <c r="CT207" s="113">
        <f t="shared" si="212"/>
        <v>12</v>
      </c>
      <c r="CU207" s="113">
        <f t="shared" si="213"/>
        <v>9</v>
      </c>
      <c r="CV207" s="113">
        <f t="shared" si="214"/>
        <v>10</v>
      </c>
      <c r="CW207" s="113">
        <f t="shared" si="241"/>
        <v>9</v>
      </c>
      <c r="CX207" s="113">
        <f t="shared" si="242"/>
        <v>6</v>
      </c>
      <c r="CY207" s="113">
        <f t="shared" si="243"/>
        <v>13</v>
      </c>
    </row>
    <row r="208" spans="1:103" x14ac:dyDescent="0.25">
      <c r="A208" s="7">
        <v>192</v>
      </c>
      <c r="B208" s="16">
        <v>42107</v>
      </c>
      <c r="C208" s="1">
        <v>1082424</v>
      </c>
      <c r="D208" s="1" t="s">
        <v>2132</v>
      </c>
      <c r="E208" s="1" t="str">
        <f t="shared" si="226"/>
        <v xml:space="preserve">NBI, </v>
      </c>
      <c r="F208" s="1" t="str">
        <f t="shared" si="227"/>
        <v xml:space="preserve">TOR, </v>
      </c>
      <c r="I208" s="16">
        <v>42109</v>
      </c>
      <c r="K208" s="152" t="str">
        <f t="shared" ca="1" si="199"/>
        <v>Dedlyn!</v>
      </c>
      <c r="N208" s="153" t="str">
        <f t="shared" si="229"/>
        <v>READY!</v>
      </c>
      <c r="O208" s="1" t="s">
        <v>301</v>
      </c>
      <c r="Q208" s="1" t="s">
        <v>2510</v>
      </c>
      <c r="R208" s="1">
        <v>9154910977</v>
      </c>
      <c r="S208" s="153">
        <f t="shared" si="215"/>
        <v>9154910977</v>
      </c>
      <c r="T208" s="153" t="str">
        <f t="shared" si="216"/>
        <v/>
      </c>
      <c r="U208" s="1" t="s">
        <v>2305</v>
      </c>
      <c r="V208" s="1" t="s">
        <v>2048</v>
      </c>
      <c r="W208" s="1" t="s">
        <v>2046</v>
      </c>
      <c r="X208" s="1" t="s">
        <v>2047</v>
      </c>
      <c r="Y208" s="1" t="s">
        <v>2049</v>
      </c>
      <c r="Z208" s="1" t="s">
        <v>773</v>
      </c>
      <c r="AA208" s="1" t="s">
        <v>1233</v>
      </c>
      <c r="AD208" s="1" t="s">
        <v>1038</v>
      </c>
      <c r="AH208" s="1" t="s">
        <v>52</v>
      </c>
      <c r="AI208" s="1" t="s">
        <v>264</v>
      </c>
      <c r="AJ208" s="153" t="str">
        <f t="shared" si="196"/>
        <v/>
      </c>
      <c r="AL208" s="1" t="s">
        <v>585</v>
      </c>
      <c r="AM208" s="1" t="s">
        <v>854</v>
      </c>
      <c r="AN208" s="16">
        <v>34406</v>
      </c>
      <c r="AO208" s="1" t="s">
        <v>2365</v>
      </c>
      <c r="AP208" s="1" t="s">
        <v>2365</v>
      </c>
      <c r="AQ208" s="1" t="s">
        <v>53</v>
      </c>
      <c r="AR208" s="1" t="s">
        <v>378</v>
      </c>
      <c r="AS208" s="169">
        <v>42122</v>
      </c>
      <c r="AT208" s="170">
        <v>42105</v>
      </c>
      <c r="AU208" s="170">
        <v>42122</v>
      </c>
      <c r="AV208" s="181">
        <v>42109</v>
      </c>
      <c r="AW208" s="169">
        <v>42123</v>
      </c>
      <c r="AX208" s="112" t="s">
        <v>2768</v>
      </c>
      <c r="AZ208" s="170">
        <v>42123</v>
      </c>
      <c r="BA208" s="170">
        <v>42123</v>
      </c>
      <c r="BC208" s="169">
        <v>42122</v>
      </c>
      <c r="BD208" s="172" t="s">
        <v>2752</v>
      </c>
      <c r="BE208" s="169">
        <v>42122</v>
      </c>
      <c r="BF208" s="172" t="s">
        <v>2753</v>
      </c>
      <c r="BG208" s="169">
        <v>42122</v>
      </c>
      <c r="BH208" s="188" t="s">
        <v>2751</v>
      </c>
      <c r="BI208" s="181">
        <v>42122</v>
      </c>
      <c r="BK208" s="170">
        <v>42125</v>
      </c>
      <c r="BL208" s="181">
        <v>42136</v>
      </c>
      <c r="BM208" s="169">
        <v>42122</v>
      </c>
      <c r="BP208" s="169">
        <v>42122</v>
      </c>
      <c r="BR208" s="181">
        <v>42123</v>
      </c>
      <c r="BS208" s="169">
        <v>42108</v>
      </c>
      <c r="BT208" s="170">
        <v>42108</v>
      </c>
      <c r="BU208" s="181">
        <v>42108</v>
      </c>
      <c r="BW208" s="398" t="str">
        <f t="shared" si="211"/>
        <v xml:space="preserve">1905 (for processing) 4/29/2015, 2305 (for processing) 4/29/2015, MDR 4/28/2015, NBI receipt 5/1/2015, </v>
      </c>
      <c r="BX208" s="398">
        <f t="shared" si="244"/>
        <v>10</v>
      </c>
      <c r="BY208" s="398">
        <f t="shared" si="230"/>
        <v>11</v>
      </c>
      <c r="BZ208" s="399">
        <f t="shared" si="217"/>
        <v>0.90909090909090906</v>
      </c>
      <c r="CA208" s="168" t="str">
        <f t="shared" si="228"/>
        <v/>
      </c>
      <c r="CB208" s="151" t="str">
        <f t="shared" si="218"/>
        <v/>
      </c>
      <c r="CC208" s="153" t="str">
        <f t="shared" ca="1" si="219"/>
        <v/>
      </c>
      <c r="CD208" s="153" t="str">
        <f t="shared" si="220"/>
        <v/>
      </c>
      <c r="CE208" s="153" t="str">
        <f t="shared" si="221"/>
        <v/>
      </c>
      <c r="CF208" s="396" t="str">
        <f t="shared" si="222"/>
        <v/>
      </c>
      <c r="CG208" s="397" t="str">
        <f t="shared" si="223"/>
        <v/>
      </c>
      <c r="CH208" s="153" t="str">
        <f t="shared" si="224"/>
        <v/>
      </c>
      <c r="CI208" s="151" t="str">
        <f t="shared" si="225"/>
        <v/>
      </c>
      <c r="CJ208" s="151" t="str">
        <f t="shared" si="231"/>
        <v/>
      </c>
      <c r="CK208" s="153">
        <f t="shared" si="232"/>
        <v>12</v>
      </c>
      <c r="CL208" s="153">
        <f t="shared" si="233"/>
        <v>11</v>
      </c>
      <c r="CM208" s="153">
        <f t="shared" si="234"/>
        <v>13</v>
      </c>
      <c r="CN208" s="153">
        <f t="shared" si="235"/>
        <v>13</v>
      </c>
      <c r="CO208" s="153">
        <f t="shared" si="236"/>
        <v>14</v>
      </c>
      <c r="CP208" s="153">
        <f t="shared" si="237"/>
        <v>13</v>
      </c>
      <c r="CQ208" s="153">
        <f t="shared" si="238"/>
        <v>13</v>
      </c>
      <c r="CR208" s="153">
        <f t="shared" si="239"/>
        <v>12</v>
      </c>
      <c r="CS208" s="153">
        <f t="shared" si="240"/>
        <v>11</v>
      </c>
      <c r="CT208" s="153">
        <f t="shared" si="212"/>
        <v>13</v>
      </c>
      <c r="CU208" s="153">
        <f t="shared" si="213"/>
        <v>10</v>
      </c>
      <c r="CV208" s="153">
        <f t="shared" si="214"/>
        <v>11</v>
      </c>
      <c r="CW208" s="153">
        <f t="shared" si="241"/>
        <v>9</v>
      </c>
      <c r="CX208" s="153">
        <f t="shared" si="242"/>
        <v>6</v>
      </c>
      <c r="CY208" s="153">
        <f t="shared" si="243"/>
        <v>14</v>
      </c>
    </row>
    <row r="209" spans="1:103" s="8" customFormat="1" x14ac:dyDescent="0.25">
      <c r="A209" s="133">
        <v>192</v>
      </c>
      <c r="B209" s="20">
        <v>42107</v>
      </c>
      <c r="C209" s="8">
        <v>1082425</v>
      </c>
      <c r="D209" s="8" t="s">
        <v>2133</v>
      </c>
      <c r="E209" s="8" t="str">
        <f>IF(P209="(*_*)","",IF(BC209&lt;1,"SSS, ","")&amp;IF(BE209&lt;1,"HDMF, ","")&amp;IF(BG209&lt;1,"PHIC, ","")&amp;IF(BJ209&lt;1,"NBI, ","")&amp;IF(BM209&lt;1,"NSO, ","")&amp;IF(AS209&lt;1,"Info, ","")&amp;IF(AT209&lt;1,"AWOL, ","")&amp;IF(AU209&lt;1,"Hand, ","")&amp;IF(AV209&lt;1,"Waiver, ","")&amp;IF(AW209&lt;1,"TIN, ","")&amp;IF(AZ209&lt;1,"1905, ","")&amp;IF(BA209&lt;1,"2305, ",""))</f>
        <v/>
      </c>
      <c r="F209" s="8" t="str">
        <f t="shared" si="227"/>
        <v/>
      </c>
      <c r="I209" s="20">
        <v>42109</v>
      </c>
      <c r="K209" s="132" t="str">
        <f t="shared" ca="1" si="199"/>
        <v/>
      </c>
      <c r="N209" s="113" t="str">
        <f t="shared" si="229"/>
        <v/>
      </c>
      <c r="O209" s="8" t="s">
        <v>298</v>
      </c>
      <c r="P209" s="113" t="s">
        <v>689</v>
      </c>
      <c r="Q209" s="8" t="s">
        <v>2511</v>
      </c>
      <c r="R209" s="8">
        <v>9194756959</v>
      </c>
      <c r="S209" s="113">
        <f t="shared" si="215"/>
        <v>9194756959</v>
      </c>
      <c r="T209" s="113" t="str">
        <f t="shared" si="216"/>
        <v/>
      </c>
      <c r="U209" s="8" t="s">
        <v>2306</v>
      </c>
      <c r="V209" s="8" t="s">
        <v>2052</v>
      </c>
      <c r="W209" s="8" t="s">
        <v>2050</v>
      </c>
      <c r="X209" s="8" t="s">
        <v>2051</v>
      </c>
      <c r="Y209" s="8" t="s">
        <v>2049</v>
      </c>
      <c r="Z209" s="8" t="s">
        <v>773</v>
      </c>
      <c r="AA209" s="8" t="s">
        <v>1233</v>
      </c>
      <c r="AD209" s="8" t="s">
        <v>1038</v>
      </c>
      <c r="AH209" s="8" t="s">
        <v>52</v>
      </c>
      <c r="AI209" s="8" t="s">
        <v>264</v>
      </c>
      <c r="AJ209" s="113" t="str">
        <f t="shared" si="196"/>
        <v/>
      </c>
      <c r="AL209" s="8" t="s">
        <v>585</v>
      </c>
      <c r="AM209" s="8" t="s">
        <v>854</v>
      </c>
      <c r="AN209" s="20">
        <v>32584</v>
      </c>
      <c r="AO209" s="8" t="s">
        <v>2348</v>
      </c>
      <c r="AP209" s="8" t="s">
        <v>2759</v>
      </c>
      <c r="AQ209" s="8" t="s">
        <v>53</v>
      </c>
      <c r="AR209" s="8" t="s">
        <v>378</v>
      </c>
      <c r="AS209" s="187">
        <v>42122</v>
      </c>
      <c r="AT209" s="129">
        <v>42105</v>
      </c>
      <c r="AU209" s="129">
        <v>42122</v>
      </c>
      <c r="AV209" s="177">
        <v>42109</v>
      </c>
      <c r="AW209" s="187">
        <v>42122</v>
      </c>
      <c r="AX209" s="113" t="s">
        <v>2758</v>
      </c>
      <c r="AY209" s="113"/>
      <c r="AZ209" s="129">
        <v>42122</v>
      </c>
      <c r="BA209" s="113"/>
      <c r="BB209" s="182"/>
      <c r="BC209" s="187">
        <v>42122</v>
      </c>
      <c r="BD209" s="182" t="s">
        <v>2756</v>
      </c>
      <c r="BE209" s="187">
        <v>42122</v>
      </c>
      <c r="BF209" s="182" t="s">
        <v>2757</v>
      </c>
      <c r="BG209" s="187">
        <v>42122</v>
      </c>
      <c r="BH209" s="274" t="s">
        <v>2755</v>
      </c>
      <c r="BI209" s="177"/>
      <c r="BJ209" s="165"/>
      <c r="BK209" s="113"/>
      <c r="BL209" s="182"/>
      <c r="BM209" s="187">
        <v>42122</v>
      </c>
      <c r="BN209" s="113"/>
      <c r="BO209" s="177">
        <v>42122</v>
      </c>
      <c r="BP209" s="165"/>
      <c r="BQ209" s="113"/>
      <c r="BR209" s="182"/>
      <c r="BS209" s="187">
        <v>42108</v>
      </c>
      <c r="BT209" s="129">
        <v>42108</v>
      </c>
      <c r="BU209" s="177">
        <v>42108</v>
      </c>
      <c r="BV209" s="182" t="s">
        <v>2760</v>
      </c>
      <c r="BW209" s="532" t="str">
        <f t="shared" si="211"/>
        <v>1905 (for processing) 4/28/2015, Affidavit of Discrepancy - 04/28/2015</v>
      </c>
      <c r="BX209" s="532" t="str">
        <f t="shared" si="244"/>
        <v/>
      </c>
      <c r="BY209" s="532" t="str">
        <f t="shared" si="230"/>
        <v/>
      </c>
      <c r="BZ209" s="533" t="str">
        <f t="shared" si="217"/>
        <v/>
      </c>
      <c r="CA209" s="165" t="str">
        <f t="shared" si="228"/>
        <v/>
      </c>
      <c r="CB209" s="129" t="str">
        <f t="shared" si="218"/>
        <v/>
      </c>
      <c r="CC209" s="113" t="str">
        <f t="shared" ca="1" si="219"/>
        <v/>
      </c>
      <c r="CD209" s="113" t="str">
        <f t="shared" si="220"/>
        <v/>
      </c>
      <c r="CE209" s="113" t="str">
        <f t="shared" si="221"/>
        <v/>
      </c>
      <c r="CF209" s="534" t="str">
        <f t="shared" si="222"/>
        <v/>
      </c>
      <c r="CG209" s="535" t="str">
        <f t="shared" si="223"/>
        <v/>
      </c>
      <c r="CH209" s="113" t="str">
        <f t="shared" si="224"/>
        <v/>
      </c>
      <c r="CI209" s="129" t="str">
        <f t="shared" si="225"/>
        <v/>
      </c>
      <c r="CJ209" s="129" t="str">
        <f t="shared" si="231"/>
        <v/>
      </c>
      <c r="CK209" s="113">
        <f t="shared" si="232"/>
        <v>12</v>
      </c>
      <c r="CL209" s="113">
        <f t="shared" si="233"/>
        <v>11</v>
      </c>
      <c r="CM209" s="113">
        <f t="shared" si="234"/>
        <v>13</v>
      </c>
      <c r="CN209" s="113">
        <f t="shared" si="235"/>
        <v>13</v>
      </c>
      <c r="CO209" s="113">
        <f t="shared" si="236"/>
        <v>14</v>
      </c>
      <c r="CP209" s="113">
        <f t="shared" si="237"/>
        <v>13</v>
      </c>
      <c r="CQ209" s="113">
        <f t="shared" si="238"/>
        <v>13</v>
      </c>
      <c r="CR209" s="113">
        <f t="shared" si="239"/>
        <v>12</v>
      </c>
      <c r="CS209" s="113">
        <f t="shared" si="240"/>
        <v>11</v>
      </c>
      <c r="CT209" s="113">
        <f t="shared" si="212"/>
        <v>13</v>
      </c>
      <c r="CU209" s="113">
        <f t="shared" si="213"/>
        <v>10</v>
      </c>
      <c r="CV209" s="113">
        <f t="shared" si="214"/>
        <v>11</v>
      </c>
      <c r="CW209" s="113">
        <f t="shared" si="241"/>
        <v>9</v>
      </c>
      <c r="CX209" s="113">
        <f t="shared" si="242"/>
        <v>7</v>
      </c>
      <c r="CY209" s="113">
        <f t="shared" si="243"/>
        <v>14</v>
      </c>
    </row>
    <row r="210" spans="1:103" s="321" customFormat="1" x14ac:dyDescent="0.25">
      <c r="A210" s="382">
        <v>192</v>
      </c>
      <c r="B210" s="334">
        <v>42107</v>
      </c>
      <c r="C210" s="321">
        <v>1082426</v>
      </c>
      <c r="D210" s="321" t="s">
        <v>2134</v>
      </c>
      <c r="E210" s="321" t="str">
        <f t="shared" si="226"/>
        <v/>
      </c>
      <c r="F210" s="321" t="str">
        <f t="shared" si="227"/>
        <v/>
      </c>
      <c r="I210" s="334">
        <v>42109</v>
      </c>
      <c r="K210" s="384" t="str">
        <f t="shared" ca="1" si="199"/>
        <v/>
      </c>
      <c r="M210" s="334">
        <v>42117</v>
      </c>
      <c r="N210" s="317" t="str">
        <f t="shared" si="229"/>
        <v/>
      </c>
      <c r="O210" s="321" t="s">
        <v>302</v>
      </c>
      <c r="Q210" s="321" t="s">
        <v>2512</v>
      </c>
      <c r="R210" s="321">
        <v>9175894160</v>
      </c>
      <c r="S210" s="317">
        <f t="shared" si="215"/>
        <v>9175894160</v>
      </c>
      <c r="T210" s="317" t="str">
        <f t="shared" si="216"/>
        <v/>
      </c>
      <c r="U210" s="321" t="s">
        <v>2307</v>
      </c>
      <c r="V210" s="321" t="s">
        <v>2055</v>
      </c>
      <c r="W210" s="321" t="s">
        <v>2053</v>
      </c>
      <c r="X210" s="321" t="s">
        <v>2054</v>
      </c>
      <c r="Y210" s="321" t="s">
        <v>2049</v>
      </c>
      <c r="Z210" s="321" t="s">
        <v>773</v>
      </c>
      <c r="AA210" s="321" t="s">
        <v>1233</v>
      </c>
      <c r="AD210" s="321" t="s">
        <v>1038</v>
      </c>
      <c r="AH210" s="321" t="s">
        <v>52</v>
      </c>
      <c r="AI210" s="321" t="s">
        <v>878</v>
      </c>
      <c r="AJ210" s="317" t="str">
        <f t="shared" si="196"/>
        <v/>
      </c>
      <c r="AL210" s="321" t="s">
        <v>585</v>
      </c>
      <c r="AM210" s="321" t="s">
        <v>854</v>
      </c>
      <c r="AN210" s="334">
        <v>32069</v>
      </c>
      <c r="AO210" s="321" t="s">
        <v>2347</v>
      </c>
      <c r="AP210" s="321" t="s">
        <v>2390</v>
      </c>
      <c r="AQ210" s="321" t="s">
        <v>53</v>
      </c>
      <c r="AR210" s="321" t="s">
        <v>378</v>
      </c>
      <c r="AS210" s="332">
        <v>42111</v>
      </c>
      <c r="AT210" s="318">
        <v>42109</v>
      </c>
      <c r="AU210" s="318">
        <v>42109</v>
      </c>
      <c r="AV210" s="329">
        <v>42109</v>
      </c>
      <c r="AW210" s="332">
        <v>42109</v>
      </c>
      <c r="AX210" s="317" t="s">
        <v>2356</v>
      </c>
      <c r="AY210" s="317"/>
      <c r="AZ210" s="318">
        <v>42109</v>
      </c>
      <c r="BA210" s="318">
        <v>42109</v>
      </c>
      <c r="BB210" s="326"/>
      <c r="BC210" s="332">
        <v>42118</v>
      </c>
      <c r="BD210" s="326" t="s">
        <v>2675</v>
      </c>
      <c r="BE210" s="332">
        <v>42118</v>
      </c>
      <c r="BF210" s="326" t="s">
        <v>2676</v>
      </c>
      <c r="BG210" s="332">
        <v>42123</v>
      </c>
      <c r="BH210" s="385" t="s">
        <v>2770</v>
      </c>
      <c r="BI210" s="329">
        <v>42123</v>
      </c>
      <c r="BJ210" s="332">
        <v>42109</v>
      </c>
      <c r="BK210" s="317"/>
      <c r="BL210" s="326"/>
      <c r="BM210" s="332">
        <v>42109</v>
      </c>
      <c r="BN210" s="317"/>
      <c r="BO210" s="326"/>
      <c r="BP210" s="332">
        <v>42123</v>
      </c>
      <c r="BQ210" s="318">
        <v>42118</v>
      </c>
      <c r="BR210" s="329">
        <v>42109</v>
      </c>
      <c r="BS210" s="332">
        <v>42108</v>
      </c>
      <c r="BT210" s="318">
        <v>42108</v>
      </c>
      <c r="BU210" s="329">
        <v>42108</v>
      </c>
      <c r="BV210" s="326"/>
      <c r="BW210" s="536" t="str">
        <f t="shared" si="211"/>
        <v xml:space="preserve">1905 4/15/2015, 2305 4/15/2015, MDR 4/29/2015, </v>
      </c>
      <c r="BX210" s="536">
        <f t="shared" si="244"/>
        <v>11</v>
      </c>
      <c r="BY210" s="536">
        <f t="shared" si="230"/>
        <v>11</v>
      </c>
      <c r="BZ210" s="537">
        <f t="shared" si="217"/>
        <v>1</v>
      </c>
      <c r="CA210" s="337" t="str">
        <f t="shared" si="228"/>
        <v/>
      </c>
      <c r="CB210" s="318" t="str">
        <f t="shared" si="218"/>
        <v/>
      </c>
      <c r="CC210" s="317" t="str">
        <f t="shared" ca="1" si="219"/>
        <v/>
      </c>
      <c r="CD210" s="317" t="str">
        <f t="shared" si="220"/>
        <v/>
      </c>
      <c r="CE210" s="317" t="str">
        <f t="shared" si="221"/>
        <v/>
      </c>
      <c r="CF210" s="538" t="str">
        <f t="shared" si="222"/>
        <v/>
      </c>
      <c r="CG210" s="539" t="str">
        <f t="shared" si="223"/>
        <v/>
      </c>
      <c r="CH210" s="317" t="str">
        <f t="shared" si="224"/>
        <v/>
      </c>
      <c r="CI210" s="318" t="str">
        <f t="shared" si="225"/>
        <v/>
      </c>
      <c r="CJ210" s="318" t="str">
        <f t="shared" si="231"/>
        <v/>
      </c>
      <c r="CK210" s="317">
        <f t="shared" si="232"/>
        <v>13</v>
      </c>
      <c r="CL210" s="317">
        <f t="shared" si="233"/>
        <v>12</v>
      </c>
      <c r="CM210" s="317">
        <f t="shared" si="234"/>
        <v>14</v>
      </c>
      <c r="CN210" s="317">
        <f t="shared" si="235"/>
        <v>14</v>
      </c>
      <c r="CO210" s="317">
        <f t="shared" si="236"/>
        <v>15</v>
      </c>
      <c r="CP210" s="317">
        <f t="shared" si="237"/>
        <v>14</v>
      </c>
      <c r="CQ210" s="317">
        <f t="shared" si="238"/>
        <v>14</v>
      </c>
      <c r="CR210" s="317">
        <f t="shared" si="239"/>
        <v>13</v>
      </c>
      <c r="CS210" s="317">
        <f t="shared" si="240"/>
        <v>12</v>
      </c>
      <c r="CT210" s="317">
        <f t="shared" si="212"/>
        <v>14</v>
      </c>
      <c r="CU210" s="317">
        <f t="shared" si="213"/>
        <v>11</v>
      </c>
      <c r="CV210" s="317">
        <f t="shared" si="214"/>
        <v>12</v>
      </c>
      <c r="CW210" s="317">
        <f t="shared" si="241"/>
        <v>10</v>
      </c>
      <c r="CX210" s="317">
        <f t="shared" si="242"/>
        <v>7</v>
      </c>
      <c r="CY210" s="317">
        <f t="shared" si="243"/>
        <v>15</v>
      </c>
    </row>
    <row r="211" spans="1:103" s="321" customFormat="1" x14ac:dyDescent="0.25">
      <c r="A211" s="382">
        <v>192</v>
      </c>
      <c r="B211" s="334">
        <v>42107</v>
      </c>
      <c r="C211" s="321">
        <v>1082427</v>
      </c>
      <c r="D211" s="321" t="s">
        <v>2135</v>
      </c>
      <c r="E211" s="321" t="str">
        <f t="shared" si="226"/>
        <v/>
      </c>
      <c r="F211" s="321" t="str">
        <f t="shared" si="227"/>
        <v xml:space="preserve">COE, 2x2, </v>
      </c>
      <c r="I211" s="334">
        <v>42109</v>
      </c>
      <c r="K211" s="384" t="str">
        <f t="shared" ca="1" si="199"/>
        <v/>
      </c>
      <c r="N211" s="317" t="str">
        <f t="shared" si="229"/>
        <v>READY!</v>
      </c>
      <c r="O211" s="321" t="s">
        <v>302</v>
      </c>
      <c r="Q211" s="1" t="s">
        <v>2513</v>
      </c>
      <c r="R211" s="1">
        <v>9178161337</v>
      </c>
      <c r="S211" s="153">
        <f t="shared" si="215"/>
        <v>9178161337</v>
      </c>
      <c r="T211" s="153" t="str">
        <f t="shared" si="216"/>
        <v/>
      </c>
      <c r="U211" s="1" t="s">
        <v>2308</v>
      </c>
      <c r="V211" s="1" t="s">
        <v>2058</v>
      </c>
      <c r="W211" s="1" t="s">
        <v>2056</v>
      </c>
      <c r="X211" s="1" t="s">
        <v>2057</v>
      </c>
      <c r="Y211" s="1" t="s">
        <v>2049</v>
      </c>
      <c r="Z211" s="1" t="s">
        <v>773</v>
      </c>
      <c r="AA211" s="1" t="s">
        <v>1233</v>
      </c>
      <c r="AB211" s="1"/>
      <c r="AC211" s="1"/>
      <c r="AD211" s="1" t="s">
        <v>1038</v>
      </c>
      <c r="AE211" s="1"/>
      <c r="AF211" s="1"/>
      <c r="AG211" s="1"/>
      <c r="AH211" s="1" t="s">
        <v>52</v>
      </c>
      <c r="AI211" s="1" t="s">
        <v>2316</v>
      </c>
      <c r="AJ211" s="153" t="str">
        <f t="shared" si="196"/>
        <v>Bezaleel Climacosa</v>
      </c>
      <c r="AK211" s="1"/>
      <c r="AL211" s="1" t="s">
        <v>585</v>
      </c>
      <c r="AM211" s="1" t="s">
        <v>854</v>
      </c>
      <c r="AN211" s="16">
        <v>32228</v>
      </c>
      <c r="AO211" s="1" t="s">
        <v>2351</v>
      </c>
      <c r="AP211" s="1" t="s">
        <v>2674</v>
      </c>
      <c r="AQ211" s="1" t="s">
        <v>53</v>
      </c>
      <c r="AR211" s="1"/>
      <c r="AS211" s="169">
        <v>42118</v>
      </c>
      <c r="AT211" s="170">
        <v>42105</v>
      </c>
      <c r="AU211" s="170">
        <v>42118</v>
      </c>
      <c r="AV211" s="181">
        <v>42109</v>
      </c>
      <c r="AW211" s="169">
        <v>42136</v>
      </c>
      <c r="AX211" s="112" t="s">
        <v>3135</v>
      </c>
      <c r="AY211" s="112"/>
      <c r="AZ211" s="170">
        <v>42136</v>
      </c>
      <c r="BA211" s="170">
        <v>42136</v>
      </c>
      <c r="BB211" s="172"/>
      <c r="BC211" s="169">
        <v>42118</v>
      </c>
      <c r="BD211" s="172" t="s">
        <v>2673</v>
      </c>
      <c r="BE211" s="169">
        <v>42118</v>
      </c>
      <c r="BF211" s="172" t="s">
        <v>2672</v>
      </c>
      <c r="BG211" s="169">
        <v>42122</v>
      </c>
      <c r="BH211" s="188" t="s">
        <v>2761</v>
      </c>
      <c r="BI211" s="181">
        <v>42122</v>
      </c>
      <c r="BJ211" s="169">
        <v>42118</v>
      </c>
      <c r="BK211" s="112"/>
      <c r="BL211" s="172"/>
      <c r="BM211" s="169">
        <v>42118</v>
      </c>
      <c r="BN211" s="112"/>
      <c r="BO211" s="172"/>
      <c r="BP211" s="169"/>
      <c r="BQ211" s="170">
        <v>42118</v>
      </c>
      <c r="BR211" s="172"/>
      <c r="BS211" s="169">
        <v>42108</v>
      </c>
      <c r="BT211" s="170">
        <v>42108</v>
      </c>
      <c r="BU211" s="181">
        <v>42108</v>
      </c>
      <c r="BV211" s="172"/>
      <c r="BW211" s="398" t="str">
        <f t="shared" si="211"/>
        <v xml:space="preserve">1905 (for processing) 5/12/2015, 2305 (for processing) 5/12/2015, MDR 4/28/2015, </v>
      </c>
      <c r="BX211" s="398">
        <f t="shared" si="244"/>
        <v>11</v>
      </c>
      <c r="BY211" s="398">
        <f t="shared" si="230"/>
        <v>11</v>
      </c>
      <c r="BZ211" s="399">
        <f t="shared" si="217"/>
        <v>1</v>
      </c>
      <c r="CA211" s="168" t="str">
        <f t="shared" si="228"/>
        <v/>
      </c>
      <c r="CB211" s="151" t="str">
        <f t="shared" si="218"/>
        <v/>
      </c>
      <c r="CC211" s="153" t="str">
        <f t="shared" ca="1" si="219"/>
        <v/>
      </c>
      <c r="CD211" s="153" t="str">
        <f t="shared" si="220"/>
        <v/>
      </c>
      <c r="CE211" s="153" t="str">
        <f t="shared" si="221"/>
        <v/>
      </c>
      <c r="CF211" s="396" t="str">
        <f t="shared" si="222"/>
        <v/>
      </c>
      <c r="CG211" s="397" t="str">
        <f t="shared" si="223"/>
        <v/>
      </c>
      <c r="CH211" s="153" t="str">
        <f t="shared" si="224"/>
        <v/>
      </c>
      <c r="CI211" s="151" t="str">
        <f t="shared" si="225"/>
        <v/>
      </c>
      <c r="CJ211" s="151" t="str">
        <f t="shared" si="231"/>
        <v/>
      </c>
      <c r="CK211" s="153">
        <f t="shared" si="232"/>
        <v>14</v>
      </c>
      <c r="CL211" s="153">
        <f t="shared" si="233"/>
        <v>13</v>
      </c>
      <c r="CM211" s="153">
        <f t="shared" si="234"/>
        <v>15</v>
      </c>
      <c r="CN211" s="153">
        <f t="shared" si="235"/>
        <v>15</v>
      </c>
      <c r="CO211" s="153">
        <f t="shared" si="236"/>
        <v>16</v>
      </c>
      <c r="CP211" s="153">
        <f t="shared" si="237"/>
        <v>15</v>
      </c>
      <c r="CQ211" s="153">
        <f t="shared" si="238"/>
        <v>15</v>
      </c>
      <c r="CR211" s="153">
        <f t="shared" si="239"/>
        <v>14</v>
      </c>
      <c r="CS211" s="153">
        <f t="shared" si="240"/>
        <v>13</v>
      </c>
      <c r="CT211" s="153">
        <f t="shared" si="212"/>
        <v>15</v>
      </c>
      <c r="CU211" s="153">
        <f t="shared" si="213"/>
        <v>12</v>
      </c>
      <c r="CV211" s="153">
        <f t="shared" si="214"/>
        <v>13</v>
      </c>
      <c r="CW211" s="153">
        <f t="shared" si="241"/>
        <v>11</v>
      </c>
      <c r="CX211" s="153">
        <f t="shared" si="242"/>
        <v>7</v>
      </c>
      <c r="CY211" s="153">
        <f t="shared" si="243"/>
        <v>16</v>
      </c>
    </row>
    <row r="212" spans="1:103" s="8" customFormat="1" x14ac:dyDescent="0.25">
      <c r="A212" s="133">
        <v>192</v>
      </c>
      <c r="B212" s="20">
        <v>42107</v>
      </c>
      <c r="C212" s="8">
        <v>1082428</v>
      </c>
      <c r="D212" s="8" t="s">
        <v>2136</v>
      </c>
      <c r="E212" s="8" t="str">
        <f t="shared" si="226"/>
        <v/>
      </c>
      <c r="F212" s="8" t="str">
        <f t="shared" si="227"/>
        <v/>
      </c>
      <c r="I212" s="20">
        <v>42109</v>
      </c>
      <c r="K212" s="132" t="str">
        <f t="shared" ca="1" si="199"/>
        <v/>
      </c>
      <c r="M212" s="20">
        <v>42117</v>
      </c>
      <c r="N212" s="113" t="str">
        <f t="shared" si="229"/>
        <v/>
      </c>
      <c r="O212" s="8" t="s">
        <v>298</v>
      </c>
      <c r="P212" s="113" t="s">
        <v>689</v>
      </c>
      <c r="Q212" s="8" t="s">
        <v>2514</v>
      </c>
      <c r="R212" s="8">
        <v>9164461712</v>
      </c>
      <c r="S212" s="113">
        <f t="shared" si="215"/>
        <v>9164461712</v>
      </c>
      <c r="T212" s="113" t="str">
        <f t="shared" si="216"/>
        <v/>
      </c>
      <c r="U212" s="8" t="s">
        <v>2309</v>
      </c>
      <c r="V212" s="8" t="s">
        <v>2060</v>
      </c>
      <c r="W212" s="8" t="s">
        <v>2059</v>
      </c>
      <c r="X212" s="8" t="s">
        <v>568</v>
      </c>
      <c r="Y212" s="8" t="s">
        <v>2049</v>
      </c>
      <c r="Z212" s="8" t="s">
        <v>773</v>
      </c>
      <c r="AA212" s="8" t="s">
        <v>1233</v>
      </c>
      <c r="AD212" s="8" t="s">
        <v>1038</v>
      </c>
      <c r="AH212" s="8" t="s">
        <v>52</v>
      </c>
      <c r="AI212" s="8" t="s">
        <v>253</v>
      </c>
      <c r="AJ212" s="113" t="str">
        <f t="shared" si="196"/>
        <v/>
      </c>
      <c r="AL212" s="8" t="s">
        <v>585</v>
      </c>
      <c r="AM212" s="8" t="s">
        <v>854</v>
      </c>
      <c r="AN212" s="20">
        <v>31162</v>
      </c>
      <c r="AO212" s="8" t="s">
        <v>2350</v>
      </c>
      <c r="AP212" s="8" t="s">
        <v>2350</v>
      </c>
      <c r="AQ212" s="8" t="s">
        <v>50</v>
      </c>
      <c r="AR212" s="8" t="s">
        <v>378</v>
      </c>
      <c r="AS212" s="187">
        <v>42109</v>
      </c>
      <c r="AT212" s="129">
        <v>42105</v>
      </c>
      <c r="AU212" s="129">
        <v>42109</v>
      </c>
      <c r="AV212" s="177">
        <v>42109</v>
      </c>
      <c r="AW212" s="187">
        <v>42109</v>
      </c>
      <c r="AX212" s="113" t="s">
        <v>2358</v>
      </c>
      <c r="AY212" s="113"/>
      <c r="AZ212" s="113">
        <v>1</v>
      </c>
      <c r="BA212" s="129">
        <v>42109</v>
      </c>
      <c r="BB212" s="182"/>
      <c r="BC212" s="187">
        <v>42109</v>
      </c>
      <c r="BD212" s="182" t="s">
        <v>2357</v>
      </c>
      <c r="BE212" s="187">
        <v>42109</v>
      </c>
      <c r="BF212" s="182" t="s">
        <v>2360</v>
      </c>
      <c r="BG212" s="187">
        <v>42109</v>
      </c>
      <c r="BH212" s="274" t="s">
        <v>2359</v>
      </c>
      <c r="BI212" s="182"/>
      <c r="BJ212" s="187">
        <v>42109</v>
      </c>
      <c r="BK212" s="113"/>
      <c r="BL212" s="182"/>
      <c r="BM212" s="187">
        <v>42109</v>
      </c>
      <c r="BN212" s="113"/>
      <c r="BO212" s="182"/>
      <c r="BP212" s="165"/>
      <c r="BQ212" s="129">
        <v>42109</v>
      </c>
      <c r="BR212" s="177">
        <v>42109</v>
      </c>
      <c r="BS212" s="187">
        <v>42108</v>
      </c>
      <c r="BT212" s="129">
        <v>42108</v>
      </c>
      <c r="BU212" s="177">
        <v>42108</v>
      </c>
      <c r="BV212" s="182"/>
      <c r="BW212" s="532" t="str">
        <f t="shared" si="211"/>
        <v xml:space="preserve">2305 4/15/2015, </v>
      </c>
      <c r="BX212" s="532" t="str">
        <f t="shared" si="244"/>
        <v/>
      </c>
      <c r="BY212" s="532" t="str">
        <f t="shared" si="230"/>
        <v/>
      </c>
      <c r="BZ212" s="533" t="str">
        <f t="shared" si="217"/>
        <v/>
      </c>
      <c r="CA212" s="165" t="str">
        <f t="shared" si="228"/>
        <v/>
      </c>
      <c r="CB212" s="129" t="str">
        <f t="shared" si="218"/>
        <v/>
      </c>
      <c r="CC212" s="113" t="str">
        <f t="shared" ca="1" si="219"/>
        <v/>
      </c>
      <c r="CD212" s="113" t="str">
        <f t="shared" si="220"/>
        <v/>
      </c>
      <c r="CE212" s="113" t="str">
        <f t="shared" si="221"/>
        <v/>
      </c>
      <c r="CF212" s="534" t="str">
        <f t="shared" si="222"/>
        <v/>
      </c>
      <c r="CG212" s="535" t="str">
        <f t="shared" si="223"/>
        <v/>
      </c>
      <c r="CH212" s="113" t="str">
        <f t="shared" si="224"/>
        <v/>
      </c>
      <c r="CI212" s="129" t="str">
        <f t="shared" si="225"/>
        <v/>
      </c>
      <c r="CJ212" s="129" t="str">
        <f t="shared" si="231"/>
        <v/>
      </c>
      <c r="CK212" s="113">
        <f t="shared" si="232"/>
        <v>14</v>
      </c>
      <c r="CL212" s="113">
        <f t="shared" si="233"/>
        <v>13</v>
      </c>
      <c r="CM212" s="113">
        <f t="shared" si="234"/>
        <v>15</v>
      </c>
      <c r="CN212" s="113">
        <f t="shared" si="235"/>
        <v>15</v>
      </c>
      <c r="CO212" s="113">
        <f t="shared" si="236"/>
        <v>16</v>
      </c>
      <c r="CP212" s="113">
        <f t="shared" si="237"/>
        <v>15</v>
      </c>
      <c r="CQ212" s="113">
        <f t="shared" si="238"/>
        <v>15</v>
      </c>
      <c r="CR212" s="113">
        <f t="shared" si="239"/>
        <v>14</v>
      </c>
      <c r="CS212" s="113">
        <f t="shared" si="240"/>
        <v>13</v>
      </c>
      <c r="CT212" s="113">
        <f t="shared" si="212"/>
        <v>15</v>
      </c>
      <c r="CU212" s="113">
        <f t="shared" si="213"/>
        <v>12</v>
      </c>
      <c r="CV212" s="113">
        <f t="shared" si="214"/>
        <v>13</v>
      </c>
      <c r="CW212" s="113">
        <f t="shared" si="241"/>
        <v>11</v>
      </c>
      <c r="CX212" s="113">
        <f t="shared" si="242"/>
        <v>8</v>
      </c>
      <c r="CY212" s="113">
        <f t="shared" si="243"/>
        <v>16</v>
      </c>
    </row>
    <row r="213" spans="1:103" s="343" customFormat="1" ht="15.75" thickBot="1" x14ac:dyDescent="0.3">
      <c r="A213" s="391">
        <v>192</v>
      </c>
      <c r="B213" s="344">
        <v>42107</v>
      </c>
      <c r="C213" s="343">
        <v>1082429</v>
      </c>
      <c r="D213" s="343" t="s">
        <v>2137</v>
      </c>
      <c r="E213" s="343" t="str">
        <f t="shared" si="226"/>
        <v/>
      </c>
      <c r="F213" s="343" t="str">
        <f t="shared" si="227"/>
        <v xml:space="preserve">TOR, COE, 2x2, </v>
      </c>
      <c r="I213" s="344">
        <v>42109</v>
      </c>
      <c r="K213" s="391" t="str">
        <f t="shared" ca="1" si="199"/>
        <v/>
      </c>
      <c r="M213" s="344">
        <v>42117</v>
      </c>
      <c r="N213" s="343" t="str">
        <f t="shared" si="229"/>
        <v/>
      </c>
      <c r="O213" s="343" t="s">
        <v>302</v>
      </c>
      <c r="Q213" s="228" t="s">
        <v>2515</v>
      </c>
      <c r="R213" s="228">
        <v>9333650772</v>
      </c>
      <c r="S213" s="487">
        <f t="shared" si="215"/>
        <v>9333650772</v>
      </c>
      <c r="T213" s="487" t="str">
        <f t="shared" si="216"/>
        <v/>
      </c>
      <c r="U213" s="228" t="s">
        <v>2310</v>
      </c>
      <c r="V213" s="228" t="s">
        <v>599</v>
      </c>
      <c r="W213" s="228" t="s">
        <v>2061</v>
      </c>
      <c r="X213" s="228" t="s">
        <v>537</v>
      </c>
      <c r="Y213" s="228" t="s">
        <v>2049</v>
      </c>
      <c r="Z213" s="228" t="s">
        <v>773</v>
      </c>
      <c r="AA213" s="228" t="s">
        <v>1233</v>
      </c>
      <c r="AB213" s="228"/>
      <c r="AC213" s="228"/>
      <c r="AD213" s="228" t="s">
        <v>1038</v>
      </c>
      <c r="AE213" s="228"/>
      <c r="AF213" s="228"/>
      <c r="AG213" s="228"/>
      <c r="AH213" s="228" t="s">
        <v>52</v>
      </c>
      <c r="AI213" s="228" t="s">
        <v>253</v>
      </c>
      <c r="AJ213" s="487" t="str">
        <f t="shared" si="196"/>
        <v/>
      </c>
      <c r="AK213" s="228"/>
      <c r="AL213" s="228" t="s">
        <v>585</v>
      </c>
      <c r="AM213" s="228" t="s">
        <v>854</v>
      </c>
      <c r="AN213" s="229">
        <v>32739</v>
      </c>
      <c r="AO213" s="228" t="s">
        <v>2349</v>
      </c>
      <c r="AP213" s="228" t="s">
        <v>2349</v>
      </c>
      <c r="AQ213" s="228" t="s">
        <v>53</v>
      </c>
      <c r="AR213" s="228" t="s">
        <v>378</v>
      </c>
      <c r="AS213" s="231">
        <v>42109</v>
      </c>
      <c r="AT213" s="229">
        <v>42109</v>
      </c>
      <c r="AU213" s="229">
        <v>42109</v>
      </c>
      <c r="AV213" s="466">
        <v>42137</v>
      </c>
      <c r="AW213" s="231">
        <v>42131</v>
      </c>
      <c r="AX213" s="228" t="s">
        <v>3086</v>
      </c>
      <c r="AY213" s="229">
        <v>42114</v>
      </c>
      <c r="AZ213" s="228">
        <v>2</v>
      </c>
      <c r="BA213" s="228">
        <v>2</v>
      </c>
      <c r="BB213" s="232"/>
      <c r="BC213" s="231">
        <v>42118</v>
      </c>
      <c r="BD213" s="232" t="s">
        <v>2677</v>
      </c>
      <c r="BE213" s="231">
        <v>42109</v>
      </c>
      <c r="BF213" s="232" t="s">
        <v>2353</v>
      </c>
      <c r="BG213" s="231">
        <v>42122</v>
      </c>
      <c r="BH213" s="234" t="s">
        <v>2754</v>
      </c>
      <c r="BI213" s="466">
        <v>42122</v>
      </c>
      <c r="BJ213" s="231">
        <v>42137</v>
      </c>
      <c r="BK213" s="229">
        <v>42125</v>
      </c>
      <c r="BL213" s="466">
        <v>42136</v>
      </c>
      <c r="BM213" s="231">
        <v>42109</v>
      </c>
      <c r="BN213" s="228"/>
      <c r="BO213" s="466">
        <v>42114</v>
      </c>
      <c r="BP213" s="233"/>
      <c r="BQ213" s="228"/>
      <c r="BR213" s="232"/>
      <c r="BS213" s="231">
        <v>42108</v>
      </c>
      <c r="BT213" s="229">
        <v>42108</v>
      </c>
      <c r="BU213" s="466">
        <v>42108</v>
      </c>
      <c r="BV213" s="232"/>
      <c r="BW213" s="522" t="str">
        <f t="shared" si="211"/>
        <v xml:space="preserve">MDR 4/28/2015, NBI receipt 5/1/2015, </v>
      </c>
      <c r="BX213" s="522">
        <f t="shared" si="244"/>
        <v>11</v>
      </c>
      <c r="BY213" s="522">
        <f t="shared" si="230"/>
        <v>11</v>
      </c>
      <c r="BZ213" s="523">
        <f t="shared" si="217"/>
        <v>1</v>
      </c>
      <c r="CA213" s="524">
        <f t="shared" si="228"/>
        <v>192</v>
      </c>
      <c r="CB213" s="503">
        <f t="shared" si="218"/>
        <v>42107</v>
      </c>
      <c r="CC213" s="487">
        <f t="shared" ca="1" si="219"/>
        <v>6</v>
      </c>
      <c r="CD213" s="487">
        <f t="shared" si="220"/>
        <v>17</v>
      </c>
      <c r="CE213" s="487">
        <f t="shared" si="221"/>
        <v>12</v>
      </c>
      <c r="CF213" s="504">
        <f t="shared" si="222"/>
        <v>5</v>
      </c>
      <c r="CG213" s="505">
        <f t="shared" si="223"/>
        <v>0.89839572192513373</v>
      </c>
      <c r="CH213" s="487" t="str">
        <f t="shared" si="224"/>
        <v xml:space="preserve">HDMF (3) Waiver (3) 1905 (4) </v>
      </c>
      <c r="CI213" s="503" t="str">
        <f t="shared" si="225"/>
        <v/>
      </c>
      <c r="CJ213" s="503" t="str">
        <f t="shared" si="231"/>
        <v/>
      </c>
      <c r="CK213" s="487">
        <f t="shared" si="232"/>
        <v>15</v>
      </c>
      <c r="CL213" s="487">
        <f t="shared" si="233"/>
        <v>14</v>
      </c>
      <c r="CM213" s="487">
        <f t="shared" si="234"/>
        <v>16</v>
      </c>
      <c r="CN213" s="487">
        <f t="shared" si="235"/>
        <v>16</v>
      </c>
      <c r="CO213" s="487">
        <f t="shared" si="236"/>
        <v>17</v>
      </c>
      <c r="CP213" s="487">
        <f t="shared" si="237"/>
        <v>16</v>
      </c>
      <c r="CQ213" s="487">
        <f t="shared" si="238"/>
        <v>16</v>
      </c>
      <c r="CR213" s="487">
        <f t="shared" si="239"/>
        <v>15</v>
      </c>
      <c r="CS213" s="487">
        <f t="shared" si="240"/>
        <v>14</v>
      </c>
      <c r="CT213" s="487">
        <f t="shared" si="212"/>
        <v>16</v>
      </c>
      <c r="CU213" s="487">
        <f t="shared" si="213"/>
        <v>13</v>
      </c>
      <c r="CV213" s="487">
        <f t="shared" si="214"/>
        <v>14</v>
      </c>
      <c r="CW213" s="487">
        <f t="shared" si="241"/>
        <v>12</v>
      </c>
      <c r="CX213" s="487">
        <f t="shared" si="242"/>
        <v>8</v>
      </c>
      <c r="CY213" s="487">
        <f t="shared" si="243"/>
        <v>17</v>
      </c>
    </row>
    <row r="214" spans="1:103" s="8" customFormat="1" ht="15.75" thickTop="1" x14ac:dyDescent="0.25">
      <c r="A214" s="133">
        <v>193</v>
      </c>
      <c r="B214" s="20">
        <v>42114</v>
      </c>
      <c r="C214" s="8">
        <v>1082430</v>
      </c>
      <c r="D214" s="541" t="s">
        <v>2470</v>
      </c>
      <c r="E214" s="8" t="str">
        <f t="shared" si="226"/>
        <v/>
      </c>
      <c r="F214" s="8" t="str">
        <f t="shared" si="227"/>
        <v/>
      </c>
      <c r="I214" s="20">
        <v>42118</v>
      </c>
      <c r="K214" s="132" t="str">
        <f t="shared" ca="1" si="199"/>
        <v/>
      </c>
      <c r="N214" s="113" t="str">
        <f t="shared" si="229"/>
        <v/>
      </c>
      <c r="O214" s="8" t="s">
        <v>298</v>
      </c>
      <c r="P214" s="8" t="s">
        <v>689</v>
      </c>
      <c r="R214" s="8">
        <v>9227803009</v>
      </c>
      <c r="S214" s="113">
        <f t="shared" ref="S214:S232" si="245">IFERROR(IF(SEARCH("/",R214)&gt;0,REPLACE(R214,11,11,""),R214),R214)</f>
        <v>9227803009</v>
      </c>
      <c r="T214" s="113" t="str">
        <f t="shared" ref="T214:T232" si="246">IFERROR(IF(SEARCH("/",R214)&gt;0,REPLACE(R214,1,11,""),""),"")</f>
        <v/>
      </c>
      <c r="U214" s="8" t="s">
        <v>2517</v>
      </c>
      <c r="V214" s="8" t="s">
        <v>2400</v>
      </c>
      <c r="W214" s="8" t="s">
        <v>2398</v>
      </c>
      <c r="X214" s="8" t="s">
        <v>2399</v>
      </c>
      <c r="Y214" s="8" t="s">
        <v>73</v>
      </c>
      <c r="Z214" s="8" t="s">
        <v>74</v>
      </c>
      <c r="AA214" s="8" t="str">
        <f t="shared" ref="AA214:AA215" si="247">IF(Z214="N/A","",IF(OR(Z214="Level 1",Z214="Level 0"),"Php 16,000","Php 17,000"))</f>
        <v>Php 17,000</v>
      </c>
      <c r="AC214" s="8" t="str">
        <f t="shared" ref="AC214:AC215" si="248">IF(Z214="N/A","Php 1,500","Php 1,000")</f>
        <v>Php 1,000</v>
      </c>
      <c r="AD214" s="8" t="str">
        <f t="shared" ref="AD214:AD215" si="249">IF(Z214="N/A","",IF(Z214="Level 1","Php 3,000","Php 4,000"))</f>
        <v>Php 4,000</v>
      </c>
      <c r="AH214" s="8" t="s">
        <v>52</v>
      </c>
      <c r="AI214" s="8" t="s">
        <v>253</v>
      </c>
      <c r="AJ214" s="113" t="str">
        <f t="shared" si="196"/>
        <v/>
      </c>
      <c r="AL214" s="8" t="s">
        <v>259</v>
      </c>
      <c r="AM214" s="8" t="s">
        <v>854</v>
      </c>
      <c r="AN214" s="20">
        <v>31778</v>
      </c>
      <c r="AO214" s="8" t="s">
        <v>2620</v>
      </c>
      <c r="AP214" s="8" t="s">
        <v>2620</v>
      </c>
      <c r="AQ214" s="8" t="s">
        <v>53</v>
      </c>
      <c r="AR214" s="8" t="s">
        <v>378</v>
      </c>
      <c r="AS214" s="187">
        <v>42118</v>
      </c>
      <c r="AT214" s="129">
        <v>42118</v>
      </c>
      <c r="AU214" s="129">
        <v>42118</v>
      </c>
      <c r="AV214" s="182"/>
      <c r="AW214" s="187">
        <v>42118</v>
      </c>
      <c r="AX214" s="113" t="s">
        <v>2624</v>
      </c>
      <c r="AY214" s="113"/>
      <c r="AZ214" s="113"/>
      <c r="BA214" s="113"/>
      <c r="BB214" s="182"/>
      <c r="BC214" s="187">
        <v>42118</v>
      </c>
      <c r="BD214" s="182" t="s">
        <v>2622</v>
      </c>
      <c r="BE214" s="187">
        <v>42118</v>
      </c>
      <c r="BF214" s="182" t="s">
        <v>2623</v>
      </c>
      <c r="BG214" s="187">
        <v>42118</v>
      </c>
      <c r="BH214" s="274" t="s">
        <v>2621</v>
      </c>
      <c r="BI214" s="182"/>
      <c r="BJ214" s="165"/>
      <c r="BK214" s="113"/>
      <c r="BL214" s="182"/>
      <c r="BM214" s="187">
        <v>42118</v>
      </c>
      <c r="BN214" s="113"/>
      <c r="BO214" s="182"/>
      <c r="BP214" s="165"/>
      <c r="BQ214" s="129">
        <v>42118</v>
      </c>
      <c r="BR214" s="182"/>
      <c r="BS214" s="187">
        <v>42118</v>
      </c>
      <c r="BT214" s="129">
        <v>42118</v>
      </c>
      <c r="BU214" s="177">
        <v>42118</v>
      </c>
      <c r="BV214" s="182"/>
      <c r="BW214" s="532" t="str">
        <f t="shared" si="211"/>
        <v/>
      </c>
      <c r="BX214" s="532" t="str">
        <f t="shared" si="244"/>
        <v/>
      </c>
      <c r="BY214" s="532" t="str">
        <f t="shared" si="230"/>
        <v/>
      </c>
      <c r="BZ214" s="533" t="str">
        <f t="shared" ref="BZ214:BZ232" si="250">IFERROR(BX214/BY214,"")</f>
        <v/>
      </c>
      <c r="CA214" s="165" t="str">
        <f t="shared" si="228"/>
        <v/>
      </c>
      <c r="CB214" s="129" t="str">
        <f t="shared" ref="CB214:CB232" si="251">IFERROR(CA214*7+40763,"")</f>
        <v/>
      </c>
      <c r="CC214" s="113" t="str">
        <f t="shared" ref="CC214:CC232" ca="1" si="252">IFERROR(ROUND(IF(CB214="","",(TODAY()-CB214)/7)+1,0),"")</f>
        <v/>
      </c>
      <c r="CD214" s="113" t="str">
        <f t="shared" ref="CD214:CD232" si="253">IF(CG214="","",CY214)</f>
        <v/>
      </c>
      <c r="CE214" s="113" t="str">
        <f t="shared" ref="CE214:CE232" si="254">IF(CG214="","",CW214)</f>
        <v/>
      </c>
      <c r="CF214" s="534" t="str">
        <f t="shared" ref="CF214:CF232" si="255">IF(CG214="","",CY214-CW214)</f>
        <v/>
      </c>
      <c r="CG214" s="535" t="str">
        <f t="shared" ref="CG214:CG232" si="256">IF(CB214="","",SUM(CK214:CU214)/((CY214)*11))</f>
        <v/>
      </c>
      <c r="CH214" s="113" t="str">
        <f t="shared" ref="CH214:CH232" si="257">IF(CB214="","",IF(MIN(CK214:CU214)&gt;CY214,"",CONCATENATE(IF(SUM(IF(CK214&lt;CL214,1,0),IF(CK214&lt;CM214,1,0),IF(CK214&lt;CN214,1,0),IF(CK214&lt;CO214,1,0),IF(CK214&lt;CP214,1,0),IF(CK214&lt;CQ214,1,0),IF(CK214&lt;CR214,1,0),IF(CK214&lt;CS214,1,0),IF(CK214&lt;CT214,1,0),IF(CK214&lt;CU214,1,0))&gt;7,"SSS ("&amp;CY214-CK214&amp;") ",""),IF(SUM(IF(CL214&lt;CK214,1,0),IF(CL214&lt;CM214,1,0),IF(CL214&lt;CN214,1,0),IF(CL214&lt;CO214,1,0),IF(CL214&lt;CP214,1,0),IF(CL214&lt;CQ214,1,0),IF(CL214&lt;CR214,1,0),IF(CL214&lt;CS214,1,0),IF(CL214&lt;CT214,1,0),IF(CL214&lt;CU214,1,0))&gt;7,"HDMF ("&amp;CY214-CL214&amp;") ",""),IF(SUM(IF(CM214&lt;CK214,1,0),IF(CM214&lt;CL214,1,0),IF(CM214&lt;CN214,1,0),IF(CM214&lt;CO214,1,0),IF(CM214&lt;CP214,1,0),IF(CM214&lt;CQ214,1,0),IF(CM214&lt;CR214,1,0),IF(CM214&lt;CS214,1,0),IF(CM214&lt;CT214,1,0),IF(CM214&lt;CU214,1,0))&gt;7,"PHIC ("&amp;CY214-CM214&amp;") ",""),IF(SUM(IF(CN214&lt;CK214,1,0),IF(CN214&lt;CL214,1,0),IF(CN214&lt;CM214,1,0),IF(CN214&lt;CO214,1,0),IF(CN214&lt;CP214,1,0),IF(CN214&lt;CQ214,1,0),IF(CN214&lt;CR214,1,0),IF(CN214&lt;CS214,1,0),IF(CN214&lt;CT214,1,0),IF(CN214&lt;CU214,1,0))&gt;7,"NBI ("&amp;CY214-CN214&amp;") ",""),IF(SUM(IF(CO214&lt;CK214,1,0),IF(CO214&lt;CL214,1,0),IF(CO214&lt;CN214,1,0),IF(CO214&lt;CM214,1,0),IF(CO214&lt;CP214,1,0),IF(CO214&lt;CQ214,1,0),IF(CO214&lt;CR214,1,0),IF(CO214&lt;CS214,1,0),IF(CO214&lt;CT214,1,0),IF(CO214&lt;CU214,1,0))&gt;7,"NSO ("&amp;CY214-CO214&amp;") ",""),IF(SUM(IF(CP214&lt;CK214,1,0),IF(CP214&lt;CL214,1,0),IF(CP214&lt;CN214,1,0),IF(CP214&lt;CO214,1,0),IF(CP214&lt;CM214,1,0),IF(CP214&lt;CQ214,1,0),IF(CP214&lt;CR214,1,0),IF(CP214&lt;CS214,1,0),IF(CP214&lt;CT214,1,0),IF(CP214&lt;CU214,1,0))&gt;7,"Info ("&amp;CY214-CP214&amp;") ",""),IF(SUM(IF(CQ214&lt;CK214,1,0),IF(CQ214&lt;CL214,1,0),IF(CQ214&lt;CN214,1,0),IF(CQ214&lt;CO214,1,0),IF(CQ214&lt;CP214,1,0),IF(CQ214&lt;CM214,1,0),IF(CQ214&lt;CR214,1,0),IF(CQ214&lt;CS214,1,0),IF(CQ214&lt;CT214,1,0),IF(CQ214&lt;CU214,1,0))&gt;7,"AWOL ("&amp;CY214-CQ214&amp;") ",""),IF(SUM(IF(CR214&lt;CK214,1,0),IF(CR214&lt;CL214,1,0),IF(CR214&lt;CN214,1,0),IF(CR214&lt;CO214,1,0),IF(CR214&lt;CP214,1,0),IF(CR214&lt;CQ214,1,0),IF(CR214&lt;CM214,1,0),IF(CR214&lt;CS214,1,0),IF(CR214&lt;CT214,1,0),IF(CR214&lt;CU214,1,0))&gt;7,"Hand ("&amp;CY214-CR214&amp;") ",""),IF(SUM(IF(CS214&lt;CK214,1,0),IF(CS214&lt;CL214,1,0),IF(CS214&lt;CN214,1,0),IF(CS214&lt;CO214,1,0),IF(CS214&lt;CP214,1,0),IF(CS214&lt;CQ214,1,0),IF(CS214&lt;CR214,1,0),IF(CS214&lt;CM214,1,0),IF(CS214&lt;CT214,1,0),IF(CS214&lt;CU214,1,0))&gt;7,"Waiver ("&amp;CY214-CS214&amp;") ",""),IF(SUM(IF(CT214&lt;CK214,1,0),IF(CT214&lt;CL214,1,0),IF(CT214&lt;CN214,1,0),IF(CT214&lt;CO214,1,0),IF(CT214&lt;CP214,1,0),IF(CT214&lt;CQ214,1,0),IF(CT214&lt;CR214,1,0),IF(CT214&lt;CS214,1,0),IF(CT214&lt;CM214,1,0),IF(CT214&lt;CU214,1,0))&gt;7,"TIN ("&amp;CY214-CT214&amp;") ",""),IF(SUM(IF(CU214&lt;CK214,1,0),IF(CU214&lt;CL214,1,0),IF(CU214&lt;CN214,1,0),IF(CU214&lt;CO214,1,0),IF(CU214&lt;CP214,1,0),IF(CU214&lt;CQ214,1,0),IF(CU214&lt;CR214,1,0),IF(CU214&lt;CS214,1,0),IF(CU214&lt;CT214,1,0),IF(CU214&lt;CM214,1,0))&gt;7,"1905 ("&amp;CY214-CU214&amp;") ",""))))</f>
        <v/>
      </c>
      <c r="CI214" s="129" t="str">
        <f t="shared" ref="CI214:CI232" si="258">IF(CA214="","",CJ214)</f>
        <v/>
      </c>
      <c r="CJ214" s="129" t="str">
        <f t="shared" si="231"/>
        <v/>
      </c>
      <c r="CK214" s="113">
        <f t="shared" si="232"/>
        <v>0</v>
      </c>
      <c r="CL214" s="113">
        <f t="shared" si="233"/>
        <v>0</v>
      </c>
      <c r="CM214" s="113">
        <f t="shared" si="234"/>
        <v>0</v>
      </c>
      <c r="CN214" s="113">
        <f t="shared" si="235"/>
        <v>0</v>
      </c>
      <c r="CO214" s="113">
        <f t="shared" si="236"/>
        <v>0</v>
      </c>
      <c r="CP214" s="113">
        <f t="shared" si="237"/>
        <v>0</v>
      </c>
      <c r="CQ214" s="113">
        <f t="shared" si="238"/>
        <v>0</v>
      </c>
      <c r="CR214" s="113">
        <f t="shared" si="239"/>
        <v>0</v>
      </c>
      <c r="CS214" s="113">
        <f t="shared" si="240"/>
        <v>0</v>
      </c>
      <c r="CT214" s="113">
        <f t="shared" si="212"/>
        <v>0</v>
      </c>
      <c r="CU214" s="113">
        <f t="shared" si="213"/>
        <v>0</v>
      </c>
      <c r="CV214" s="113">
        <f t="shared" si="214"/>
        <v>0</v>
      </c>
      <c r="CW214" s="113">
        <f t="shared" si="241"/>
        <v>0</v>
      </c>
      <c r="CX214" s="113">
        <f t="shared" si="242"/>
        <v>1</v>
      </c>
      <c r="CY214" s="113">
        <f t="shared" si="243"/>
        <v>0</v>
      </c>
    </row>
    <row r="215" spans="1:103" s="321" customFormat="1" x14ac:dyDescent="0.25">
      <c r="A215" s="382">
        <v>193</v>
      </c>
      <c r="B215" s="334">
        <v>42114</v>
      </c>
      <c r="C215" s="321">
        <v>1082431</v>
      </c>
      <c r="D215" s="543" t="s">
        <v>2471</v>
      </c>
      <c r="E215" s="321" t="str">
        <f t="shared" si="226"/>
        <v/>
      </c>
      <c r="F215" s="321" t="str">
        <f t="shared" si="227"/>
        <v xml:space="preserve">COE, 2x2, </v>
      </c>
      <c r="I215" s="334">
        <v>42118</v>
      </c>
      <c r="K215" s="384" t="str">
        <f t="shared" ca="1" si="199"/>
        <v/>
      </c>
      <c r="N215" s="317" t="str">
        <f t="shared" si="229"/>
        <v>READY!</v>
      </c>
      <c r="O215" s="321" t="s">
        <v>302</v>
      </c>
      <c r="Q215" s="321" t="s">
        <v>2402</v>
      </c>
      <c r="R215" s="321">
        <v>9156624755</v>
      </c>
      <c r="S215" s="317">
        <f t="shared" si="245"/>
        <v>9156624755</v>
      </c>
      <c r="T215" s="317" t="str">
        <f t="shared" si="246"/>
        <v/>
      </c>
      <c r="U215" s="321" t="s">
        <v>2518</v>
      </c>
      <c r="V215" s="321" t="s">
        <v>1695</v>
      </c>
      <c r="W215" s="321" t="s">
        <v>2401</v>
      </c>
      <c r="Y215" s="321" t="s">
        <v>73</v>
      </c>
      <c r="Z215" s="321" t="s">
        <v>70</v>
      </c>
      <c r="AA215" s="321" t="str">
        <f t="shared" si="247"/>
        <v>Php 16,000</v>
      </c>
      <c r="AC215" s="321" t="str">
        <f t="shared" si="248"/>
        <v>Php 1,000</v>
      </c>
      <c r="AD215" s="321" t="str">
        <f t="shared" si="249"/>
        <v>Php 3,000</v>
      </c>
      <c r="AH215" s="321" t="s">
        <v>52</v>
      </c>
      <c r="AI215" s="321" t="s">
        <v>253</v>
      </c>
      <c r="AJ215" s="317" t="str">
        <f t="shared" si="196"/>
        <v/>
      </c>
      <c r="AL215" s="321" t="s">
        <v>1703</v>
      </c>
      <c r="AM215" s="321" t="s">
        <v>854</v>
      </c>
      <c r="AN215" s="334">
        <v>32378</v>
      </c>
      <c r="AO215" s="321" t="s">
        <v>2772</v>
      </c>
      <c r="AP215" s="321" t="s">
        <v>2773</v>
      </c>
      <c r="AQ215" s="321" t="s">
        <v>53</v>
      </c>
      <c r="AR215" s="321" t="s">
        <v>378</v>
      </c>
      <c r="AS215" s="332">
        <v>42123</v>
      </c>
      <c r="AT215" s="318">
        <v>42123</v>
      </c>
      <c r="AU215" s="318">
        <v>42123</v>
      </c>
      <c r="AV215" s="329">
        <v>42108</v>
      </c>
      <c r="AW215" s="332">
        <v>42123</v>
      </c>
      <c r="AX215" s="317" t="s">
        <v>2774</v>
      </c>
      <c r="AY215" s="317"/>
      <c r="AZ215" s="318">
        <v>42123</v>
      </c>
      <c r="BA215" s="318">
        <v>42123</v>
      </c>
      <c r="BB215" s="326"/>
      <c r="BC215" s="332">
        <v>42125</v>
      </c>
      <c r="BD215" s="326" t="s">
        <v>2821</v>
      </c>
      <c r="BE215" s="332">
        <v>42132</v>
      </c>
      <c r="BF215" s="326" t="s">
        <v>3116</v>
      </c>
      <c r="BG215" s="332">
        <v>42125</v>
      </c>
      <c r="BH215" s="385" t="s">
        <v>2820</v>
      </c>
      <c r="BI215" s="329">
        <v>42125</v>
      </c>
      <c r="BJ215" s="332">
        <v>42123</v>
      </c>
      <c r="BK215" s="317"/>
      <c r="BL215" s="326"/>
      <c r="BM215" s="332">
        <v>42123</v>
      </c>
      <c r="BN215" s="317"/>
      <c r="BO215" s="326"/>
      <c r="BP215" s="337"/>
      <c r="BQ215" s="318">
        <v>42123</v>
      </c>
      <c r="BR215" s="326"/>
      <c r="BS215" s="332">
        <v>42118</v>
      </c>
      <c r="BT215" s="318">
        <v>42118</v>
      </c>
      <c r="BU215" s="329">
        <v>42118</v>
      </c>
      <c r="BV215" s="326"/>
      <c r="BW215" s="536" t="str">
        <f t="shared" si="211"/>
        <v xml:space="preserve">1905 (for processing) 4/29/2015, 2305 (for processing) 4/29/2015, MDR 5/1/2015, </v>
      </c>
      <c r="BX215" s="536">
        <f t="shared" si="244"/>
        <v>11</v>
      </c>
      <c r="BY215" s="536">
        <f t="shared" si="230"/>
        <v>11</v>
      </c>
      <c r="BZ215" s="537">
        <f t="shared" si="250"/>
        <v>1</v>
      </c>
      <c r="CA215" s="337" t="str">
        <f t="shared" si="228"/>
        <v/>
      </c>
      <c r="CB215" s="318" t="str">
        <f t="shared" si="251"/>
        <v/>
      </c>
      <c r="CC215" s="317" t="str">
        <f t="shared" ca="1" si="252"/>
        <v/>
      </c>
      <c r="CD215" s="317" t="str">
        <f t="shared" si="253"/>
        <v/>
      </c>
      <c r="CE215" s="317" t="str">
        <f t="shared" si="254"/>
        <v/>
      </c>
      <c r="CF215" s="538" t="str">
        <f t="shared" si="255"/>
        <v/>
      </c>
      <c r="CG215" s="539" t="str">
        <f t="shared" si="256"/>
        <v/>
      </c>
      <c r="CH215" s="317" t="str">
        <f t="shared" si="257"/>
        <v/>
      </c>
      <c r="CI215" s="318" t="str">
        <f t="shared" si="258"/>
        <v/>
      </c>
      <c r="CJ215" s="318" t="str">
        <f t="shared" si="231"/>
        <v/>
      </c>
      <c r="CK215" s="317">
        <f t="shared" si="232"/>
        <v>1</v>
      </c>
      <c r="CL215" s="317">
        <f t="shared" si="233"/>
        <v>1</v>
      </c>
      <c r="CM215" s="317">
        <f t="shared" si="234"/>
        <v>1</v>
      </c>
      <c r="CN215" s="317">
        <f t="shared" si="235"/>
        <v>1</v>
      </c>
      <c r="CO215" s="317">
        <f t="shared" si="236"/>
        <v>1</v>
      </c>
      <c r="CP215" s="317">
        <f t="shared" si="237"/>
        <v>1</v>
      </c>
      <c r="CQ215" s="317">
        <f t="shared" si="238"/>
        <v>1</v>
      </c>
      <c r="CR215" s="317">
        <f t="shared" si="239"/>
        <v>1</v>
      </c>
      <c r="CS215" s="317">
        <f t="shared" si="240"/>
        <v>1</v>
      </c>
      <c r="CT215" s="317">
        <f t="shared" si="212"/>
        <v>1</v>
      </c>
      <c r="CU215" s="317">
        <f t="shared" si="213"/>
        <v>1</v>
      </c>
      <c r="CV215" s="317">
        <f t="shared" si="214"/>
        <v>1</v>
      </c>
      <c r="CW215" s="317">
        <f t="shared" si="241"/>
        <v>1</v>
      </c>
      <c r="CX215" s="317">
        <f t="shared" si="242"/>
        <v>1</v>
      </c>
      <c r="CY215" s="317">
        <f t="shared" si="243"/>
        <v>1</v>
      </c>
    </row>
    <row r="216" spans="1:103" s="321" customFormat="1" x14ac:dyDescent="0.25">
      <c r="A216" s="382">
        <v>193</v>
      </c>
      <c r="B216" s="334">
        <v>42114</v>
      </c>
      <c r="C216" s="321">
        <v>1082432</v>
      </c>
      <c r="D216" s="543" t="s">
        <v>2489</v>
      </c>
      <c r="E216" s="321" t="str">
        <f t="shared" si="226"/>
        <v/>
      </c>
      <c r="F216" s="321" t="str">
        <f t="shared" si="227"/>
        <v xml:space="preserve">MDR, TOR, COE, 2x2, </v>
      </c>
      <c r="I216" s="334">
        <v>42118</v>
      </c>
      <c r="K216" s="384" t="str">
        <f t="shared" ca="1" si="199"/>
        <v/>
      </c>
      <c r="N216" s="317" t="str">
        <f t="shared" si="229"/>
        <v>READY!</v>
      </c>
      <c r="O216" s="321" t="s">
        <v>302</v>
      </c>
      <c r="Q216" s="321" t="s">
        <v>2405</v>
      </c>
      <c r="R216" s="321">
        <v>9773241107</v>
      </c>
      <c r="S216" s="317">
        <f t="shared" si="245"/>
        <v>9773241107</v>
      </c>
      <c r="T216" s="317" t="str">
        <f t="shared" si="246"/>
        <v/>
      </c>
      <c r="U216" s="321" t="s">
        <v>2519</v>
      </c>
      <c r="V216" s="321" t="s">
        <v>1680</v>
      </c>
      <c r="W216" s="321" t="s">
        <v>2403</v>
      </c>
      <c r="X216" s="321" t="s">
        <v>2404</v>
      </c>
      <c r="Y216" s="321" t="s">
        <v>73</v>
      </c>
      <c r="Z216" s="321" t="s">
        <v>74</v>
      </c>
      <c r="AA216" s="321" t="str">
        <f t="shared" ref="AA216:AA246" si="259">IF(Z216="N/A","",IF(OR(Z216="Level 1",Z216="Level 0"),"Php 16,000","Php 17,000"))</f>
        <v>Php 17,000</v>
      </c>
      <c r="AC216" s="321" t="str">
        <f t="shared" ref="AC216:AC247" si="260">IF(Z216="N/A","Php 1,500","Php 1,000")</f>
        <v>Php 1,000</v>
      </c>
      <c r="AD216" s="321" t="str">
        <f t="shared" ref="AD216:AD247" si="261">IF(Z216="N/A","",IF(Z216="Level 1","Php 3,000","Php 4,000"))</f>
        <v>Php 4,000</v>
      </c>
      <c r="AH216" s="321" t="s">
        <v>52</v>
      </c>
      <c r="AI216" s="321" t="s">
        <v>264</v>
      </c>
      <c r="AJ216" s="317" t="str">
        <f t="shared" si="196"/>
        <v/>
      </c>
      <c r="AL216" s="321" t="s">
        <v>247</v>
      </c>
      <c r="AM216" s="321" t="s">
        <v>854</v>
      </c>
      <c r="AN216" s="334">
        <v>34015</v>
      </c>
      <c r="AO216" s="321" t="s">
        <v>2663</v>
      </c>
      <c r="AP216" s="321" t="s">
        <v>2664</v>
      </c>
      <c r="AQ216" s="321" t="s">
        <v>50</v>
      </c>
      <c r="AR216" s="321" t="s">
        <v>378</v>
      </c>
      <c r="AS216" s="332">
        <v>42118</v>
      </c>
      <c r="AT216" s="318">
        <v>42118</v>
      </c>
      <c r="AU216" s="318">
        <v>42118</v>
      </c>
      <c r="AV216" s="329">
        <v>42125</v>
      </c>
      <c r="AW216" s="332">
        <v>42118</v>
      </c>
      <c r="AX216" s="317" t="s">
        <v>2665</v>
      </c>
      <c r="AY216" s="317"/>
      <c r="AZ216" s="318">
        <v>42125</v>
      </c>
      <c r="BA216" s="318">
        <v>42125</v>
      </c>
      <c r="BB216" s="326"/>
      <c r="BC216" s="332">
        <v>42118</v>
      </c>
      <c r="BD216" s="326" t="s">
        <v>2668</v>
      </c>
      <c r="BE216" s="332">
        <v>42118</v>
      </c>
      <c r="BF216" s="326" t="s">
        <v>2666</v>
      </c>
      <c r="BG216" s="332">
        <v>42118</v>
      </c>
      <c r="BH216" s="385" t="s">
        <v>2667</v>
      </c>
      <c r="BI216" s="326"/>
      <c r="BJ216" s="332">
        <v>42118</v>
      </c>
      <c r="BK216" s="317"/>
      <c r="BL216" s="326"/>
      <c r="BM216" s="332">
        <v>42118</v>
      </c>
      <c r="BN216" s="317"/>
      <c r="BO216" s="326"/>
      <c r="BP216" s="337"/>
      <c r="BQ216" s="317"/>
      <c r="BR216" s="326"/>
      <c r="BS216" s="332">
        <v>42118</v>
      </c>
      <c r="BT216" s="318">
        <v>42118</v>
      </c>
      <c r="BU216" s="329">
        <v>42118</v>
      </c>
      <c r="BV216" s="326"/>
      <c r="BW216" s="536" t="str">
        <f t="shared" si="211"/>
        <v xml:space="preserve">1905 (for processing) 5/1/2015, 2305 (for processing) 5/1/2015, </v>
      </c>
      <c r="BX216" s="536">
        <f t="shared" si="244"/>
        <v>11</v>
      </c>
      <c r="BY216" s="536">
        <f t="shared" si="230"/>
        <v>11</v>
      </c>
      <c r="BZ216" s="537">
        <f t="shared" si="250"/>
        <v>1</v>
      </c>
      <c r="CA216" s="337" t="str">
        <f t="shared" si="228"/>
        <v/>
      </c>
      <c r="CB216" s="318" t="str">
        <f t="shared" si="251"/>
        <v/>
      </c>
      <c r="CC216" s="317" t="str">
        <f t="shared" ca="1" si="252"/>
        <v/>
      </c>
      <c r="CD216" s="317" t="str">
        <f t="shared" si="253"/>
        <v/>
      </c>
      <c r="CE216" s="317" t="str">
        <f t="shared" si="254"/>
        <v/>
      </c>
      <c r="CF216" s="538" t="str">
        <f t="shared" si="255"/>
        <v/>
      </c>
      <c r="CG216" s="539" t="str">
        <f t="shared" si="256"/>
        <v/>
      </c>
      <c r="CH216" s="317" t="str">
        <f t="shared" si="257"/>
        <v/>
      </c>
      <c r="CI216" s="318" t="str">
        <f t="shared" si="258"/>
        <v/>
      </c>
      <c r="CJ216" s="318" t="str">
        <f t="shared" si="231"/>
        <v/>
      </c>
      <c r="CK216" s="317">
        <f t="shared" si="232"/>
        <v>2</v>
      </c>
      <c r="CL216" s="317">
        <f t="shared" si="233"/>
        <v>2</v>
      </c>
      <c r="CM216" s="317">
        <f t="shared" si="234"/>
        <v>2</v>
      </c>
      <c r="CN216" s="317">
        <f t="shared" si="235"/>
        <v>2</v>
      </c>
      <c r="CO216" s="317">
        <f t="shared" si="236"/>
        <v>2</v>
      </c>
      <c r="CP216" s="317">
        <f t="shared" si="237"/>
        <v>2</v>
      </c>
      <c r="CQ216" s="317">
        <f t="shared" si="238"/>
        <v>2</v>
      </c>
      <c r="CR216" s="317">
        <f t="shared" si="239"/>
        <v>2</v>
      </c>
      <c r="CS216" s="317">
        <f t="shared" si="240"/>
        <v>2</v>
      </c>
      <c r="CT216" s="317">
        <f t="shared" si="212"/>
        <v>2</v>
      </c>
      <c r="CU216" s="317">
        <f t="shared" si="213"/>
        <v>2</v>
      </c>
      <c r="CV216" s="317">
        <f t="shared" si="214"/>
        <v>2</v>
      </c>
      <c r="CW216" s="317">
        <f t="shared" si="241"/>
        <v>2</v>
      </c>
      <c r="CX216" s="317">
        <f t="shared" si="242"/>
        <v>1</v>
      </c>
      <c r="CY216" s="317">
        <f t="shared" si="243"/>
        <v>2</v>
      </c>
    </row>
    <row r="217" spans="1:103" x14ac:dyDescent="0.25">
      <c r="A217" s="7">
        <v>193</v>
      </c>
      <c r="B217" s="16">
        <v>42114</v>
      </c>
      <c r="C217" s="1">
        <v>1082433</v>
      </c>
      <c r="D217" s="542" t="s">
        <v>2472</v>
      </c>
      <c r="E217" s="1" t="str">
        <f t="shared" si="226"/>
        <v xml:space="preserve">2305, </v>
      </c>
      <c r="F217" s="1" t="str">
        <f t="shared" si="227"/>
        <v xml:space="preserve">TOR, COE, 2x2, </v>
      </c>
      <c r="K217" s="152" t="str">
        <f t="shared" ca="1" si="199"/>
        <v>Dedlyn!</v>
      </c>
      <c r="N217" s="153" t="str">
        <f t="shared" si="229"/>
        <v/>
      </c>
      <c r="O217" s="1" t="s">
        <v>301</v>
      </c>
      <c r="Q217" s="1" t="s">
        <v>2409</v>
      </c>
      <c r="R217" s="1">
        <v>9154887107</v>
      </c>
      <c r="S217" s="153">
        <f t="shared" si="245"/>
        <v>9154887107</v>
      </c>
      <c r="T217" s="153" t="str">
        <f t="shared" si="246"/>
        <v/>
      </c>
      <c r="U217" s="1" t="s">
        <v>2520</v>
      </c>
      <c r="V217" s="1" t="s">
        <v>2408</v>
      </c>
      <c r="W217" s="1" t="s">
        <v>2406</v>
      </c>
      <c r="X217" s="1" t="s">
        <v>2407</v>
      </c>
      <c r="Y217" s="1" t="s">
        <v>73</v>
      </c>
      <c r="Z217" s="1" t="s">
        <v>74</v>
      </c>
      <c r="AA217" s="1" t="str">
        <f t="shared" si="259"/>
        <v>Php 17,000</v>
      </c>
      <c r="AC217" s="1" t="str">
        <f t="shared" si="260"/>
        <v>Php 1,000</v>
      </c>
      <c r="AD217" s="1" t="str">
        <f t="shared" si="261"/>
        <v>Php 4,000</v>
      </c>
      <c r="AH217" s="1" t="s">
        <v>52</v>
      </c>
      <c r="AI217" s="1" t="s">
        <v>253</v>
      </c>
      <c r="AJ217" s="153" t="str">
        <f t="shared" si="196"/>
        <v/>
      </c>
      <c r="AL217" s="1" t="s">
        <v>282</v>
      </c>
      <c r="AM217" s="1" t="s">
        <v>854</v>
      </c>
      <c r="AN217" s="16">
        <v>31192</v>
      </c>
      <c r="AO217" s="1" t="s">
        <v>2629</v>
      </c>
      <c r="AP217" s="1" t="s">
        <v>2629</v>
      </c>
      <c r="AQ217" s="1" t="s">
        <v>53</v>
      </c>
      <c r="AR217" s="1" t="s">
        <v>378</v>
      </c>
      <c r="AS217" s="169">
        <v>42118</v>
      </c>
      <c r="AT217" s="170">
        <v>42118</v>
      </c>
      <c r="AU217" s="170">
        <v>42118</v>
      </c>
      <c r="AV217" s="181">
        <v>42118</v>
      </c>
      <c r="AW217" s="169">
        <v>42118</v>
      </c>
      <c r="AX217" s="112" t="s">
        <v>2630</v>
      </c>
      <c r="AZ217" s="170">
        <v>42118</v>
      </c>
      <c r="BC217" s="169">
        <v>42118</v>
      </c>
      <c r="BD217" s="172" t="s">
        <v>2628</v>
      </c>
      <c r="BE217" s="169">
        <v>42118</v>
      </c>
      <c r="BF217" s="172" t="s">
        <v>2631</v>
      </c>
      <c r="BG217" s="169">
        <v>42118</v>
      </c>
      <c r="BH217" s="188" t="s">
        <v>2627</v>
      </c>
      <c r="BI217" s="181">
        <v>42124</v>
      </c>
      <c r="BJ217" s="169">
        <v>42118</v>
      </c>
      <c r="BM217" s="169">
        <v>42118</v>
      </c>
      <c r="BR217" s="181"/>
      <c r="BS217" s="169">
        <v>42118</v>
      </c>
      <c r="BT217" s="170">
        <v>42118</v>
      </c>
      <c r="BU217" s="181">
        <v>42118</v>
      </c>
      <c r="BW217" s="398" t="str">
        <f t="shared" ref="BW217:BW232" si="262">IF(AZ217&gt;3,"1905 ","")&amp;IF(AND(M217="",AZ217&gt;3)=TRUE,"(for processing) ","")&amp;IF(AZ217&lt;4,"",MONTH(AZ217)&amp;"/"&amp;DAY(AZ217)&amp;"/"&amp;YEAR(AZ217)&amp;", ")&amp;IF(BA217&gt;3,"2305 ","")&amp;IF(AND(M217="",BA217&gt;3)=TRUE,"(for processing) ","")&amp;IF(BA217&lt;4,"",MONTH(BA217)&amp;"/"&amp;DAY(BA217)&amp;"/"&amp;YEAR(BA217)&amp;", ")&amp;IF(BI217&gt;0,"MDR ","")&amp;IF(BI217=0,"",MONTH(BI217)&amp;"/"&amp;DAY(BI217)&amp;"/"&amp;YEAR(BI217)&amp;", ")&amp;IF(BK217&gt;0,"NBI receipt "&amp;MONTH(BK217)&amp;"/"&amp;DAY(BK217)&amp;"/"&amp;YEAR(BK217)&amp;", ","") &amp;BV217</f>
        <v xml:space="preserve">1905 (for processing) 4/24/2015, MDR 4/30/2015, </v>
      </c>
      <c r="BX217" s="398">
        <f t="shared" si="244"/>
        <v>11</v>
      </c>
      <c r="BY217" s="398">
        <f t="shared" si="230"/>
        <v>11</v>
      </c>
      <c r="BZ217" s="399">
        <f t="shared" si="250"/>
        <v>1</v>
      </c>
      <c r="CA217" s="168" t="str">
        <f t="shared" si="228"/>
        <v/>
      </c>
      <c r="CB217" s="151" t="str">
        <f t="shared" si="251"/>
        <v/>
      </c>
      <c r="CC217" s="153" t="str">
        <f t="shared" ca="1" si="252"/>
        <v/>
      </c>
      <c r="CD217" s="153" t="str">
        <f t="shared" si="253"/>
        <v/>
      </c>
      <c r="CE217" s="153" t="str">
        <f t="shared" si="254"/>
        <v/>
      </c>
      <c r="CF217" s="396" t="str">
        <f t="shared" si="255"/>
        <v/>
      </c>
      <c r="CG217" s="397" t="str">
        <f t="shared" si="256"/>
        <v/>
      </c>
      <c r="CH217" s="153" t="str">
        <f t="shared" si="257"/>
        <v/>
      </c>
      <c r="CI217" s="151" t="str">
        <f t="shared" si="258"/>
        <v/>
      </c>
      <c r="CJ217" s="151" t="str">
        <f t="shared" si="231"/>
        <v/>
      </c>
      <c r="CK217" s="153">
        <f t="shared" si="232"/>
        <v>3</v>
      </c>
      <c r="CL217" s="153">
        <f t="shared" si="233"/>
        <v>3</v>
      </c>
      <c r="CM217" s="153">
        <f t="shared" si="234"/>
        <v>3</v>
      </c>
      <c r="CN217" s="153">
        <f t="shared" si="235"/>
        <v>3</v>
      </c>
      <c r="CO217" s="153">
        <f t="shared" si="236"/>
        <v>3</v>
      </c>
      <c r="CP217" s="153">
        <f t="shared" si="237"/>
        <v>3</v>
      </c>
      <c r="CQ217" s="153">
        <f t="shared" si="238"/>
        <v>3</v>
      </c>
      <c r="CR217" s="153">
        <f t="shared" si="239"/>
        <v>3</v>
      </c>
      <c r="CS217" s="153">
        <f t="shared" si="240"/>
        <v>3</v>
      </c>
      <c r="CT217" s="153">
        <f t="shared" si="212"/>
        <v>3</v>
      </c>
      <c r="CU217" s="153">
        <f t="shared" si="213"/>
        <v>3</v>
      </c>
      <c r="CV217" s="153">
        <f t="shared" si="214"/>
        <v>2</v>
      </c>
      <c r="CW217" s="153">
        <f t="shared" si="241"/>
        <v>2</v>
      </c>
      <c r="CX217" s="153">
        <f t="shared" si="242"/>
        <v>1</v>
      </c>
      <c r="CY217" s="153">
        <f t="shared" si="243"/>
        <v>3</v>
      </c>
    </row>
    <row r="218" spans="1:103" x14ac:dyDescent="0.25">
      <c r="A218" s="7">
        <v>193</v>
      </c>
      <c r="B218" s="16">
        <v>42114</v>
      </c>
      <c r="C218" s="1">
        <v>1082434</v>
      </c>
      <c r="D218" s="542" t="s">
        <v>2473</v>
      </c>
      <c r="E218" s="1" t="str">
        <f t="shared" si="226"/>
        <v xml:space="preserve">Info, Waiver, </v>
      </c>
      <c r="F218" s="1" t="str">
        <f t="shared" si="227"/>
        <v xml:space="preserve">MDR, TOR, 2x2, </v>
      </c>
      <c r="I218" s="16"/>
      <c r="K218" s="152" t="str">
        <f t="shared" ca="1" si="199"/>
        <v>Dedlyn!</v>
      </c>
      <c r="N218" s="153" t="str">
        <f t="shared" si="229"/>
        <v>READY!</v>
      </c>
      <c r="O218" s="1" t="s">
        <v>301</v>
      </c>
      <c r="Q218" s="1" t="s">
        <v>2413</v>
      </c>
      <c r="R218" s="1">
        <v>9351252538</v>
      </c>
      <c r="S218" s="153">
        <f t="shared" si="245"/>
        <v>9351252538</v>
      </c>
      <c r="T218" s="153" t="str">
        <f t="shared" si="246"/>
        <v/>
      </c>
      <c r="U218" s="1" t="s">
        <v>2521</v>
      </c>
      <c r="V218" s="1" t="s">
        <v>2412</v>
      </c>
      <c r="W218" s="1" t="s">
        <v>2410</v>
      </c>
      <c r="X218" s="1" t="s">
        <v>2411</v>
      </c>
      <c r="Y218" s="1" t="s">
        <v>73</v>
      </c>
      <c r="Z218" s="1" t="s">
        <v>70</v>
      </c>
      <c r="AA218" s="1" t="str">
        <f t="shared" si="259"/>
        <v>Php 16,000</v>
      </c>
      <c r="AC218" s="1" t="str">
        <f t="shared" si="260"/>
        <v>Php 1,000</v>
      </c>
      <c r="AD218" s="1" t="str">
        <f t="shared" si="261"/>
        <v>Php 3,000</v>
      </c>
      <c r="AH218" s="1" t="s">
        <v>52</v>
      </c>
      <c r="AI218" s="1" t="s">
        <v>878</v>
      </c>
      <c r="AJ218" s="153" t="str">
        <f t="shared" si="196"/>
        <v/>
      </c>
      <c r="AL218" s="1" t="s">
        <v>282</v>
      </c>
      <c r="AM218" s="1" t="s">
        <v>854</v>
      </c>
      <c r="AN218" s="16">
        <v>34142</v>
      </c>
      <c r="AT218" s="170">
        <v>42117</v>
      </c>
      <c r="AU218" s="170">
        <v>42117</v>
      </c>
      <c r="AW218" s="169">
        <v>42119</v>
      </c>
      <c r="AX218" s="112" t="s">
        <v>2852</v>
      </c>
      <c r="AZ218" s="170">
        <v>42119</v>
      </c>
      <c r="BA218" s="170">
        <v>42119</v>
      </c>
      <c r="BC218" s="169">
        <v>42119</v>
      </c>
      <c r="BD218" s="172" t="s">
        <v>2851</v>
      </c>
      <c r="BE218" s="169">
        <v>42123</v>
      </c>
      <c r="BF218" s="172" t="s">
        <v>2771</v>
      </c>
      <c r="BG218" s="169">
        <v>42119</v>
      </c>
      <c r="BH218" s="188" t="s">
        <v>2850</v>
      </c>
      <c r="BJ218" s="169">
        <v>42117</v>
      </c>
      <c r="BM218" s="169">
        <v>42117</v>
      </c>
      <c r="BR218" s="181">
        <v>42117</v>
      </c>
      <c r="BS218" s="169">
        <v>42118</v>
      </c>
      <c r="BT218" s="170">
        <v>42118</v>
      </c>
      <c r="BU218" s="181">
        <v>42118</v>
      </c>
      <c r="BW218" s="398" t="str">
        <f t="shared" si="262"/>
        <v xml:space="preserve">1905 (for processing) 4/25/2015, 2305 (for processing) 4/25/2015, </v>
      </c>
      <c r="BX218" s="398">
        <f t="shared" si="244"/>
        <v>9</v>
      </c>
      <c r="BY218" s="398">
        <f t="shared" si="230"/>
        <v>11</v>
      </c>
      <c r="BZ218" s="399">
        <f t="shared" si="250"/>
        <v>0.81818181818181823</v>
      </c>
      <c r="CA218" s="168" t="str">
        <f t="shared" si="228"/>
        <v/>
      </c>
      <c r="CB218" s="151" t="str">
        <f t="shared" si="251"/>
        <v/>
      </c>
      <c r="CC218" s="153" t="str">
        <f t="shared" ca="1" si="252"/>
        <v/>
      </c>
      <c r="CD218" s="153" t="str">
        <f t="shared" si="253"/>
        <v/>
      </c>
      <c r="CE218" s="153" t="str">
        <f t="shared" si="254"/>
        <v/>
      </c>
      <c r="CF218" s="396" t="str">
        <f t="shared" si="255"/>
        <v/>
      </c>
      <c r="CG218" s="397" t="str">
        <f t="shared" si="256"/>
        <v/>
      </c>
      <c r="CH218" s="153" t="str">
        <f t="shared" si="257"/>
        <v/>
      </c>
      <c r="CI218" s="151" t="str">
        <f t="shared" si="258"/>
        <v/>
      </c>
      <c r="CJ218" s="151" t="str">
        <f t="shared" si="231"/>
        <v/>
      </c>
      <c r="CK218" s="153">
        <f t="shared" si="232"/>
        <v>4</v>
      </c>
      <c r="CL218" s="153">
        <f t="shared" si="233"/>
        <v>4</v>
      </c>
      <c r="CM218" s="153">
        <f t="shared" si="234"/>
        <v>4</v>
      </c>
      <c r="CN218" s="153">
        <f t="shared" si="235"/>
        <v>4</v>
      </c>
      <c r="CO218" s="153">
        <f t="shared" si="236"/>
        <v>4</v>
      </c>
      <c r="CP218" s="153">
        <f t="shared" si="237"/>
        <v>3</v>
      </c>
      <c r="CQ218" s="153">
        <f t="shared" si="238"/>
        <v>4</v>
      </c>
      <c r="CR218" s="153">
        <f t="shared" si="239"/>
        <v>4</v>
      </c>
      <c r="CS218" s="153">
        <f t="shared" si="240"/>
        <v>3</v>
      </c>
      <c r="CT218" s="153">
        <f t="shared" si="212"/>
        <v>4</v>
      </c>
      <c r="CU218" s="153">
        <f t="shared" si="213"/>
        <v>4</v>
      </c>
      <c r="CV218" s="153">
        <f t="shared" si="214"/>
        <v>3</v>
      </c>
      <c r="CW218" s="153">
        <f t="shared" si="241"/>
        <v>2</v>
      </c>
      <c r="CX218" s="153">
        <f t="shared" si="242"/>
        <v>1</v>
      </c>
      <c r="CY218" s="153">
        <f t="shared" si="243"/>
        <v>4</v>
      </c>
    </row>
    <row r="219" spans="1:103" x14ac:dyDescent="0.25">
      <c r="A219" s="7">
        <v>193</v>
      </c>
      <c r="B219" s="16">
        <v>42114</v>
      </c>
      <c r="C219" s="1">
        <v>1082435</v>
      </c>
      <c r="D219" s="542" t="s">
        <v>2474</v>
      </c>
      <c r="E219" s="1" t="str">
        <f t="shared" si="226"/>
        <v xml:space="preserve">NBI, Waiver, </v>
      </c>
      <c r="F219" s="1" t="str">
        <f t="shared" si="227"/>
        <v xml:space="preserve">MDR, TOR, COE, 2x2, </v>
      </c>
      <c r="I219" s="16">
        <v>42118</v>
      </c>
      <c r="K219" s="152" t="str">
        <f t="shared" ca="1" si="199"/>
        <v>Dedlyn!</v>
      </c>
      <c r="N219" s="153" t="str">
        <f t="shared" si="229"/>
        <v>READY!</v>
      </c>
      <c r="O219" s="1" t="s">
        <v>301</v>
      </c>
      <c r="Q219" s="1" t="s">
        <v>2416</v>
      </c>
      <c r="R219" s="1">
        <v>9174321818</v>
      </c>
      <c r="S219" s="153">
        <f t="shared" si="245"/>
        <v>9174321818</v>
      </c>
      <c r="T219" s="153" t="str">
        <f t="shared" si="246"/>
        <v/>
      </c>
      <c r="U219" s="1" t="s">
        <v>2522</v>
      </c>
      <c r="V219" s="1" t="s">
        <v>2415</v>
      </c>
      <c r="W219" s="1" t="s">
        <v>2414</v>
      </c>
      <c r="X219" s="1" t="s">
        <v>1244</v>
      </c>
      <c r="Y219" s="1" t="s">
        <v>73</v>
      </c>
      <c r="Z219" s="1" t="s">
        <v>74</v>
      </c>
      <c r="AA219" s="1" t="str">
        <f t="shared" si="259"/>
        <v>Php 17,000</v>
      </c>
      <c r="AC219" s="1" t="str">
        <f t="shared" si="260"/>
        <v>Php 1,000</v>
      </c>
      <c r="AD219" s="1" t="str">
        <f t="shared" si="261"/>
        <v>Php 4,000</v>
      </c>
      <c r="AH219" s="1" t="s">
        <v>52</v>
      </c>
      <c r="AI219" s="1" t="s">
        <v>253</v>
      </c>
      <c r="AJ219" s="153" t="str">
        <f t="shared" si="196"/>
        <v/>
      </c>
      <c r="AL219" s="1" t="s">
        <v>247</v>
      </c>
      <c r="AM219" s="1" t="s">
        <v>854</v>
      </c>
      <c r="AN219" s="16">
        <v>34185</v>
      </c>
      <c r="AO219" s="1" t="s">
        <v>2837</v>
      </c>
      <c r="AP219" s="1" t="s">
        <v>2837</v>
      </c>
      <c r="AQ219" s="1" t="s">
        <v>53</v>
      </c>
      <c r="AR219" s="1" t="s">
        <v>378</v>
      </c>
      <c r="AS219" s="169">
        <v>42125</v>
      </c>
      <c r="AT219" s="170">
        <v>42125</v>
      </c>
      <c r="AU219" s="170">
        <v>42125</v>
      </c>
      <c r="AW219" s="169">
        <v>42136</v>
      </c>
      <c r="AX219" s="112" t="s">
        <v>3132</v>
      </c>
      <c r="AZ219" s="170">
        <v>42136</v>
      </c>
      <c r="BA219" s="170">
        <v>42130</v>
      </c>
      <c r="BC219" s="169">
        <v>42125</v>
      </c>
      <c r="BD219" s="172" t="s">
        <v>2839</v>
      </c>
      <c r="BE219" s="169">
        <v>42130</v>
      </c>
      <c r="BF219" s="172" t="s">
        <v>3060</v>
      </c>
      <c r="BG219" s="169">
        <v>42125</v>
      </c>
      <c r="BH219" s="188" t="s">
        <v>2838</v>
      </c>
      <c r="BK219" s="170">
        <v>42130</v>
      </c>
      <c r="BL219" s="181">
        <v>42139</v>
      </c>
      <c r="BM219" s="169">
        <v>42125</v>
      </c>
      <c r="BS219" s="169">
        <v>42118</v>
      </c>
      <c r="BT219" s="170">
        <v>42118</v>
      </c>
      <c r="BU219" s="181">
        <v>42118</v>
      </c>
      <c r="BW219" s="398" t="str">
        <f t="shared" si="262"/>
        <v xml:space="preserve">1905 (for processing) 5/12/2015, 2305 (for processing) 5/6/2015, NBI receipt 5/6/2015, </v>
      </c>
      <c r="BX219" s="398">
        <f t="shared" si="244"/>
        <v>9</v>
      </c>
      <c r="BY219" s="398">
        <f t="shared" si="230"/>
        <v>11</v>
      </c>
      <c r="BZ219" s="399">
        <f t="shared" si="250"/>
        <v>0.81818181818181823</v>
      </c>
      <c r="CA219" s="168" t="str">
        <f t="shared" si="228"/>
        <v/>
      </c>
      <c r="CB219" s="151" t="str">
        <f t="shared" si="251"/>
        <v/>
      </c>
      <c r="CC219" s="153" t="str">
        <f t="shared" ca="1" si="252"/>
        <v/>
      </c>
      <c r="CD219" s="153" t="str">
        <f t="shared" si="253"/>
        <v/>
      </c>
      <c r="CE219" s="153" t="str">
        <f t="shared" si="254"/>
        <v/>
      </c>
      <c r="CF219" s="396" t="str">
        <f t="shared" si="255"/>
        <v/>
      </c>
      <c r="CG219" s="397" t="str">
        <f t="shared" si="256"/>
        <v/>
      </c>
      <c r="CH219" s="153" t="str">
        <f t="shared" si="257"/>
        <v/>
      </c>
      <c r="CI219" s="151" t="str">
        <f t="shared" si="258"/>
        <v/>
      </c>
      <c r="CJ219" s="151" t="str">
        <f t="shared" si="231"/>
        <v/>
      </c>
      <c r="CK219" s="153">
        <f t="shared" si="232"/>
        <v>5</v>
      </c>
      <c r="CL219" s="153">
        <f t="shared" si="233"/>
        <v>5</v>
      </c>
      <c r="CM219" s="153">
        <f t="shared" si="234"/>
        <v>5</v>
      </c>
      <c r="CN219" s="153">
        <f t="shared" si="235"/>
        <v>4</v>
      </c>
      <c r="CO219" s="153">
        <f t="shared" si="236"/>
        <v>5</v>
      </c>
      <c r="CP219" s="153">
        <f t="shared" si="237"/>
        <v>4</v>
      </c>
      <c r="CQ219" s="153">
        <f t="shared" si="238"/>
        <v>5</v>
      </c>
      <c r="CR219" s="153">
        <f t="shared" si="239"/>
        <v>5</v>
      </c>
      <c r="CS219" s="153">
        <f t="shared" si="240"/>
        <v>3</v>
      </c>
      <c r="CT219" s="153">
        <f t="shared" si="212"/>
        <v>5</v>
      </c>
      <c r="CU219" s="153">
        <f t="shared" si="213"/>
        <v>5</v>
      </c>
      <c r="CV219" s="153">
        <f t="shared" si="214"/>
        <v>4</v>
      </c>
      <c r="CW219" s="153">
        <f t="shared" si="241"/>
        <v>2</v>
      </c>
      <c r="CX219" s="153">
        <f t="shared" si="242"/>
        <v>1</v>
      </c>
      <c r="CY219" s="153">
        <f t="shared" si="243"/>
        <v>5</v>
      </c>
    </row>
    <row r="220" spans="1:103" x14ac:dyDescent="0.25">
      <c r="A220" s="7">
        <v>193</v>
      </c>
      <c r="B220" s="16">
        <v>42114</v>
      </c>
      <c r="C220" s="1">
        <v>1082436</v>
      </c>
      <c r="D220" s="542" t="s">
        <v>2475</v>
      </c>
      <c r="E220" s="1" t="str">
        <f t="shared" si="226"/>
        <v xml:space="preserve">NBI, Waiver, 1905, </v>
      </c>
      <c r="F220" s="1" t="str">
        <f t="shared" si="227"/>
        <v xml:space="preserve">MDR, TOR, COE, 2x2, </v>
      </c>
      <c r="I220" s="16">
        <v>42118</v>
      </c>
      <c r="K220" s="152" t="str">
        <f t="shared" ca="1" si="199"/>
        <v>Dedlyn!</v>
      </c>
      <c r="M220" s="16">
        <v>42131</v>
      </c>
      <c r="N220" s="153" t="str">
        <f t="shared" si="229"/>
        <v/>
      </c>
      <c r="O220" s="1" t="s">
        <v>301</v>
      </c>
      <c r="Q220" s="1" t="s">
        <v>2420</v>
      </c>
      <c r="R220" s="1">
        <v>9164683475</v>
      </c>
      <c r="S220" s="153">
        <f t="shared" si="245"/>
        <v>9164683475</v>
      </c>
      <c r="T220" s="153" t="str">
        <f t="shared" si="246"/>
        <v/>
      </c>
      <c r="U220" s="1" t="s">
        <v>2523</v>
      </c>
      <c r="V220" s="1" t="s">
        <v>2419</v>
      </c>
      <c r="W220" s="1" t="s">
        <v>2417</v>
      </c>
      <c r="X220" s="1" t="s">
        <v>2418</v>
      </c>
      <c r="Y220" s="1" t="s">
        <v>73</v>
      </c>
      <c r="Z220" s="1" t="s">
        <v>74</v>
      </c>
      <c r="AA220" s="1" t="str">
        <f t="shared" si="259"/>
        <v>Php 17,000</v>
      </c>
      <c r="AC220" s="1" t="str">
        <f t="shared" si="260"/>
        <v>Php 1,000</v>
      </c>
      <c r="AD220" s="1" t="str">
        <f t="shared" si="261"/>
        <v>Php 4,000</v>
      </c>
      <c r="AH220" s="1" t="s">
        <v>52</v>
      </c>
      <c r="AI220" s="1" t="s">
        <v>253</v>
      </c>
      <c r="AJ220" s="153" t="str">
        <f t="shared" si="196"/>
        <v/>
      </c>
      <c r="AL220" s="1" t="s">
        <v>254</v>
      </c>
      <c r="AM220" s="1" t="s">
        <v>854</v>
      </c>
      <c r="AN220" s="16">
        <v>32849</v>
      </c>
      <c r="AO220" s="1" t="s">
        <v>3077</v>
      </c>
      <c r="AP220" s="1" t="s">
        <v>3077</v>
      </c>
      <c r="AQ220" s="1" t="s">
        <v>50</v>
      </c>
      <c r="AR220" s="1" t="s">
        <v>378</v>
      </c>
      <c r="AS220" s="169">
        <v>42131</v>
      </c>
      <c r="AT220" s="170">
        <v>42131</v>
      </c>
      <c r="AU220" s="170">
        <v>42131</v>
      </c>
      <c r="AW220" s="169">
        <v>42118</v>
      </c>
      <c r="AX220" s="112" t="s">
        <v>2659</v>
      </c>
      <c r="BA220" s="170">
        <v>42131</v>
      </c>
      <c r="BC220" s="169">
        <v>42131</v>
      </c>
      <c r="BD220" s="172" t="s">
        <v>3079</v>
      </c>
      <c r="BE220" s="169">
        <v>42131</v>
      </c>
      <c r="BF220" s="172" t="s">
        <v>3078</v>
      </c>
      <c r="BG220" s="169">
        <v>42118</v>
      </c>
      <c r="BH220" s="188" t="s">
        <v>2660</v>
      </c>
      <c r="BM220" s="169">
        <v>42118</v>
      </c>
      <c r="BS220" s="169">
        <v>42118</v>
      </c>
      <c r="BT220" s="170">
        <v>42118</v>
      </c>
      <c r="BU220" s="181">
        <v>42118</v>
      </c>
      <c r="BW220" s="398" t="str">
        <f t="shared" si="262"/>
        <v xml:space="preserve">2305 5/7/2015, </v>
      </c>
      <c r="BX220" s="398">
        <f t="shared" si="244"/>
        <v>8</v>
      </c>
      <c r="BY220" s="398">
        <f t="shared" si="230"/>
        <v>11</v>
      </c>
      <c r="BZ220" s="399">
        <f t="shared" si="250"/>
        <v>0.72727272727272729</v>
      </c>
      <c r="CA220" s="168" t="str">
        <f t="shared" si="228"/>
        <v/>
      </c>
      <c r="CB220" s="151" t="str">
        <f t="shared" si="251"/>
        <v/>
      </c>
      <c r="CC220" s="153" t="str">
        <f t="shared" ca="1" si="252"/>
        <v/>
      </c>
      <c r="CD220" s="153" t="str">
        <f t="shared" si="253"/>
        <v/>
      </c>
      <c r="CE220" s="153" t="str">
        <f t="shared" si="254"/>
        <v/>
      </c>
      <c r="CF220" s="396" t="str">
        <f t="shared" si="255"/>
        <v/>
      </c>
      <c r="CG220" s="397" t="str">
        <f t="shared" si="256"/>
        <v/>
      </c>
      <c r="CH220" s="153" t="str">
        <f t="shared" si="257"/>
        <v/>
      </c>
      <c r="CI220" s="151" t="str">
        <f t="shared" si="258"/>
        <v/>
      </c>
      <c r="CJ220" s="151" t="str">
        <f t="shared" si="231"/>
        <v/>
      </c>
      <c r="CK220" s="153">
        <f t="shared" si="232"/>
        <v>6</v>
      </c>
      <c r="CL220" s="153">
        <f t="shared" si="233"/>
        <v>6</v>
      </c>
      <c r="CM220" s="153">
        <f t="shared" si="234"/>
        <v>6</v>
      </c>
      <c r="CN220" s="153">
        <f t="shared" si="235"/>
        <v>4</v>
      </c>
      <c r="CO220" s="153">
        <f t="shared" si="236"/>
        <v>6</v>
      </c>
      <c r="CP220" s="153">
        <f t="shared" si="237"/>
        <v>5</v>
      </c>
      <c r="CQ220" s="153">
        <f t="shared" si="238"/>
        <v>6</v>
      </c>
      <c r="CR220" s="153">
        <f t="shared" si="239"/>
        <v>6</v>
      </c>
      <c r="CS220" s="153">
        <f t="shared" si="240"/>
        <v>3</v>
      </c>
      <c r="CT220" s="153">
        <f t="shared" ref="CT220:CT232" si="263">IF(CB219="",CT219+IF(IF(O220="n",0,COUNT(AW220))=1,1,0),IF(IF(O220="n",0,COUNT(AW220))=1,1,0))</f>
        <v>6</v>
      </c>
      <c r="CU220" s="153">
        <f t="shared" ref="CU220:CU232" si="264">IF(CB219="",CU219+IF(IF(O220="n",0,COUNT(AZ220))=1,1,0),IF(IF(O220="n",0,COUNT(AZ220))=1,1,0))</f>
        <v>5</v>
      </c>
      <c r="CV220" s="153">
        <f t="shared" ref="CV220:CV232" si="265">IF(CB219="",CV219+IF(IF(O220="n",0,COUNT(BA220))=1,1,0),IF(IF(O220="n",0,COUNT(BA220))=1,1,0))</f>
        <v>5</v>
      </c>
      <c r="CW220" s="153">
        <f t="shared" si="241"/>
        <v>2</v>
      </c>
      <c r="CX220" s="153">
        <f t="shared" si="242"/>
        <v>1</v>
      </c>
      <c r="CY220" s="153">
        <f t="shared" si="243"/>
        <v>6</v>
      </c>
    </row>
    <row r="221" spans="1:103" s="321" customFormat="1" x14ac:dyDescent="0.25">
      <c r="A221" s="382">
        <v>193</v>
      </c>
      <c r="B221" s="334">
        <v>42114</v>
      </c>
      <c r="C221" s="321">
        <v>1082437</v>
      </c>
      <c r="D221" s="543" t="s">
        <v>2476</v>
      </c>
      <c r="E221" s="321" t="str">
        <f t="shared" si="226"/>
        <v/>
      </c>
      <c r="F221" s="321" t="str">
        <f t="shared" si="227"/>
        <v xml:space="preserve">TOR, 2x2, </v>
      </c>
      <c r="I221" s="334">
        <v>42118</v>
      </c>
      <c r="K221" s="384" t="str">
        <f t="shared" ca="1" si="199"/>
        <v/>
      </c>
      <c r="N221" s="317" t="str">
        <f t="shared" si="229"/>
        <v>READY!</v>
      </c>
      <c r="O221" s="321" t="s">
        <v>302</v>
      </c>
      <c r="Q221" s="321" t="s">
        <v>2422</v>
      </c>
      <c r="R221" s="321">
        <v>9363230900</v>
      </c>
      <c r="S221" s="317">
        <f t="shared" si="245"/>
        <v>9363230900</v>
      </c>
      <c r="T221" s="317" t="str">
        <f t="shared" si="246"/>
        <v/>
      </c>
      <c r="U221" s="321" t="s">
        <v>2524</v>
      </c>
      <c r="V221" s="321" t="s">
        <v>320</v>
      </c>
      <c r="W221" s="321" t="s">
        <v>2421</v>
      </c>
      <c r="X221" s="321" t="s">
        <v>599</v>
      </c>
      <c r="Y221" s="321" t="s">
        <v>73</v>
      </c>
      <c r="Z221" s="321" t="s">
        <v>74</v>
      </c>
      <c r="AA221" s="321" t="str">
        <f t="shared" si="259"/>
        <v>Php 17,000</v>
      </c>
      <c r="AC221" s="321" t="str">
        <f t="shared" si="260"/>
        <v>Php 1,000</v>
      </c>
      <c r="AD221" s="321" t="str">
        <f t="shared" si="261"/>
        <v>Php 4,000</v>
      </c>
      <c r="AH221" s="321" t="s">
        <v>52</v>
      </c>
      <c r="AI221" s="321" t="s">
        <v>253</v>
      </c>
      <c r="AJ221" s="317" t="str">
        <f t="shared" si="196"/>
        <v/>
      </c>
      <c r="AL221" s="321" t="s">
        <v>265</v>
      </c>
      <c r="AM221" s="321" t="s">
        <v>854</v>
      </c>
      <c r="AN221" s="334">
        <v>33866</v>
      </c>
      <c r="AO221" s="321" t="s">
        <v>2645</v>
      </c>
      <c r="AP221" s="321" t="s">
        <v>2646</v>
      </c>
      <c r="AQ221" s="321" t="s">
        <v>53</v>
      </c>
      <c r="AR221" s="321" t="s">
        <v>495</v>
      </c>
      <c r="AS221" s="332">
        <v>42118</v>
      </c>
      <c r="AT221" s="318">
        <v>42118</v>
      </c>
      <c r="AU221" s="318">
        <v>42118</v>
      </c>
      <c r="AV221" s="329">
        <v>42122</v>
      </c>
      <c r="AW221" s="332">
        <v>42118</v>
      </c>
      <c r="AX221" s="317" t="s">
        <v>2649</v>
      </c>
      <c r="AY221" s="317"/>
      <c r="AZ221" s="318">
        <v>42122</v>
      </c>
      <c r="BA221" s="318">
        <v>42122</v>
      </c>
      <c r="BB221" s="326"/>
      <c r="BC221" s="332">
        <v>42118</v>
      </c>
      <c r="BD221" s="326" t="s">
        <v>2647</v>
      </c>
      <c r="BE221" s="332">
        <v>42118</v>
      </c>
      <c r="BF221" s="326" t="s">
        <v>2650</v>
      </c>
      <c r="BG221" s="332">
        <v>42118</v>
      </c>
      <c r="BH221" s="385" t="s">
        <v>2648</v>
      </c>
      <c r="BI221" s="329">
        <v>42122</v>
      </c>
      <c r="BJ221" s="332">
        <v>42122</v>
      </c>
      <c r="BK221" s="318">
        <v>42118</v>
      </c>
      <c r="BL221" s="326"/>
      <c r="BM221" s="332">
        <v>42118</v>
      </c>
      <c r="BN221" s="318">
        <v>42118</v>
      </c>
      <c r="BO221" s="329">
        <v>42118</v>
      </c>
      <c r="BP221" s="337"/>
      <c r="BQ221" s="317"/>
      <c r="BR221" s="329">
        <v>42118</v>
      </c>
      <c r="BS221" s="332">
        <v>42118</v>
      </c>
      <c r="BT221" s="318">
        <v>42118</v>
      </c>
      <c r="BU221" s="329">
        <v>42118</v>
      </c>
      <c r="BV221" s="326"/>
      <c r="BW221" s="536" t="str">
        <f t="shared" si="262"/>
        <v xml:space="preserve">1905 (for processing) 4/28/2015, 2305 (for processing) 4/28/2015, MDR 4/28/2015, NBI receipt 4/24/2015, </v>
      </c>
      <c r="BX221" s="536">
        <f t="shared" si="244"/>
        <v>11</v>
      </c>
      <c r="BY221" s="536">
        <f t="shared" si="230"/>
        <v>11</v>
      </c>
      <c r="BZ221" s="537">
        <f t="shared" si="250"/>
        <v>1</v>
      </c>
      <c r="CA221" s="337" t="str">
        <f t="shared" si="228"/>
        <v/>
      </c>
      <c r="CB221" s="318" t="str">
        <f t="shared" si="251"/>
        <v/>
      </c>
      <c r="CC221" s="317" t="str">
        <f t="shared" ca="1" si="252"/>
        <v/>
      </c>
      <c r="CD221" s="317" t="str">
        <f t="shared" si="253"/>
        <v/>
      </c>
      <c r="CE221" s="317" t="str">
        <f t="shared" si="254"/>
        <v/>
      </c>
      <c r="CF221" s="538" t="str">
        <f t="shared" si="255"/>
        <v/>
      </c>
      <c r="CG221" s="539" t="str">
        <f t="shared" si="256"/>
        <v/>
      </c>
      <c r="CH221" s="317" t="str">
        <f t="shared" si="257"/>
        <v/>
      </c>
      <c r="CI221" s="318" t="str">
        <f t="shared" si="258"/>
        <v/>
      </c>
      <c r="CJ221" s="318" t="str">
        <f t="shared" si="231"/>
        <v/>
      </c>
      <c r="CK221" s="317">
        <f t="shared" si="232"/>
        <v>7</v>
      </c>
      <c r="CL221" s="317">
        <f t="shared" si="233"/>
        <v>7</v>
      </c>
      <c r="CM221" s="317">
        <f t="shared" si="234"/>
        <v>7</v>
      </c>
      <c r="CN221" s="317">
        <f t="shared" si="235"/>
        <v>5</v>
      </c>
      <c r="CO221" s="317">
        <f t="shared" si="236"/>
        <v>7</v>
      </c>
      <c r="CP221" s="317">
        <f t="shared" si="237"/>
        <v>6</v>
      </c>
      <c r="CQ221" s="317">
        <f t="shared" si="238"/>
        <v>7</v>
      </c>
      <c r="CR221" s="317">
        <f t="shared" si="239"/>
        <v>7</v>
      </c>
      <c r="CS221" s="317">
        <f t="shared" si="240"/>
        <v>4</v>
      </c>
      <c r="CT221" s="317">
        <f t="shared" si="263"/>
        <v>7</v>
      </c>
      <c r="CU221" s="317">
        <f t="shared" si="264"/>
        <v>6</v>
      </c>
      <c r="CV221" s="317">
        <f t="shared" si="265"/>
        <v>6</v>
      </c>
      <c r="CW221" s="317">
        <f t="shared" si="241"/>
        <v>3</v>
      </c>
      <c r="CX221" s="317">
        <f t="shared" si="242"/>
        <v>1</v>
      </c>
      <c r="CY221" s="317">
        <f t="shared" si="243"/>
        <v>7</v>
      </c>
    </row>
    <row r="222" spans="1:103" s="8" customFormat="1" x14ac:dyDescent="0.25">
      <c r="A222" s="133">
        <v>193</v>
      </c>
      <c r="B222" s="20">
        <v>42114</v>
      </c>
      <c r="C222" s="8">
        <v>1082438</v>
      </c>
      <c r="D222" s="541" t="s">
        <v>2477</v>
      </c>
      <c r="E222" s="8" t="str">
        <f t="shared" si="226"/>
        <v/>
      </c>
      <c r="F222" s="8" t="str">
        <f t="shared" si="227"/>
        <v/>
      </c>
      <c r="I222" s="20">
        <v>42118</v>
      </c>
      <c r="K222" s="132" t="str">
        <f t="shared" ca="1" si="199"/>
        <v/>
      </c>
      <c r="N222" s="113" t="str">
        <f t="shared" si="229"/>
        <v/>
      </c>
      <c r="O222" s="8" t="s">
        <v>298</v>
      </c>
      <c r="P222" s="113" t="s">
        <v>689</v>
      </c>
      <c r="Q222" s="8" t="s">
        <v>2426</v>
      </c>
      <c r="R222" s="8" t="s">
        <v>2516</v>
      </c>
      <c r="S222" s="113" t="str">
        <f t="shared" si="245"/>
        <v>9279324134</v>
      </c>
      <c r="T222" s="113" t="str">
        <f t="shared" si="246"/>
        <v>9082884870</v>
      </c>
      <c r="U222" s="8" t="s">
        <v>2525</v>
      </c>
      <c r="V222" s="8" t="s">
        <v>2425</v>
      </c>
      <c r="W222" s="8" t="s">
        <v>2423</v>
      </c>
      <c r="X222" s="8" t="s">
        <v>2424</v>
      </c>
      <c r="Y222" s="8" t="s">
        <v>73</v>
      </c>
      <c r="Z222" s="8" t="s">
        <v>70</v>
      </c>
      <c r="AA222" s="8" t="str">
        <f t="shared" si="259"/>
        <v>Php 16,000</v>
      </c>
      <c r="AC222" s="8" t="str">
        <f t="shared" si="260"/>
        <v>Php 1,000</v>
      </c>
      <c r="AD222" s="8" t="str">
        <f t="shared" si="261"/>
        <v>Php 3,000</v>
      </c>
      <c r="AH222" s="8" t="s">
        <v>52</v>
      </c>
      <c r="AI222" s="8" t="s">
        <v>253</v>
      </c>
      <c r="AJ222" s="113" t="str">
        <f t="shared" si="196"/>
        <v/>
      </c>
      <c r="AL222" s="8" t="s">
        <v>558</v>
      </c>
      <c r="AM222" s="8" t="s">
        <v>854</v>
      </c>
      <c r="AN222" s="20">
        <v>33225</v>
      </c>
      <c r="AO222" s="8" t="s">
        <v>2636</v>
      </c>
      <c r="AP222" s="8" t="s">
        <v>2637</v>
      </c>
      <c r="AQ222" s="8" t="s">
        <v>53</v>
      </c>
      <c r="AR222" s="8" t="s">
        <v>378</v>
      </c>
      <c r="AS222" s="187">
        <v>42118</v>
      </c>
      <c r="AT222" s="129">
        <v>42118</v>
      </c>
      <c r="AU222" s="129">
        <v>42118</v>
      </c>
      <c r="AV222" s="177">
        <v>42118</v>
      </c>
      <c r="AW222" s="187">
        <v>42118</v>
      </c>
      <c r="AX222" s="113" t="s">
        <v>2639</v>
      </c>
      <c r="AY222" s="113"/>
      <c r="AZ222" s="113">
        <v>1</v>
      </c>
      <c r="BA222" s="129">
        <v>42118</v>
      </c>
      <c r="BB222" s="177">
        <v>42118</v>
      </c>
      <c r="BC222" s="187">
        <v>42118</v>
      </c>
      <c r="BD222" s="182" t="s">
        <v>2638</v>
      </c>
      <c r="BE222" s="187">
        <v>42118</v>
      </c>
      <c r="BF222" s="182" t="s">
        <v>2641</v>
      </c>
      <c r="BG222" s="187">
        <v>42118</v>
      </c>
      <c r="BH222" s="274" t="s">
        <v>2640</v>
      </c>
      <c r="BI222" s="177">
        <v>42122</v>
      </c>
      <c r="BJ222" s="187">
        <v>42118</v>
      </c>
      <c r="BK222" s="113"/>
      <c r="BL222" s="182"/>
      <c r="BM222" s="187">
        <v>42118</v>
      </c>
      <c r="BN222" s="113"/>
      <c r="BO222" s="182"/>
      <c r="BP222" s="165"/>
      <c r="BQ222" s="129">
        <v>42118</v>
      </c>
      <c r="BR222" s="177">
        <v>42118</v>
      </c>
      <c r="BS222" s="187">
        <v>42118</v>
      </c>
      <c r="BT222" s="129">
        <v>42118</v>
      </c>
      <c r="BU222" s="177">
        <v>42118</v>
      </c>
      <c r="BV222" s="182"/>
      <c r="BW222" s="532" t="str">
        <f t="shared" si="262"/>
        <v xml:space="preserve">2305 (for processing) 4/24/2015, MDR 4/28/2015, </v>
      </c>
      <c r="BX222" s="532" t="str">
        <f t="shared" si="244"/>
        <v/>
      </c>
      <c r="BY222" s="532" t="str">
        <f t="shared" si="230"/>
        <v/>
      </c>
      <c r="BZ222" s="533" t="str">
        <f t="shared" si="250"/>
        <v/>
      </c>
      <c r="CA222" s="165" t="str">
        <f t="shared" si="228"/>
        <v/>
      </c>
      <c r="CB222" s="129" t="str">
        <f t="shared" si="251"/>
        <v/>
      </c>
      <c r="CC222" s="113" t="str">
        <f t="shared" ca="1" si="252"/>
        <v/>
      </c>
      <c r="CD222" s="113" t="str">
        <f t="shared" si="253"/>
        <v/>
      </c>
      <c r="CE222" s="113" t="str">
        <f t="shared" si="254"/>
        <v/>
      </c>
      <c r="CF222" s="534" t="str">
        <f t="shared" si="255"/>
        <v/>
      </c>
      <c r="CG222" s="535" t="str">
        <f t="shared" si="256"/>
        <v/>
      </c>
      <c r="CH222" s="113" t="str">
        <f t="shared" si="257"/>
        <v/>
      </c>
      <c r="CI222" s="129" t="str">
        <f t="shared" si="258"/>
        <v/>
      </c>
      <c r="CJ222" s="129" t="str">
        <f t="shared" si="231"/>
        <v/>
      </c>
      <c r="CK222" s="113">
        <f t="shared" si="232"/>
        <v>7</v>
      </c>
      <c r="CL222" s="113">
        <f t="shared" si="233"/>
        <v>7</v>
      </c>
      <c r="CM222" s="113">
        <f t="shared" si="234"/>
        <v>7</v>
      </c>
      <c r="CN222" s="113">
        <f t="shared" si="235"/>
        <v>5</v>
      </c>
      <c r="CO222" s="113">
        <f t="shared" si="236"/>
        <v>7</v>
      </c>
      <c r="CP222" s="113">
        <f t="shared" si="237"/>
        <v>6</v>
      </c>
      <c r="CQ222" s="113">
        <f t="shared" si="238"/>
        <v>7</v>
      </c>
      <c r="CR222" s="113">
        <f t="shared" si="239"/>
        <v>7</v>
      </c>
      <c r="CS222" s="113">
        <f t="shared" si="240"/>
        <v>4</v>
      </c>
      <c r="CT222" s="113">
        <f t="shared" si="263"/>
        <v>7</v>
      </c>
      <c r="CU222" s="113">
        <f t="shared" si="264"/>
        <v>6</v>
      </c>
      <c r="CV222" s="113">
        <f t="shared" si="265"/>
        <v>6</v>
      </c>
      <c r="CW222" s="113">
        <f t="shared" si="241"/>
        <v>3</v>
      </c>
      <c r="CX222" s="113">
        <f t="shared" si="242"/>
        <v>2</v>
      </c>
      <c r="CY222" s="113">
        <f t="shared" si="243"/>
        <v>7</v>
      </c>
    </row>
    <row r="223" spans="1:103" s="321" customFormat="1" x14ac:dyDescent="0.25">
      <c r="A223" s="382">
        <v>193</v>
      </c>
      <c r="B223" s="334">
        <v>42114</v>
      </c>
      <c r="C223" s="321">
        <v>1082439</v>
      </c>
      <c r="D223" s="543" t="s">
        <v>2478</v>
      </c>
      <c r="E223" s="321" t="str">
        <f t="shared" si="226"/>
        <v/>
      </c>
      <c r="F223" s="321" t="str">
        <f t="shared" si="227"/>
        <v xml:space="preserve">TOR, COE, 2x2, </v>
      </c>
      <c r="I223" s="334">
        <v>42118</v>
      </c>
      <c r="K223" s="152" t="str">
        <f t="shared" ca="1" si="199"/>
        <v/>
      </c>
      <c r="N223" s="153" t="str">
        <f t="shared" si="229"/>
        <v>READY!</v>
      </c>
      <c r="O223" s="321" t="s">
        <v>302</v>
      </c>
      <c r="Q223" s="1" t="s">
        <v>2429</v>
      </c>
      <c r="R223" s="1">
        <v>9222824422</v>
      </c>
      <c r="S223" s="153">
        <f t="shared" si="245"/>
        <v>9222824422</v>
      </c>
      <c r="T223" s="153" t="str">
        <f t="shared" si="246"/>
        <v/>
      </c>
      <c r="U223" s="1" t="s">
        <v>2526</v>
      </c>
      <c r="V223" s="1" t="s">
        <v>2428</v>
      </c>
      <c r="W223" s="1" t="s">
        <v>2427</v>
      </c>
      <c r="X223" s="1" t="s">
        <v>2054</v>
      </c>
      <c r="Y223" s="1" t="s">
        <v>73</v>
      </c>
      <c r="Z223" s="1" t="s">
        <v>74</v>
      </c>
      <c r="AA223" s="1" t="str">
        <f t="shared" si="259"/>
        <v>Php 17,000</v>
      </c>
      <c r="AB223" s="1"/>
      <c r="AC223" s="1" t="str">
        <f t="shared" si="260"/>
        <v>Php 1,000</v>
      </c>
      <c r="AD223" s="1" t="str">
        <f t="shared" si="261"/>
        <v>Php 4,000</v>
      </c>
      <c r="AE223" s="1"/>
      <c r="AF223" s="1"/>
      <c r="AG223" s="1"/>
      <c r="AH223" s="1" t="s">
        <v>52</v>
      </c>
      <c r="AI223" s="1" t="s">
        <v>1304</v>
      </c>
      <c r="AJ223" s="153" t="str">
        <f t="shared" si="196"/>
        <v>Christine Dela Cruz</v>
      </c>
      <c r="AK223" s="1"/>
      <c r="AL223" s="1" t="s">
        <v>282</v>
      </c>
      <c r="AM223" s="1" t="s">
        <v>854</v>
      </c>
      <c r="AN223" s="16">
        <v>31494</v>
      </c>
      <c r="AO223" s="1" t="s">
        <v>2669</v>
      </c>
      <c r="AP223" s="1" t="s">
        <v>2669</v>
      </c>
      <c r="AQ223" s="1" t="s">
        <v>50</v>
      </c>
      <c r="AR223" s="1"/>
      <c r="AS223" s="169">
        <v>42118</v>
      </c>
      <c r="AT223" s="170">
        <v>42116</v>
      </c>
      <c r="AU223" s="170">
        <v>42116</v>
      </c>
      <c r="AV223" s="181">
        <v>42118</v>
      </c>
      <c r="AW223" s="169">
        <v>42116</v>
      </c>
      <c r="AX223" s="112" t="s">
        <v>2560</v>
      </c>
      <c r="AY223" s="112"/>
      <c r="AZ223" s="170">
        <v>42116</v>
      </c>
      <c r="BA223" s="170">
        <v>42117</v>
      </c>
      <c r="BB223" s="172"/>
      <c r="BC223" s="169">
        <v>42116</v>
      </c>
      <c r="BD223" s="172" t="s">
        <v>2562</v>
      </c>
      <c r="BE223" s="169">
        <v>42118</v>
      </c>
      <c r="BF223" s="172" t="s">
        <v>2670</v>
      </c>
      <c r="BG223" s="169">
        <v>42116</v>
      </c>
      <c r="BH223" s="188" t="s">
        <v>2561</v>
      </c>
      <c r="BI223" s="181">
        <v>42116</v>
      </c>
      <c r="BJ223" s="169">
        <v>42118</v>
      </c>
      <c r="BK223" s="112"/>
      <c r="BL223" s="172"/>
      <c r="BM223" s="169">
        <v>42116</v>
      </c>
      <c r="BN223" s="112"/>
      <c r="BO223" s="181">
        <v>42118</v>
      </c>
      <c r="BP223" s="159"/>
      <c r="BQ223" s="112"/>
      <c r="BR223" s="172"/>
      <c r="BS223" s="169">
        <v>42118</v>
      </c>
      <c r="BT223" s="170">
        <v>42118</v>
      </c>
      <c r="BU223" s="181">
        <v>42118</v>
      </c>
      <c r="BV223" s="172"/>
      <c r="BW223" s="398" t="str">
        <f t="shared" si="262"/>
        <v xml:space="preserve">1905 (for processing) 4/22/2015, 2305 (for processing) 4/23/2015, MDR 4/22/2015, </v>
      </c>
      <c r="BX223" s="398">
        <f t="shared" si="244"/>
        <v>11</v>
      </c>
      <c r="BY223" s="398">
        <f t="shared" si="230"/>
        <v>11</v>
      </c>
      <c r="BZ223" s="399">
        <f t="shared" si="250"/>
        <v>1</v>
      </c>
      <c r="CA223" s="168" t="str">
        <f t="shared" si="228"/>
        <v/>
      </c>
      <c r="CB223" s="151" t="str">
        <f t="shared" si="251"/>
        <v/>
      </c>
      <c r="CC223" s="153" t="str">
        <f t="shared" ca="1" si="252"/>
        <v/>
      </c>
      <c r="CD223" s="153" t="str">
        <f t="shared" si="253"/>
        <v/>
      </c>
      <c r="CE223" s="153" t="str">
        <f t="shared" si="254"/>
        <v/>
      </c>
      <c r="CF223" s="396" t="str">
        <f t="shared" si="255"/>
        <v/>
      </c>
      <c r="CG223" s="397" t="str">
        <f t="shared" si="256"/>
        <v/>
      </c>
      <c r="CH223" s="153" t="str">
        <f t="shared" si="257"/>
        <v/>
      </c>
      <c r="CI223" s="151" t="str">
        <f t="shared" si="258"/>
        <v/>
      </c>
      <c r="CJ223" s="151" t="str">
        <f t="shared" si="231"/>
        <v/>
      </c>
      <c r="CK223" s="153">
        <f t="shared" si="232"/>
        <v>8</v>
      </c>
      <c r="CL223" s="153">
        <f t="shared" si="233"/>
        <v>8</v>
      </c>
      <c r="CM223" s="153">
        <f t="shared" si="234"/>
        <v>8</v>
      </c>
      <c r="CN223" s="153">
        <f t="shared" si="235"/>
        <v>6</v>
      </c>
      <c r="CO223" s="153">
        <f t="shared" si="236"/>
        <v>8</v>
      </c>
      <c r="CP223" s="153">
        <f t="shared" si="237"/>
        <v>7</v>
      </c>
      <c r="CQ223" s="153">
        <f t="shared" si="238"/>
        <v>8</v>
      </c>
      <c r="CR223" s="153">
        <f t="shared" si="239"/>
        <v>8</v>
      </c>
      <c r="CS223" s="153">
        <f t="shared" si="240"/>
        <v>5</v>
      </c>
      <c r="CT223" s="153">
        <f t="shared" si="263"/>
        <v>8</v>
      </c>
      <c r="CU223" s="153">
        <f t="shared" si="264"/>
        <v>7</v>
      </c>
      <c r="CV223" s="153">
        <f t="shared" si="265"/>
        <v>7</v>
      </c>
      <c r="CW223" s="153">
        <f t="shared" si="241"/>
        <v>4</v>
      </c>
      <c r="CX223" s="153">
        <f t="shared" si="242"/>
        <v>2</v>
      </c>
      <c r="CY223" s="153">
        <f t="shared" si="243"/>
        <v>8</v>
      </c>
    </row>
    <row r="224" spans="1:103" x14ac:dyDescent="0.25">
      <c r="A224" s="7">
        <v>193</v>
      </c>
      <c r="B224" s="16">
        <v>42114</v>
      </c>
      <c r="C224" s="1">
        <v>1082440</v>
      </c>
      <c r="D224" s="542" t="s">
        <v>2479</v>
      </c>
      <c r="E224" s="1" t="str">
        <f t="shared" si="226"/>
        <v xml:space="preserve">NSO, 2305, </v>
      </c>
      <c r="F224" s="1" t="str">
        <f t="shared" si="227"/>
        <v xml:space="preserve">MDR, TOR, COE, 2x2, </v>
      </c>
      <c r="I224" s="16">
        <v>42118</v>
      </c>
      <c r="K224" s="152" t="str">
        <f t="shared" ca="1" si="199"/>
        <v>Dedlyn!</v>
      </c>
      <c r="N224" s="153" t="str">
        <f t="shared" si="229"/>
        <v/>
      </c>
      <c r="O224" s="1" t="s">
        <v>301</v>
      </c>
      <c r="Q224" s="1" t="s">
        <v>2432</v>
      </c>
      <c r="R224" s="1">
        <v>9153279512</v>
      </c>
      <c r="S224" s="153">
        <f t="shared" si="245"/>
        <v>9153279512</v>
      </c>
      <c r="T224" s="153" t="str">
        <f t="shared" si="246"/>
        <v/>
      </c>
      <c r="U224" s="1" t="s">
        <v>2527</v>
      </c>
      <c r="V224" s="1" t="s">
        <v>1840</v>
      </c>
      <c r="W224" s="1" t="s">
        <v>2430</v>
      </c>
      <c r="X224" s="1" t="s">
        <v>2431</v>
      </c>
      <c r="Y224" s="1" t="s">
        <v>73</v>
      </c>
      <c r="Z224" s="1" t="s">
        <v>70</v>
      </c>
      <c r="AA224" s="1" t="str">
        <f t="shared" si="259"/>
        <v>Php 16,000</v>
      </c>
      <c r="AC224" s="1" t="str">
        <f t="shared" si="260"/>
        <v>Php 1,000</v>
      </c>
      <c r="AD224" s="1" t="str">
        <f t="shared" si="261"/>
        <v>Php 3,000</v>
      </c>
      <c r="AH224" s="1" t="s">
        <v>52</v>
      </c>
      <c r="AI224" s="1" t="s">
        <v>253</v>
      </c>
      <c r="AJ224" s="153" t="str">
        <f t="shared" si="196"/>
        <v/>
      </c>
      <c r="AL224" s="1" t="s">
        <v>259</v>
      </c>
      <c r="AM224" s="1" t="s">
        <v>854</v>
      </c>
      <c r="AN224" s="16">
        <v>32124</v>
      </c>
      <c r="AO224" s="1" t="s">
        <v>3047</v>
      </c>
      <c r="AP224" s="1" t="s">
        <v>3047</v>
      </c>
      <c r="AQ224" s="1" t="s">
        <v>50</v>
      </c>
      <c r="AR224" s="1" t="s">
        <v>378</v>
      </c>
      <c r="AS224" s="169">
        <v>42130</v>
      </c>
      <c r="AT224" s="170">
        <v>42117</v>
      </c>
      <c r="AU224" s="170">
        <v>42117</v>
      </c>
      <c r="AV224" s="181">
        <v>42117</v>
      </c>
      <c r="AW224" s="169">
        <v>42117</v>
      </c>
      <c r="AX224" s="112" t="s">
        <v>2597</v>
      </c>
      <c r="AZ224" s="170">
        <v>42130</v>
      </c>
      <c r="BC224" s="169">
        <v>42130</v>
      </c>
      <c r="BD224" s="172" t="s">
        <v>3048</v>
      </c>
      <c r="BE224" s="169">
        <v>42130</v>
      </c>
      <c r="BF224" s="172" t="s">
        <v>3032</v>
      </c>
      <c r="BG224" s="169">
        <v>42130</v>
      </c>
      <c r="BH224" s="188" t="s">
        <v>3033</v>
      </c>
      <c r="BJ224" s="169">
        <v>42118</v>
      </c>
      <c r="BS224" s="169">
        <v>42118</v>
      </c>
      <c r="BT224" s="170">
        <v>42118</v>
      </c>
      <c r="BU224" s="181">
        <v>42118</v>
      </c>
      <c r="BV224" s="172" t="s">
        <v>2609</v>
      </c>
      <c r="BW224" s="398" t="str">
        <f t="shared" si="262"/>
        <v>1905 (for processing) 5/6/2015, 2316 (2013) - 4/24/2015</v>
      </c>
      <c r="BX224" s="398">
        <f t="shared" si="244"/>
        <v>10</v>
      </c>
      <c r="BY224" s="398">
        <f t="shared" si="230"/>
        <v>11</v>
      </c>
      <c r="BZ224" s="399">
        <f t="shared" si="250"/>
        <v>0.90909090909090906</v>
      </c>
      <c r="CA224" s="168" t="str">
        <f t="shared" si="228"/>
        <v/>
      </c>
      <c r="CB224" s="151" t="str">
        <f t="shared" si="251"/>
        <v/>
      </c>
      <c r="CC224" s="153" t="str">
        <f t="shared" ca="1" si="252"/>
        <v/>
      </c>
      <c r="CD224" s="153" t="str">
        <f t="shared" si="253"/>
        <v/>
      </c>
      <c r="CE224" s="153" t="str">
        <f t="shared" si="254"/>
        <v/>
      </c>
      <c r="CF224" s="396" t="str">
        <f t="shared" si="255"/>
        <v/>
      </c>
      <c r="CG224" s="397" t="str">
        <f t="shared" si="256"/>
        <v/>
      </c>
      <c r="CH224" s="153" t="str">
        <f t="shared" si="257"/>
        <v/>
      </c>
      <c r="CI224" s="151" t="str">
        <f t="shared" si="258"/>
        <v/>
      </c>
      <c r="CJ224" s="151" t="str">
        <f t="shared" si="231"/>
        <v/>
      </c>
      <c r="CK224" s="153">
        <f t="shared" si="232"/>
        <v>9</v>
      </c>
      <c r="CL224" s="153">
        <f t="shared" si="233"/>
        <v>9</v>
      </c>
      <c r="CM224" s="153">
        <f t="shared" si="234"/>
        <v>9</v>
      </c>
      <c r="CN224" s="153">
        <f t="shared" si="235"/>
        <v>7</v>
      </c>
      <c r="CO224" s="153">
        <f t="shared" si="236"/>
        <v>8</v>
      </c>
      <c r="CP224" s="153">
        <f t="shared" si="237"/>
        <v>8</v>
      </c>
      <c r="CQ224" s="153">
        <f t="shared" si="238"/>
        <v>9</v>
      </c>
      <c r="CR224" s="153">
        <f t="shared" si="239"/>
        <v>9</v>
      </c>
      <c r="CS224" s="153">
        <f t="shared" si="240"/>
        <v>6</v>
      </c>
      <c r="CT224" s="153">
        <f t="shared" si="263"/>
        <v>9</v>
      </c>
      <c r="CU224" s="153">
        <f t="shared" si="264"/>
        <v>8</v>
      </c>
      <c r="CV224" s="153">
        <f t="shared" si="265"/>
        <v>7</v>
      </c>
      <c r="CW224" s="153">
        <f t="shared" si="241"/>
        <v>4</v>
      </c>
      <c r="CX224" s="153">
        <f t="shared" si="242"/>
        <v>2</v>
      </c>
      <c r="CY224" s="153">
        <f t="shared" si="243"/>
        <v>9</v>
      </c>
    </row>
    <row r="225" spans="1:103" x14ac:dyDescent="0.25">
      <c r="A225" s="7">
        <v>193</v>
      </c>
      <c r="B225" s="16">
        <v>42114</v>
      </c>
      <c r="C225" s="1">
        <v>1082441</v>
      </c>
      <c r="D225" s="542" t="s">
        <v>2480</v>
      </c>
      <c r="E225" s="1" t="str">
        <f t="shared" si="226"/>
        <v xml:space="preserve">NSO, Info, AWOL, Hand, Waiver, 2305, </v>
      </c>
      <c r="F225" s="1" t="str">
        <f t="shared" si="227"/>
        <v xml:space="preserve">MDR, TOR, COE, 2x2, </v>
      </c>
      <c r="I225" s="16">
        <v>42118</v>
      </c>
      <c r="K225" s="152" t="str">
        <f t="shared" ca="1" si="199"/>
        <v>Dedlyn!</v>
      </c>
      <c r="N225" s="153" t="str">
        <f t="shared" si="229"/>
        <v/>
      </c>
      <c r="O225" s="1" t="s">
        <v>301</v>
      </c>
      <c r="Q225" s="1" t="s">
        <v>2436</v>
      </c>
      <c r="R225" s="1">
        <v>9063659631</v>
      </c>
      <c r="S225" s="153">
        <f t="shared" si="245"/>
        <v>9063659631</v>
      </c>
      <c r="T225" s="153" t="str">
        <f t="shared" si="246"/>
        <v/>
      </c>
      <c r="U225" s="1" t="s">
        <v>2528</v>
      </c>
      <c r="V225" s="1" t="s">
        <v>2435</v>
      </c>
      <c r="W225" s="1" t="s">
        <v>2433</v>
      </c>
      <c r="X225" s="1" t="s">
        <v>2434</v>
      </c>
      <c r="Y225" s="1" t="s">
        <v>73</v>
      </c>
      <c r="Z225" s="1" t="s">
        <v>70</v>
      </c>
      <c r="AA225" s="1" t="str">
        <f t="shared" si="259"/>
        <v>Php 16,000</v>
      </c>
      <c r="AC225" s="1" t="str">
        <f t="shared" si="260"/>
        <v>Php 1,000</v>
      </c>
      <c r="AD225" s="1" t="str">
        <f t="shared" si="261"/>
        <v>Php 3,000</v>
      </c>
      <c r="AH225" s="1" t="s">
        <v>52</v>
      </c>
      <c r="AI225" s="1" t="s">
        <v>253</v>
      </c>
      <c r="AJ225" s="153" t="str">
        <f t="shared" si="196"/>
        <v/>
      </c>
      <c r="AL225" s="1" t="s">
        <v>247</v>
      </c>
      <c r="AM225" s="1" t="s">
        <v>854</v>
      </c>
      <c r="AN225" s="16">
        <v>32836</v>
      </c>
      <c r="AW225" s="169">
        <v>42133</v>
      </c>
      <c r="AX225" s="112" t="s">
        <v>3120</v>
      </c>
      <c r="AZ225" s="170">
        <v>42133</v>
      </c>
      <c r="BC225" s="169">
        <v>42133</v>
      </c>
      <c r="BD225" s="172" t="s">
        <v>3121</v>
      </c>
      <c r="BE225" s="169">
        <v>42133</v>
      </c>
      <c r="BF225" s="172" t="s">
        <v>3122</v>
      </c>
      <c r="BG225" s="169">
        <v>42133</v>
      </c>
      <c r="BH225" s="188" t="s">
        <v>3119</v>
      </c>
      <c r="BJ225" s="169">
        <v>42133</v>
      </c>
      <c r="BS225" s="169">
        <v>42118</v>
      </c>
      <c r="BT225" s="170">
        <v>42118</v>
      </c>
      <c r="BU225" s="181">
        <v>42118</v>
      </c>
      <c r="BW225" s="398" t="str">
        <f t="shared" si="262"/>
        <v xml:space="preserve">1905 (for processing) 5/9/2015, </v>
      </c>
      <c r="BX225" s="398">
        <f t="shared" si="244"/>
        <v>6</v>
      </c>
      <c r="BY225" s="398">
        <f t="shared" si="230"/>
        <v>11</v>
      </c>
      <c r="BZ225" s="399">
        <f t="shared" si="250"/>
        <v>0.54545454545454541</v>
      </c>
      <c r="CA225" s="168" t="str">
        <f t="shared" si="228"/>
        <v/>
      </c>
      <c r="CB225" s="151" t="str">
        <f t="shared" si="251"/>
        <v/>
      </c>
      <c r="CC225" s="153" t="str">
        <f t="shared" ca="1" si="252"/>
        <v/>
      </c>
      <c r="CD225" s="153" t="str">
        <f t="shared" si="253"/>
        <v/>
      </c>
      <c r="CE225" s="153" t="str">
        <f t="shared" si="254"/>
        <v/>
      </c>
      <c r="CF225" s="396" t="str">
        <f t="shared" si="255"/>
        <v/>
      </c>
      <c r="CG225" s="397" t="str">
        <f t="shared" si="256"/>
        <v/>
      </c>
      <c r="CH225" s="153" t="str">
        <f t="shared" si="257"/>
        <v/>
      </c>
      <c r="CI225" s="151" t="str">
        <f t="shared" si="258"/>
        <v/>
      </c>
      <c r="CJ225" s="151" t="str">
        <f t="shared" si="231"/>
        <v/>
      </c>
      <c r="CK225" s="153">
        <f t="shared" si="232"/>
        <v>10</v>
      </c>
      <c r="CL225" s="153">
        <f t="shared" si="233"/>
        <v>10</v>
      </c>
      <c r="CM225" s="153">
        <f t="shared" si="234"/>
        <v>10</v>
      </c>
      <c r="CN225" s="153">
        <f t="shared" si="235"/>
        <v>8</v>
      </c>
      <c r="CO225" s="153">
        <f t="shared" si="236"/>
        <v>8</v>
      </c>
      <c r="CP225" s="153">
        <f t="shared" si="237"/>
        <v>8</v>
      </c>
      <c r="CQ225" s="153">
        <f t="shared" si="238"/>
        <v>9</v>
      </c>
      <c r="CR225" s="153">
        <f t="shared" si="239"/>
        <v>9</v>
      </c>
      <c r="CS225" s="153">
        <f t="shared" si="240"/>
        <v>6</v>
      </c>
      <c r="CT225" s="153">
        <f t="shared" si="263"/>
        <v>10</v>
      </c>
      <c r="CU225" s="153">
        <f t="shared" si="264"/>
        <v>9</v>
      </c>
      <c r="CV225" s="153">
        <f t="shared" si="265"/>
        <v>7</v>
      </c>
      <c r="CW225" s="153">
        <f t="shared" si="241"/>
        <v>4</v>
      </c>
      <c r="CX225" s="153">
        <f t="shared" si="242"/>
        <v>2</v>
      </c>
      <c r="CY225" s="153">
        <f t="shared" si="243"/>
        <v>10</v>
      </c>
    </row>
    <row r="226" spans="1:103" s="321" customFormat="1" x14ac:dyDescent="0.25">
      <c r="A226" s="382">
        <v>193</v>
      </c>
      <c r="B226" s="334">
        <v>42114</v>
      </c>
      <c r="C226" s="321">
        <v>1082442</v>
      </c>
      <c r="D226" s="543" t="s">
        <v>2481</v>
      </c>
      <c r="E226" s="321" t="str">
        <f t="shared" ref="E226:E232" si="266">IF(P226="(*_*)","",IF(BC226&lt;1,"SSS, ","")&amp;IF(BE226&lt;1,"HDMF, ","")&amp;IF(BG226&lt;1,"PHIC, ","")&amp;IF(BJ226&lt;1,"NBI, ","")&amp;IF(BM226&lt;1,"NSO, ","")&amp;IF(AS226&lt;1,"Info, ","")&amp;IF(AT226&lt;1,"AWOL, ","")&amp;IF(AU226&lt;1,"Hand, ","")&amp;IF(AV226&lt;1,"Waiver, ","")&amp;IF(AW226&lt;1,"TIN, ","")&amp;IF(AZ226&lt;1,"1905, ","")&amp;IF(BA226&lt;1,"2305, ",""))</f>
        <v/>
      </c>
      <c r="F226" s="321" t="str">
        <f t="shared" ref="F226:F232" si="267">IF(P226="(*_*)","",IF(BI226&lt;1,"MDR, ","")&amp;IF(BS226&lt;1,"JO, ","")&amp;IF(BT226&lt;1,"Contract, ","")&amp;IF(BU226&lt;1,"Confi, ","")&amp;IF(BQ226&lt;1,"TOR, ","")&amp;IF(BR226&lt;1,"COE, ","")&amp;IF(BP226&lt;1,"2x2, ",""))</f>
        <v xml:space="preserve">MDR, TOR, 2x2, </v>
      </c>
      <c r="K226" s="384" t="str">
        <f t="shared" ca="1" si="199"/>
        <v/>
      </c>
      <c r="N226" s="317" t="str">
        <f t="shared" si="229"/>
        <v>READY!</v>
      </c>
      <c r="O226" s="321" t="s">
        <v>302</v>
      </c>
      <c r="Q226" s="321" t="s">
        <v>2440</v>
      </c>
      <c r="R226" s="321">
        <v>9187449999</v>
      </c>
      <c r="S226" s="317">
        <f t="shared" si="245"/>
        <v>9187449999</v>
      </c>
      <c r="T226" s="317" t="str">
        <f t="shared" si="246"/>
        <v/>
      </c>
      <c r="U226" s="321" t="s">
        <v>2529</v>
      </c>
      <c r="V226" s="321" t="s">
        <v>2439</v>
      </c>
      <c r="W226" s="321" t="s">
        <v>2437</v>
      </c>
      <c r="X226" s="321" t="s">
        <v>2438</v>
      </c>
      <c r="Y226" s="321" t="s">
        <v>73</v>
      </c>
      <c r="Z226" s="321" t="s">
        <v>70</v>
      </c>
      <c r="AA226" s="321" t="str">
        <f t="shared" si="259"/>
        <v>Php 16,000</v>
      </c>
      <c r="AC226" s="321" t="str">
        <f t="shared" si="260"/>
        <v>Php 1,000</v>
      </c>
      <c r="AD226" s="321" t="str">
        <f t="shared" si="261"/>
        <v>Php 3,000</v>
      </c>
      <c r="AH226" s="321" t="s">
        <v>52</v>
      </c>
      <c r="AI226" s="321" t="s">
        <v>2441</v>
      </c>
      <c r="AJ226" s="317" t="str">
        <f t="shared" ref="AJ226:AJ289" si="268">IF(IFERROR(SEARCH("ERP",AI226),0)&gt;0,SUBSTITUTE(AI226,"ERP - ",""),"")</f>
        <v>Justin Calanog</v>
      </c>
      <c r="AL226" s="321" t="s">
        <v>282</v>
      </c>
      <c r="AM226" s="321" t="s">
        <v>854</v>
      </c>
      <c r="AN226" s="334">
        <v>33969</v>
      </c>
      <c r="AO226" s="321" t="s">
        <v>2599</v>
      </c>
      <c r="AP226" s="321" t="s">
        <v>2600</v>
      </c>
      <c r="AQ226" s="321" t="s">
        <v>50</v>
      </c>
      <c r="AR226" s="321" t="s">
        <v>378</v>
      </c>
      <c r="AS226" s="332">
        <v>42117</v>
      </c>
      <c r="AT226" s="318">
        <v>42117</v>
      </c>
      <c r="AU226" s="318">
        <v>42117</v>
      </c>
      <c r="AV226" s="329">
        <v>42119</v>
      </c>
      <c r="AW226" s="332">
        <v>42119</v>
      </c>
      <c r="AX226" s="317" t="s">
        <v>2854</v>
      </c>
      <c r="AY226" s="317"/>
      <c r="AZ226" s="318">
        <v>42119</v>
      </c>
      <c r="BA226" s="318">
        <v>42119</v>
      </c>
      <c r="BB226" s="326"/>
      <c r="BC226" s="332">
        <v>42119</v>
      </c>
      <c r="BD226" s="326" t="s">
        <v>2853</v>
      </c>
      <c r="BE226" s="332">
        <v>42117</v>
      </c>
      <c r="BF226" s="326" t="s">
        <v>2601</v>
      </c>
      <c r="BG226" s="332">
        <v>42117</v>
      </c>
      <c r="BH226" s="385" t="s">
        <v>2598</v>
      </c>
      <c r="BI226" s="326"/>
      <c r="BJ226" s="332">
        <v>42117</v>
      </c>
      <c r="BK226" s="317"/>
      <c r="BL226" s="326"/>
      <c r="BM226" s="332">
        <v>42119</v>
      </c>
      <c r="BN226" s="317"/>
      <c r="BO226" s="326"/>
      <c r="BP226" s="337"/>
      <c r="BQ226" s="317"/>
      <c r="BR226" s="329">
        <v>42117</v>
      </c>
      <c r="BS226" s="332">
        <v>42118</v>
      </c>
      <c r="BT226" s="318">
        <v>42118</v>
      </c>
      <c r="BU226" s="329">
        <v>42118</v>
      </c>
      <c r="BV226" s="326"/>
      <c r="BW226" s="536" t="str">
        <f t="shared" si="262"/>
        <v xml:space="preserve">1905 (for processing) 4/25/2015, 2305 (for processing) 4/25/2015, </v>
      </c>
      <c r="BX226" s="536">
        <f t="shared" si="244"/>
        <v>11</v>
      </c>
      <c r="BY226" s="536">
        <f t="shared" si="230"/>
        <v>11</v>
      </c>
      <c r="BZ226" s="537">
        <f t="shared" si="250"/>
        <v>1</v>
      </c>
      <c r="CA226" s="337" t="str">
        <f t="shared" ref="CA226:CA232" si="269">IF((A226-A227)=0,"",A226)</f>
        <v/>
      </c>
      <c r="CB226" s="318" t="str">
        <f t="shared" si="251"/>
        <v/>
      </c>
      <c r="CC226" s="317" t="str">
        <f t="shared" ca="1" si="252"/>
        <v/>
      </c>
      <c r="CD226" s="317" t="str">
        <f t="shared" si="253"/>
        <v/>
      </c>
      <c r="CE226" s="317" t="str">
        <f t="shared" si="254"/>
        <v/>
      </c>
      <c r="CF226" s="538" t="str">
        <f t="shared" si="255"/>
        <v/>
      </c>
      <c r="CG226" s="539" t="str">
        <f t="shared" si="256"/>
        <v/>
      </c>
      <c r="CH226" s="317" t="str">
        <f t="shared" si="257"/>
        <v/>
      </c>
      <c r="CI226" s="318" t="str">
        <f t="shared" si="258"/>
        <v/>
      </c>
      <c r="CJ226" s="318" t="str">
        <f t="shared" si="231"/>
        <v/>
      </c>
      <c r="CK226" s="317">
        <f t="shared" si="232"/>
        <v>11</v>
      </c>
      <c r="CL226" s="317">
        <f t="shared" si="233"/>
        <v>11</v>
      </c>
      <c r="CM226" s="317">
        <f t="shared" si="234"/>
        <v>11</v>
      </c>
      <c r="CN226" s="317">
        <f t="shared" si="235"/>
        <v>9</v>
      </c>
      <c r="CO226" s="317">
        <f t="shared" si="236"/>
        <v>9</v>
      </c>
      <c r="CP226" s="317">
        <f t="shared" si="237"/>
        <v>9</v>
      </c>
      <c r="CQ226" s="317">
        <f t="shared" si="238"/>
        <v>10</v>
      </c>
      <c r="CR226" s="317">
        <f t="shared" si="239"/>
        <v>10</v>
      </c>
      <c r="CS226" s="317">
        <f t="shared" si="240"/>
        <v>7</v>
      </c>
      <c r="CT226" s="317">
        <f t="shared" si="263"/>
        <v>11</v>
      </c>
      <c r="CU226" s="317">
        <f t="shared" si="264"/>
        <v>10</v>
      </c>
      <c r="CV226" s="317">
        <f t="shared" si="265"/>
        <v>8</v>
      </c>
      <c r="CW226" s="317">
        <f t="shared" si="241"/>
        <v>5</v>
      </c>
      <c r="CX226" s="317">
        <f t="shared" si="242"/>
        <v>2</v>
      </c>
      <c r="CY226" s="317">
        <f t="shared" si="243"/>
        <v>11</v>
      </c>
    </row>
    <row r="227" spans="1:103" s="321" customFormat="1" x14ac:dyDescent="0.25">
      <c r="A227" s="382">
        <v>193</v>
      </c>
      <c r="B227" s="334">
        <v>42114</v>
      </c>
      <c r="C227" s="321">
        <v>1082443</v>
      </c>
      <c r="D227" s="543" t="s">
        <v>2482</v>
      </c>
      <c r="E227" s="321" t="str">
        <f t="shared" si="266"/>
        <v/>
      </c>
      <c r="F227" s="321" t="str">
        <f t="shared" si="267"/>
        <v xml:space="preserve">COE, 2x2, </v>
      </c>
      <c r="I227" s="334">
        <v>42118</v>
      </c>
      <c r="K227" s="384" t="str">
        <f t="shared" ca="1" si="199"/>
        <v/>
      </c>
      <c r="N227" s="317" t="str">
        <f t="shared" si="229"/>
        <v>READY!</v>
      </c>
      <c r="O227" s="321" t="s">
        <v>302</v>
      </c>
      <c r="Q227" s="321" t="s">
        <v>2445</v>
      </c>
      <c r="R227" s="321">
        <v>9261931158</v>
      </c>
      <c r="S227" s="317">
        <f t="shared" si="245"/>
        <v>9261931158</v>
      </c>
      <c r="T227" s="317" t="str">
        <f t="shared" si="246"/>
        <v/>
      </c>
      <c r="U227" s="321" t="s">
        <v>2530</v>
      </c>
      <c r="V227" s="321" t="s">
        <v>2444</v>
      </c>
      <c r="W227" s="321" t="s">
        <v>2442</v>
      </c>
      <c r="X227" s="321" t="s">
        <v>2443</v>
      </c>
      <c r="Y227" s="321" t="s">
        <v>73</v>
      </c>
      <c r="Z227" s="321" t="s">
        <v>74</v>
      </c>
      <c r="AA227" s="321" t="str">
        <f t="shared" si="259"/>
        <v>Php 17,000</v>
      </c>
      <c r="AC227" s="321" t="str">
        <f t="shared" si="260"/>
        <v>Php 1,000</v>
      </c>
      <c r="AD227" s="321" t="str">
        <f t="shared" si="261"/>
        <v>Php 4,000</v>
      </c>
      <c r="AH227" s="321" t="s">
        <v>52</v>
      </c>
      <c r="AI227" s="321" t="s">
        <v>253</v>
      </c>
      <c r="AJ227" s="317" t="str">
        <f t="shared" si="268"/>
        <v/>
      </c>
      <c r="AL227" s="321" t="s">
        <v>259</v>
      </c>
      <c r="AM227" s="321" t="s">
        <v>854</v>
      </c>
      <c r="AN227" s="334">
        <v>33383</v>
      </c>
      <c r="AO227" s="321" t="s">
        <v>3134</v>
      </c>
      <c r="AP227" s="321" t="s">
        <v>3134</v>
      </c>
      <c r="AQ227" s="321" t="s">
        <v>53</v>
      </c>
      <c r="AR227" s="321" t="s">
        <v>378</v>
      </c>
      <c r="AS227" s="332">
        <v>42136</v>
      </c>
      <c r="AT227" s="318">
        <v>42117</v>
      </c>
      <c r="AU227" s="318">
        <v>42118</v>
      </c>
      <c r="AV227" s="329">
        <v>42117</v>
      </c>
      <c r="AW227" s="332">
        <v>42118</v>
      </c>
      <c r="AX227" s="317" t="s">
        <v>2632</v>
      </c>
      <c r="AY227" s="317"/>
      <c r="AZ227" s="318">
        <v>42118</v>
      </c>
      <c r="BA227" s="318">
        <v>42136</v>
      </c>
      <c r="BB227" s="326"/>
      <c r="BC227" s="332">
        <v>42122</v>
      </c>
      <c r="BD227" s="326" t="s">
        <v>2764</v>
      </c>
      <c r="BE227" s="332">
        <v>42130</v>
      </c>
      <c r="BF227" s="326" t="s">
        <v>3072</v>
      </c>
      <c r="BG227" s="332">
        <v>42122</v>
      </c>
      <c r="BH227" s="385" t="s">
        <v>2763</v>
      </c>
      <c r="BI227" s="329">
        <v>42130</v>
      </c>
      <c r="BJ227" s="332">
        <v>42136</v>
      </c>
      <c r="BK227" s="317"/>
      <c r="BL227" s="326"/>
      <c r="BM227" s="332">
        <v>42118</v>
      </c>
      <c r="BN227" s="317"/>
      <c r="BO227" s="326"/>
      <c r="BP227" s="337"/>
      <c r="BQ227" s="318">
        <v>42122</v>
      </c>
      <c r="BR227" s="326"/>
      <c r="BS227" s="332">
        <v>42118</v>
      </c>
      <c r="BT227" s="318">
        <v>42118</v>
      </c>
      <c r="BU227" s="329">
        <v>42118</v>
      </c>
      <c r="BV227" s="326" t="s">
        <v>2625</v>
      </c>
      <c r="BW227" s="536" t="str">
        <f t="shared" si="262"/>
        <v>1905 (for processing) 4/24/2015, 2305 (for processing) 5/12/2015, MDR 5/6/2015, 2316 (2014) - 4/24/2015</v>
      </c>
      <c r="BX227" s="536">
        <f t="shared" si="244"/>
        <v>11</v>
      </c>
      <c r="BY227" s="536">
        <f t="shared" si="230"/>
        <v>11</v>
      </c>
      <c r="BZ227" s="537">
        <f t="shared" si="250"/>
        <v>1</v>
      </c>
      <c r="CA227" s="337" t="str">
        <f t="shared" si="269"/>
        <v/>
      </c>
      <c r="CB227" s="318" t="str">
        <f t="shared" si="251"/>
        <v/>
      </c>
      <c r="CC227" s="317" t="str">
        <f t="shared" ca="1" si="252"/>
        <v/>
      </c>
      <c r="CD227" s="317" t="str">
        <f t="shared" si="253"/>
        <v/>
      </c>
      <c r="CE227" s="317" t="str">
        <f t="shared" si="254"/>
        <v/>
      </c>
      <c r="CF227" s="538" t="str">
        <f t="shared" si="255"/>
        <v/>
      </c>
      <c r="CG227" s="539" t="str">
        <f t="shared" si="256"/>
        <v/>
      </c>
      <c r="CH227" s="317" t="str">
        <f t="shared" si="257"/>
        <v/>
      </c>
      <c r="CI227" s="318" t="str">
        <f t="shared" si="258"/>
        <v/>
      </c>
      <c r="CJ227" s="318" t="str">
        <f t="shared" si="231"/>
        <v/>
      </c>
      <c r="CK227" s="317">
        <f t="shared" si="232"/>
        <v>12</v>
      </c>
      <c r="CL227" s="317">
        <f t="shared" si="233"/>
        <v>12</v>
      </c>
      <c r="CM227" s="317">
        <f t="shared" si="234"/>
        <v>12</v>
      </c>
      <c r="CN227" s="317">
        <f t="shared" si="235"/>
        <v>10</v>
      </c>
      <c r="CO227" s="317">
        <f t="shared" si="236"/>
        <v>10</v>
      </c>
      <c r="CP227" s="317">
        <f t="shared" si="237"/>
        <v>10</v>
      </c>
      <c r="CQ227" s="317">
        <f t="shared" si="238"/>
        <v>11</v>
      </c>
      <c r="CR227" s="317">
        <f t="shared" si="239"/>
        <v>11</v>
      </c>
      <c r="CS227" s="317">
        <f t="shared" si="240"/>
        <v>8</v>
      </c>
      <c r="CT227" s="317">
        <f t="shared" si="263"/>
        <v>12</v>
      </c>
      <c r="CU227" s="317">
        <f t="shared" si="264"/>
        <v>11</v>
      </c>
      <c r="CV227" s="317">
        <f t="shared" si="265"/>
        <v>9</v>
      </c>
      <c r="CW227" s="317">
        <f t="shared" si="241"/>
        <v>6</v>
      </c>
      <c r="CX227" s="317">
        <f t="shared" si="242"/>
        <v>2</v>
      </c>
      <c r="CY227" s="317">
        <f t="shared" si="243"/>
        <v>12</v>
      </c>
    </row>
    <row r="228" spans="1:103" s="321" customFormat="1" x14ac:dyDescent="0.25">
      <c r="A228" s="382">
        <v>193</v>
      </c>
      <c r="B228" s="334">
        <v>42114</v>
      </c>
      <c r="C228" s="321">
        <v>1082444</v>
      </c>
      <c r="D228" s="543" t="s">
        <v>2483</v>
      </c>
      <c r="E228" s="321" t="str">
        <f t="shared" si="266"/>
        <v/>
      </c>
      <c r="F228" s="321" t="str">
        <f t="shared" si="267"/>
        <v xml:space="preserve">MDR, COE, 2x2, </v>
      </c>
      <c r="I228" s="334">
        <v>42118</v>
      </c>
      <c r="K228" s="384" t="str">
        <f t="shared" ca="1" si="199"/>
        <v/>
      </c>
      <c r="N228" s="317" t="str">
        <f t="shared" si="229"/>
        <v>READY!</v>
      </c>
      <c r="O228" s="321" t="s">
        <v>302</v>
      </c>
      <c r="Q228" s="321" t="s">
        <v>2449</v>
      </c>
      <c r="R228" s="321">
        <v>9215496974</v>
      </c>
      <c r="S228" s="317">
        <f t="shared" si="245"/>
        <v>9215496974</v>
      </c>
      <c r="T228" s="317" t="str">
        <f t="shared" si="246"/>
        <v/>
      </c>
      <c r="U228" s="321" t="s">
        <v>2531</v>
      </c>
      <c r="V228" s="321" t="s">
        <v>2448</v>
      </c>
      <c r="W228" s="321" t="s">
        <v>2446</v>
      </c>
      <c r="X228" s="321" t="s">
        <v>2447</v>
      </c>
      <c r="Y228" s="321" t="s">
        <v>73</v>
      </c>
      <c r="Z228" s="321" t="s">
        <v>70</v>
      </c>
      <c r="AA228" s="321" t="str">
        <f t="shared" si="259"/>
        <v>Php 16,000</v>
      </c>
      <c r="AC228" s="321" t="str">
        <f t="shared" si="260"/>
        <v>Php 1,000</v>
      </c>
      <c r="AD228" s="321" t="str">
        <f t="shared" si="261"/>
        <v>Php 3,000</v>
      </c>
      <c r="AH228" s="321" t="s">
        <v>52</v>
      </c>
      <c r="AI228" s="321" t="s">
        <v>264</v>
      </c>
      <c r="AJ228" s="317" t="str">
        <f t="shared" si="268"/>
        <v/>
      </c>
      <c r="AL228" s="321" t="s">
        <v>265</v>
      </c>
      <c r="AM228" s="321" t="s">
        <v>854</v>
      </c>
      <c r="AN228" s="334">
        <v>31566</v>
      </c>
      <c r="AO228" s="321" t="s">
        <v>2633</v>
      </c>
      <c r="AP228" s="321" t="s">
        <v>2634</v>
      </c>
      <c r="AQ228" s="321" t="s">
        <v>53</v>
      </c>
      <c r="AR228" s="321" t="s">
        <v>378</v>
      </c>
      <c r="AS228" s="332">
        <v>42118</v>
      </c>
      <c r="AT228" s="318">
        <v>42118</v>
      </c>
      <c r="AU228" s="318">
        <v>42118</v>
      </c>
      <c r="AV228" s="329">
        <v>42132</v>
      </c>
      <c r="AW228" s="332">
        <v>42131</v>
      </c>
      <c r="AX228" s="317" t="s">
        <v>3083</v>
      </c>
      <c r="AY228" s="317"/>
      <c r="AZ228" s="318">
        <v>42131</v>
      </c>
      <c r="BA228" s="318">
        <v>42132</v>
      </c>
      <c r="BB228" s="326"/>
      <c r="BC228" s="332">
        <v>42131</v>
      </c>
      <c r="BD228" s="326" t="s">
        <v>3082</v>
      </c>
      <c r="BE228" s="332">
        <v>42131</v>
      </c>
      <c r="BF228" s="326" t="s">
        <v>3080</v>
      </c>
      <c r="BG228" s="332">
        <v>42131</v>
      </c>
      <c r="BH228" s="385" t="s">
        <v>3081</v>
      </c>
      <c r="BI228" s="326"/>
      <c r="BJ228" s="332">
        <v>42118</v>
      </c>
      <c r="BK228" s="317"/>
      <c r="BL228" s="326"/>
      <c r="BM228" s="332">
        <v>42118</v>
      </c>
      <c r="BN228" s="317"/>
      <c r="BO228" s="326"/>
      <c r="BP228" s="337"/>
      <c r="BQ228" s="318">
        <v>42118</v>
      </c>
      <c r="BR228" s="326"/>
      <c r="BS228" s="332">
        <v>42118</v>
      </c>
      <c r="BT228" s="318">
        <v>42118</v>
      </c>
      <c r="BU228" s="329">
        <v>42118</v>
      </c>
      <c r="BV228" s="326"/>
      <c r="BW228" s="536" t="str">
        <f t="shared" si="262"/>
        <v xml:space="preserve">1905 (for processing) 5/7/2015, 2305 (for processing) 5/8/2015, </v>
      </c>
      <c r="BX228" s="536">
        <f t="shared" si="244"/>
        <v>11</v>
      </c>
      <c r="BY228" s="536">
        <f t="shared" si="230"/>
        <v>11</v>
      </c>
      <c r="BZ228" s="537">
        <f t="shared" si="250"/>
        <v>1</v>
      </c>
      <c r="CA228" s="337" t="str">
        <f t="shared" si="269"/>
        <v/>
      </c>
      <c r="CB228" s="318" t="str">
        <f t="shared" si="251"/>
        <v/>
      </c>
      <c r="CC228" s="317" t="str">
        <f t="shared" ca="1" si="252"/>
        <v/>
      </c>
      <c r="CD228" s="317" t="str">
        <f t="shared" si="253"/>
        <v/>
      </c>
      <c r="CE228" s="317" t="str">
        <f t="shared" si="254"/>
        <v/>
      </c>
      <c r="CF228" s="538" t="str">
        <f t="shared" si="255"/>
        <v/>
      </c>
      <c r="CG228" s="539" t="str">
        <f t="shared" si="256"/>
        <v/>
      </c>
      <c r="CH228" s="317" t="str">
        <f t="shared" si="257"/>
        <v/>
      </c>
      <c r="CI228" s="318" t="str">
        <f t="shared" si="258"/>
        <v/>
      </c>
      <c r="CJ228" s="318" t="str">
        <f t="shared" si="231"/>
        <v/>
      </c>
      <c r="CK228" s="317">
        <f t="shared" si="232"/>
        <v>13</v>
      </c>
      <c r="CL228" s="317">
        <f t="shared" si="233"/>
        <v>13</v>
      </c>
      <c r="CM228" s="317">
        <f t="shared" si="234"/>
        <v>13</v>
      </c>
      <c r="CN228" s="317">
        <f t="shared" si="235"/>
        <v>11</v>
      </c>
      <c r="CO228" s="317">
        <f t="shared" si="236"/>
        <v>11</v>
      </c>
      <c r="CP228" s="317">
        <f t="shared" si="237"/>
        <v>11</v>
      </c>
      <c r="CQ228" s="317">
        <f t="shared" si="238"/>
        <v>12</v>
      </c>
      <c r="CR228" s="317">
        <f t="shared" si="239"/>
        <v>12</v>
      </c>
      <c r="CS228" s="317">
        <f t="shared" si="240"/>
        <v>9</v>
      </c>
      <c r="CT228" s="317">
        <f t="shared" si="263"/>
        <v>13</v>
      </c>
      <c r="CU228" s="317">
        <f t="shared" si="264"/>
        <v>12</v>
      </c>
      <c r="CV228" s="317">
        <f t="shared" si="265"/>
        <v>10</v>
      </c>
      <c r="CW228" s="317">
        <f t="shared" si="241"/>
        <v>7</v>
      </c>
      <c r="CX228" s="317">
        <f t="shared" si="242"/>
        <v>2</v>
      </c>
      <c r="CY228" s="317">
        <f t="shared" si="243"/>
        <v>13</v>
      </c>
    </row>
    <row r="229" spans="1:103" x14ac:dyDescent="0.25">
      <c r="A229" s="7">
        <v>193</v>
      </c>
      <c r="B229" s="16">
        <v>42114</v>
      </c>
      <c r="C229" s="1">
        <v>1082445</v>
      </c>
      <c r="D229" s="542" t="s">
        <v>2484</v>
      </c>
      <c r="E229" s="1" t="str">
        <f t="shared" si="266"/>
        <v xml:space="preserve">SSS, NBI, Info, Hand, 1905, 2305, </v>
      </c>
      <c r="F229" s="1" t="str">
        <f t="shared" si="267"/>
        <v xml:space="preserve">MDR, </v>
      </c>
      <c r="I229" s="16">
        <v>42118</v>
      </c>
      <c r="K229" s="152" t="str">
        <f t="shared" ca="1" si="199"/>
        <v>Dedlyn!</v>
      </c>
      <c r="N229" s="153" t="str">
        <f t="shared" si="229"/>
        <v/>
      </c>
      <c r="O229" s="1" t="s">
        <v>301</v>
      </c>
      <c r="Q229" s="1" t="s">
        <v>2453</v>
      </c>
      <c r="R229" s="1">
        <v>9176101871</v>
      </c>
      <c r="S229" s="153">
        <f t="shared" si="245"/>
        <v>9176101871</v>
      </c>
      <c r="T229" s="153" t="str">
        <f t="shared" si="246"/>
        <v/>
      </c>
      <c r="U229" s="1" t="s">
        <v>2532</v>
      </c>
      <c r="V229" s="1" t="s">
        <v>2452</v>
      </c>
      <c r="W229" s="1" t="s">
        <v>2450</v>
      </c>
      <c r="X229" s="1" t="s">
        <v>2451</v>
      </c>
      <c r="Y229" s="1" t="s">
        <v>73</v>
      </c>
      <c r="Z229" s="1" t="s">
        <v>74</v>
      </c>
      <c r="AA229" s="1" t="str">
        <f t="shared" si="259"/>
        <v>Php 17,000</v>
      </c>
      <c r="AC229" s="1" t="str">
        <f t="shared" si="260"/>
        <v>Php 1,000</v>
      </c>
      <c r="AD229" s="1" t="str">
        <f t="shared" si="261"/>
        <v>Php 4,000</v>
      </c>
      <c r="AH229" s="1" t="s">
        <v>52</v>
      </c>
      <c r="AI229" s="1" t="s">
        <v>253</v>
      </c>
      <c r="AJ229" s="153" t="str">
        <f t="shared" si="268"/>
        <v/>
      </c>
      <c r="AL229" s="1" t="s">
        <v>247</v>
      </c>
      <c r="AM229" s="1" t="s">
        <v>854</v>
      </c>
      <c r="AN229" s="16">
        <v>32852</v>
      </c>
      <c r="AT229" s="170">
        <v>42136</v>
      </c>
      <c r="AU229" s="170"/>
      <c r="AV229" s="181">
        <v>42136</v>
      </c>
      <c r="AW229" s="169">
        <v>42118</v>
      </c>
      <c r="AX229" s="112" t="s">
        <v>2626</v>
      </c>
      <c r="BC229" s="169"/>
      <c r="BE229" s="169">
        <v>42136</v>
      </c>
      <c r="BF229" s="172" t="s">
        <v>3272</v>
      </c>
      <c r="BG229" s="169">
        <v>42133</v>
      </c>
      <c r="BH229" s="188" t="s">
        <v>3131</v>
      </c>
      <c r="BI229" s="181"/>
      <c r="BM229" s="169">
        <v>42120</v>
      </c>
      <c r="BP229" s="169">
        <v>42118</v>
      </c>
      <c r="BQ229" s="170">
        <v>42136</v>
      </c>
      <c r="BR229" s="181">
        <v>42118</v>
      </c>
      <c r="BS229" s="169">
        <v>42118</v>
      </c>
      <c r="BT229" s="170">
        <v>42118</v>
      </c>
      <c r="BU229" s="181">
        <v>42118</v>
      </c>
      <c r="BV229" s="172" t="s">
        <v>2762</v>
      </c>
      <c r="BW229" s="398" t="str">
        <f t="shared" si="262"/>
        <v>2316 (2014) - 4/24/2015, Police Clearance - 04/27/2015</v>
      </c>
      <c r="BX229" s="398">
        <f t="shared" si="244"/>
        <v>6</v>
      </c>
      <c r="BY229" s="398">
        <f t="shared" si="230"/>
        <v>11</v>
      </c>
      <c r="BZ229" s="399">
        <f t="shared" si="250"/>
        <v>0.54545454545454541</v>
      </c>
      <c r="CA229" s="168" t="str">
        <f t="shared" si="269"/>
        <v/>
      </c>
      <c r="CB229" s="151" t="str">
        <f t="shared" si="251"/>
        <v/>
      </c>
      <c r="CC229" s="153" t="str">
        <f t="shared" ca="1" si="252"/>
        <v/>
      </c>
      <c r="CD229" s="153" t="str">
        <f t="shared" si="253"/>
        <v/>
      </c>
      <c r="CE229" s="153" t="str">
        <f t="shared" si="254"/>
        <v/>
      </c>
      <c r="CF229" s="396" t="str">
        <f t="shared" si="255"/>
        <v/>
      </c>
      <c r="CG229" s="397" t="str">
        <f t="shared" si="256"/>
        <v/>
      </c>
      <c r="CH229" s="153" t="str">
        <f t="shared" si="257"/>
        <v/>
      </c>
      <c r="CI229" s="151" t="str">
        <f t="shared" si="258"/>
        <v/>
      </c>
      <c r="CJ229" s="151" t="str">
        <f t="shared" si="231"/>
        <v/>
      </c>
      <c r="CK229" s="153">
        <f t="shared" si="232"/>
        <v>13</v>
      </c>
      <c r="CL229" s="153">
        <f t="shared" si="233"/>
        <v>14</v>
      </c>
      <c r="CM229" s="153">
        <f t="shared" si="234"/>
        <v>14</v>
      </c>
      <c r="CN229" s="153">
        <f t="shared" si="235"/>
        <v>11</v>
      </c>
      <c r="CO229" s="153">
        <f t="shared" si="236"/>
        <v>12</v>
      </c>
      <c r="CP229" s="153">
        <f t="shared" si="237"/>
        <v>11</v>
      </c>
      <c r="CQ229" s="153">
        <f t="shared" si="238"/>
        <v>13</v>
      </c>
      <c r="CR229" s="153">
        <f t="shared" si="239"/>
        <v>12</v>
      </c>
      <c r="CS229" s="153">
        <f t="shared" si="240"/>
        <v>10</v>
      </c>
      <c r="CT229" s="153">
        <f t="shared" si="263"/>
        <v>14</v>
      </c>
      <c r="CU229" s="153">
        <f t="shared" si="264"/>
        <v>12</v>
      </c>
      <c r="CV229" s="153">
        <f t="shared" si="265"/>
        <v>10</v>
      </c>
      <c r="CW229" s="153">
        <f t="shared" si="241"/>
        <v>7</v>
      </c>
      <c r="CX229" s="153">
        <f t="shared" si="242"/>
        <v>2</v>
      </c>
      <c r="CY229" s="153">
        <f t="shared" si="243"/>
        <v>14</v>
      </c>
    </row>
    <row r="230" spans="1:103" s="8" customFormat="1" x14ac:dyDescent="0.25">
      <c r="A230" s="133">
        <v>193</v>
      </c>
      <c r="B230" s="20">
        <v>42114</v>
      </c>
      <c r="C230" s="8">
        <v>1082446</v>
      </c>
      <c r="D230" s="541" t="s">
        <v>2485</v>
      </c>
      <c r="E230" s="8" t="str">
        <f t="shared" si="266"/>
        <v/>
      </c>
      <c r="F230" s="8" t="str">
        <f t="shared" si="267"/>
        <v/>
      </c>
      <c r="I230" s="20">
        <v>42118</v>
      </c>
      <c r="K230" s="132" t="str">
        <f t="shared" ca="1" si="199"/>
        <v/>
      </c>
      <c r="N230" s="113" t="str">
        <f t="shared" si="229"/>
        <v/>
      </c>
      <c r="O230" s="8" t="s">
        <v>298</v>
      </c>
      <c r="P230" s="8" t="s">
        <v>689</v>
      </c>
      <c r="Q230" s="8" t="s">
        <v>2457</v>
      </c>
      <c r="R230" s="8">
        <v>9165025438</v>
      </c>
      <c r="S230" s="113">
        <f t="shared" si="245"/>
        <v>9165025438</v>
      </c>
      <c r="T230" s="113" t="str">
        <f t="shared" si="246"/>
        <v/>
      </c>
      <c r="U230" s="8" t="s">
        <v>2533</v>
      </c>
      <c r="V230" s="8" t="s">
        <v>2456</v>
      </c>
      <c r="W230" s="8" t="s">
        <v>2454</v>
      </c>
      <c r="X230" s="8" t="s">
        <v>2455</v>
      </c>
      <c r="Y230" s="8" t="s">
        <v>73</v>
      </c>
      <c r="Z230" s="8" t="s">
        <v>74</v>
      </c>
      <c r="AA230" s="8" t="str">
        <f t="shared" si="259"/>
        <v>Php 17,000</v>
      </c>
      <c r="AC230" s="8" t="str">
        <f t="shared" si="260"/>
        <v>Php 1,000</v>
      </c>
      <c r="AD230" s="8" t="str">
        <f t="shared" si="261"/>
        <v>Php 4,000</v>
      </c>
      <c r="AH230" s="8" t="s">
        <v>52</v>
      </c>
      <c r="AI230" s="8" t="s">
        <v>253</v>
      </c>
      <c r="AJ230" s="113" t="str">
        <f t="shared" si="268"/>
        <v/>
      </c>
      <c r="AL230" s="8" t="s">
        <v>247</v>
      </c>
      <c r="AM230" s="8" t="s">
        <v>854</v>
      </c>
      <c r="AN230" s="20">
        <v>32833</v>
      </c>
      <c r="AS230" s="165"/>
      <c r="AT230" s="113"/>
      <c r="AU230" s="113"/>
      <c r="AV230" s="182"/>
      <c r="AW230" s="187"/>
      <c r="AX230" s="113"/>
      <c r="AY230" s="113"/>
      <c r="AZ230" s="113"/>
      <c r="BA230" s="113"/>
      <c r="BB230" s="182"/>
      <c r="BC230" s="165"/>
      <c r="BD230" s="182"/>
      <c r="BE230" s="165"/>
      <c r="BF230" s="182"/>
      <c r="BG230" s="165"/>
      <c r="BH230" s="274"/>
      <c r="BI230" s="182"/>
      <c r="BJ230" s="165"/>
      <c r="BK230" s="113"/>
      <c r="BL230" s="182"/>
      <c r="BM230" s="165"/>
      <c r="BN230" s="113"/>
      <c r="BO230" s="182"/>
      <c r="BP230" s="165"/>
      <c r="BQ230" s="113"/>
      <c r="BR230" s="182"/>
      <c r="BS230" s="187">
        <v>42118</v>
      </c>
      <c r="BT230" s="129">
        <v>42118</v>
      </c>
      <c r="BU230" s="177">
        <v>42118</v>
      </c>
      <c r="BV230" s="182"/>
      <c r="BW230" s="532" t="str">
        <f t="shared" si="262"/>
        <v/>
      </c>
      <c r="BX230" s="532" t="str">
        <f t="shared" si="244"/>
        <v/>
      </c>
      <c r="BY230" s="532" t="str">
        <f t="shared" si="230"/>
        <v/>
      </c>
      <c r="BZ230" s="533" t="str">
        <f t="shared" si="250"/>
        <v/>
      </c>
      <c r="CA230" s="165" t="str">
        <f t="shared" si="269"/>
        <v/>
      </c>
      <c r="CB230" s="129" t="str">
        <f t="shared" si="251"/>
        <v/>
      </c>
      <c r="CC230" s="113" t="str">
        <f t="shared" ca="1" si="252"/>
        <v/>
      </c>
      <c r="CD230" s="113" t="str">
        <f t="shared" si="253"/>
        <v/>
      </c>
      <c r="CE230" s="113" t="str">
        <f t="shared" si="254"/>
        <v/>
      </c>
      <c r="CF230" s="534" t="str">
        <f t="shared" si="255"/>
        <v/>
      </c>
      <c r="CG230" s="535" t="str">
        <f t="shared" si="256"/>
        <v/>
      </c>
      <c r="CH230" s="113" t="str">
        <f t="shared" si="257"/>
        <v/>
      </c>
      <c r="CI230" s="129" t="str">
        <f t="shared" si="258"/>
        <v/>
      </c>
      <c r="CJ230" s="129" t="str">
        <f t="shared" si="231"/>
        <v/>
      </c>
      <c r="CK230" s="113">
        <f t="shared" si="232"/>
        <v>13</v>
      </c>
      <c r="CL230" s="113">
        <f t="shared" si="233"/>
        <v>14</v>
      </c>
      <c r="CM230" s="113">
        <f t="shared" si="234"/>
        <v>14</v>
      </c>
      <c r="CN230" s="113">
        <f t="shared" si="235"/>
        <v>11</v>
      </c>
      <c r="CO230" s="113">
        <f t="shared" si="236"/>
        <v>12</v>
      </c>
      <c r="CP230" s="113">
        <f t="shared" si="237"/>
        <v>11</v>
      </c>
      <c r="CQ230" s="113">
        <f t="shared" si="238"/>
        <v>13</v>
      </c>
      <c r="CR230" s="113">
        <f t="shared" si="239"/>
        <v>12</v>
      </c>
      <c r="CS230" s="113">
        <f t="shared" si="240"/>
        <v>10</v>
      </c>
      <c r="CT230" s="113">
        <f t="shared" si="263"/>
        <v>14</v>
      </c>
      <c r="CU230" s="113">
        <f t="shared" si="264"/>
        <v>12</v>
      </c>
      <c r="CV230" s="113">
        <f t="shared" si="265"/>
        <v>10</v>
      </c>
      <c r="CW230" s="113">
        <f t="shared" si="241"/>
        <v>7</v>
      </c>
      <c r="CX230" s="113">
        <f t="shared" si="242"/>
        <v>3</v>
      </c>
      <c r="CY230" s="113">
        <f t="shared" si="243"/>
        <v>14</v>
      </c>
    </row>
    <row r="231" spans="1:103" x14ac:dyDescent="0.25">
      <c r="A231" s="7">
        <v>193</v>
      </c>
      <c r="B231" s="16">
        <v>42114</v>
      </c>
      <c r="C231" s="1">
        <v>1082447</v>
      </c>
      <c r="D231" s="542" t="s">
        <v>2486</v>
      </c>
      <c r="E231" s="1" t="str">
        <f t="shared" si="266"/>
        <v xml:space="preserve">2305, </v>
      </c>
      <c r="F231" s="1" t="str">
        <f t="shared" si="267"/>
        <v xml:space="preserve">MDR, TOR, COE, 2x2, </v>
      </c>
      <c r="I231" s="16">
        <v>42118</v>
      </c>
      <c r="K231" s="152" t="str">
        <f t="shared" ca="1" si="199"/>
        <v>Dedlyn!</v>
      </c>
      <c r="N231" s="153" t="str">
        <f t="shared" si="229"/>
        <v/>
      </c>
      <c r="O231" s="1" t="s">
        <v>301</v>
      </c>
      <c r="Q231" s="1" t="s">
        <v>2460</v>
      </c>
      <c r="R231" s="1">
        <v>9067217662</v>
      </c>
      <c r="S231" s="153">
        <f t="shared" si="245"/>
        <v>9067217662</v>
      </c>
      <c r="T231" s="153" t="str">
        <f t="shared" si="246"/>
        <v/>
      </c>
      <c r="U231" s="1" t="s">
        <v>2534</v>
      </c>
      <c r="V231" s="1" t="s">
        <v>2459</v>
      </c>
      <c r="W231" s="1" t="s">
        <v>2458</v>
      </c>
      <c r="X231" s="1" t="s">
        <v>1274</v>
      </c>
      <c r="Y231" s="1" t="s">
        <v>73</v>
      </c>
      <c r="Z231" s="1" t="s">
        <v>74</v>
      </c>
      <c r="AA231" s="1" t="str">
        <f t="shared" si="259"/>
        <v>Php 17,000</v>
      </c>
      <c r="AC231" s="1" t="str">
        <f t="shared" si="260"/>
        <v>Php 1,000</v>
      </c>
      <c r="AD231" s="1" t="str">
        <f t="shared" si="261"/>
        <v>Php 4,000</v>
      </c>
      <c r="AH231" s="1" t="s">
        <v>52</v>
      </c>
      <c r="AI231" s="1" t="s">
        <v>253</v>
      </c>
      <c r="AJ231" s="153" t="str">
        <f t="shared" si="268"/>
        <v/>
      </c>
      <c r="AL231" s="1" t="s">
        <v>265</v>
      </c>
      <c r="AM231" s="1" t="s">
        <v>854</v>
      </c>
      <c r="AN231" s="16">
        <v>31351</v>
      </c>
      <c r="AO231" s="1" t="s">
        <v>2832</v>
      </c>
      <c r="AP231" s="1" t="s">
        <v>2832</v>
      </c>
      <c r="AQ231" s="1" t="s">
        <v>50</v>
      </c>
      <c r="AR231" s="1" t="s">
        <v>378</v>
      </c>
      <c r="AS231" s="169">
        <v>42125</v>
      </c>
      <c r="AT231" s="170">
        <v>42125</v>
      </c>
      <c r="AU231" s="170">
        <v>42125</v>
      </c>
      <c r="AV231" s="181">
        <v>42125</v>
      </c>
      <c r="AW231" s="169">
        <v>42125</v>
      </c>
      <c r="AX231" s="112" t="s">
        <v>2834</v>
      </c>
      <c r="AZ231" s="112">
        <v>1</v>
      </c>
      <c r="BC231" s="169">
        <v>42125</v>
      </c>
      <c r="BD231" s="172" t="s">
        <v>2833</v>
      </c>
      <c r="BE231" s="169">
        <v>42125</v>
      </c>
      <c r="BF231" s="172" t="s">
        <v>2835</v>
      </c>
      <c r="BG231" s="169">
        <v>42125</v>
      </c>
      <c r="BH231" s="188" t="s">
        <v>2836</v>
      </c>
      <c r="BJ231" s="169">
        <v>42125</v>
      </c>
      <c r="BM231" s="169">
        <v>42125</v>
      </c>
      <c r="BS231" s="169">
        <v>42118</v>
      </c>
      <c r="BT231" s="170">
        <v>42118</v>
      </c>
      <c r="BU231" s="181">
        <v>42118</v>
      </c>
      <c r="BW231" s="398" t="str">
        <f t="shared" si="262"/>
        <v/>
      </c>
      <c r="BX231" s="398">
        <f t="shared" si="244"/>
        <v>11</v>
      </c>
      <c r="BY231" s="398">
        <f t="shared" si="230"/>
        <v>11</v>
      </c>
      <c r="BZ231" s="399">
        <f t="shared" si="250"/>
        <v>1</v>
      </c>
      <c r="CA231" s="168" t="str">
        <f t="shared" si="269"/>
        <v/>
      </c>
      <c r="CB231" s="151" t="str">
        <f t="shared" si="251"/>
        <v/>
      </c>
      <c r="CC231" s="153" t="str">
        <f t="shared" ca="1" si="252"/>
        <v/>
      </c>
      <c r="CD231" s="153" t="str">
        <f t="shared" si="253"/>
        <v/>
      </c>
      <c r="CE231" s="153" t="str">
        <f t="shared" si="254"/>
        <v/>
      </c>
      <c r="CF231" s="396" t="str">
        <f t="shared" si="255"/>
        <v/>
      </c>
      <c r="CG231" s="397" t="str">
        <f t="shared" si="256"/>
        <v/>
      </c>
      <c r="CH231" s="153" t="str">
        <f t="shared" si="257"/>
        <v/>
      </c>
      <c r="CI231" s="151" t="str">
        <f t="shared" si="258"/>
        <v/>
      </c>
      <c r="CJ231" s="151" t="str">
        <f t="shared" si="231"/>
        <v/>
      </c>
      <c r="CK231" s="153">
        <f t="shared" si="232"/>
        <v>14</v>
      </c>
      <c r="CL231" s="153">
        <f t="shared" si="233"/>
        <v>15</v>
      </c>
      <c r="CM231" s="153">
        <f t="shared" si="234"/>
        <v>15</v>
      </c>
      <c r="CN231" s="153">
        <f t="shared" si="235"/>
        <v>12</v>
      </c>
      <c r="CO231" s="153">
        <f t="shared" si="236"/>
        <v>13</v>
      </c>
      <c r="CP231" s="153">
        <f t="shared" si="237"/>
        <v>12</v>
      </c>
      <c r="CQ231" s="153">
        <f t="shared" si="238"/>
        <v>14</v>
      </c>
      <c r="CR231" s="153">
        <f t="shared" si="239"/>
        <v>13</v>
      </c>
      <c r="CS231" s="153">
        <f t="shared" si="240"/>
        <v>11</v>
      </c>
      <c r="CT231" s="153">
        <f t="shared" si="263"/>
        <v>15</v>
      </c>
      <c r="CU231" s="153">
        <f t="shared" si="264"/>
        <v>13</v>
      </c>
      <c r="CV231" s="153">
        <f t="shared" si="265"/>
        <v>10</v>
      </c>
      <c r="CW231" s="153">
        <f t="shared" si="241"/>
        <v>7</v>
      </c>
      <c r="CX231" s="153">
        <f t="shared" si="242"/>
        <v>3</v>
      </c>
      <c r="CY231" s="153">
        <f t="shared" si="243"/>
        <v>15</v>
      </c>
    </row>
    <row r="232" spans="1:103" s="343" customFormat="1" ht="15.75" thickBot="1" x14ac:dyDescent="0.3">
      <c r="A232" s="391">
        <v>193</v>
      </c>
      <c r="B232" s="344">
        <v>42114</v>
      </c>
      <c r="C232" s="343">
        <v>1082448</v>
      </c>
      <c r="D232" s="554" t="s">
        <v>2487</v>
      </c>
      <c r="E232" s="343" t="str">
        <f t="shared" si="266"/>
        <v/>
      </c>
      <c r="F232" s="343" t="str">
        <f t="shared" si="267"/>
        <v xml:space="preserve">Contract, </v>
      </c>
      <c r="I232" s="344">
        <v>42114</v>
      </c>
      <c r="K232" s="391" t="str">
        <f t="shared" ca="1" si="199"/>
        <v/>
      </c>
      <c r="N232" s="343" t="str">
        <f t="shared" si="229"/>
        <v>READY!</v>
      </c>
      <c r="O232" s="343" t="s">
        <v>302</v>
      </c>
      <c r="Q232" s="228" t="s">
        <v>2468</v>
      </c>
      <c r="R232" s="228">
        <v>9088149638</v>
      </c>
      <c r="S232" s="487">
        <f t="shared" si="245"/>
        <v>9088149638</v>
      </c>
      <c r="T232" s="487" t="str">
        <f t="shared" si="246"/>
        <v/>
      </c>
      <c r="U232" s="228" t="s">
        <v>2535</v>
      </c>
      <c r="V232" s="228" t="s">
        <v>2467</v>
      </c>
      <c r="W232" s="228" t="s">
        <v>2465</v>
      </c>
      <c r="X232" s="228" t="s">
        <v>2466</v>
      </c>
      <c r="Y232" s="228" t="s">
        <v>890</v>
      </c>
      <c r="Z232" s="228" t="s">
        <v>128</v>
      </c>
      <c r="AA232" s="228" t="s">
        <v>1441</v>
      </c>
      <c r="AB232" s="228"/>
      <c r="AC232" s="228" t="s">
        <v>741</v>
      </c>
      <c r="AD232" s="228" t="s">
        <v>1038</v>
      </c>
      <c r="AE232" s="228"/>
      <c r="AF232" s="228"/>
      <c r="AG232" s="228"/>
      <c r="AH232" s="228" t="s">
        <v>52</v>
      </c>
      <c r="AI232" s="228" t="s">
        <v>2536</v>
      </c>
      <c r="AJ232" s="487" t="str">
        <f t="shared" si="268"/>
        <v>Feliz Gonzales</v>
      </c>
      <c r="AK232" s="228"/>
      <c r="AL232" s="228" t="s">
        <v>1250</v>
      </c>
      <c r="AM232" s="228" t="s">
        <v>2469</v>
      </c>
      <c r="AN232" s="229">
        <v>31543</v>
      </c>
      <c r="AO232" s="228" t="s">
        <v>2651</v>
      </c>
      <c r="AP232" s="228" t="s">
        <v>2652</v>
      </c>
      <c r="AQ232" s="228" t="s">
        <v>53</v>
      </c>
      <c r="AR232" s="228" t="s">
        <v>2653</v>
      </c>
      <c r="AS232" s="231">
        <v>42118</v>
      </c>
      <c r="AT232" s="229">
        <v>42118</v>
      </c>
      <c r="AU232" s="229">
        <v>42118</v>
      </c>
      <c r="AV232" s="466">
        <v>42130</v>
      </c>
      <c r="AW232" s="231">
        <v>42118</v>
      </c>
      <c r="AX232" s="228" t="s">
        <v>2654</v>
      </c>
      <c r="AY232" s="228"/>
      <c r="AZ232" s="229">
        <v>42130</v>
      </c>
      <c r="BA232" s="229">
        <v>42118</v>
      </c>
      <c r="BB232" s="232"/>
      <c r="BC232" s="231">
        <v>42118</v>
      </c>
      <c r="BD232" s="232" t="s">
        <v>2655</v>
      </c>
      <c r="BE232" s="231">
        <v>42118</v>
      </c>
      <c r="BF232" s="232" t="s">
        <v>2657</v>
      </c>
      <c r="BG232" s="231">
        <v>42118</v>
      </c>
      <c r="BH232" s="234" t="s">
        <v>2656</v>
      </c>
      <c r="BI232" s="466">
        <v>42118</v>
      </c>
      <c r="BJ232" s="231">
        <v>42118</v>
      </c>
      <c r="BK232" s="228"/>
      <c r="BL232" s="232"/>
      <c r="BM232" s="231">
        <v>42118</v>
      </c>
      <c r="BN232" s="229">
        <v>42118</v>
      </c>
      <c r="BO232" s="466">
        <v>42118</v>
      </c>
      <c r="BP232" s="231">
        <v>42118</v>
      </c>
      <c r="BQ232" s="229">
        <v>42118</v>
      </c>
      <c r="BR232" s="466">
        <v>42118</v>
      </c>
      <c r="BS232" s="231">
        <v>42118</v>
      </c>
      <c r="BT232" s="229"/>
      <c r="BU232" s="466">
        <v>42118</v>
      </c>
      <c r="BV232" s="232" t="s">
        <v>2658</v>
      </c>
      <c r="BW232" s="522" t="str">
        <f t="shared" si="262"/>
        <v>1905 (for processing) 5/6/2015, 2305 (for processing) 4/24/2015, MDR 4/24/2015, Certificate of Death for Husband 4/24/2015</v>
      </c>
      <c r="BX232" s="522">
        <f t="shared" si="244"/>
        <v>11</v>
      </c>
      <c r="BY232" s="522">
        <f t="shared" si="230"/>
        <v>11</v>
      </c>
      <c r="BZ232" s="523">
        <f t="shared" si="250"/>
        <v>1</v>
      </c>
      <c r="CA232" s="524">
        <f t="shared" si="269"/>
        <v>193</v>
      </c>
      <c r="CB232" s="503">
        <f t="shared" si="251"/>
        <v>42114</v>
      </c>
      <c r="CC232" s="487">
        <f t="shared" ca="1" si="252"/>
        <v>5</v>
      </c>
      <c r="CD232" s="487">
        <f t="shared" si="253"/>
        <v>16</v>
      </c>
      <c r="CE232" s="487">
        <f t="shared" si="254"/>
        <v>8</v>
      </c>
      <c r="CF232" s="504">
        <f t="shared" si="255"/>
        <v>8</v>
      </c>
      <c r="CG232" s="505">
        <f t="shared" si="256"/>
        <v>0.89772727272727271</v>
      </c>
      <c r="CH232" s="487" t="str">
        <f t="shared" si="257"/>
        <v xml:space="preserve">NBI (3) Info (3) Waiver (4) </v>
      </c>
      <c r="CI232" s="503" t="str">
        <f t="shared" si="258"/>
        <v/>
      </c>
      <c r="CJ232" s="503" t="str">
        <f t="shared" si="231"/>
        <v/>
      </c>
      <c r="CK232" s="487">
        <f t="shared" si="232"/>
        <v>15</v>
      </c>
      <c r="CL232" s="487">
        <f t="shared" si="233"/>
        <v>16</v>
      </c>
      <c r="CM232" s="487">
        <f t="shared" si="234"/>
        <v>16</v>
      </c>
      <c r="CN232" s="487">
        <f t="shared" si="235"/>
        <v>13</v>
      </c>
      <c r="CO232" s="487">
        <f t="shared" si="236"/>
        <v>14</v>
      </c>
      <c r="CP232" s="487">
        <f t="shared" si="237"/>
        <v>13</v>
      </c>
      <c r="CQ232" s="487">
        <f t="shared" si="238"/>
        <v>15</v>
      </c>
      <c r="CR232" s="487">
        <f t="shared" si="239"/>
        <v>14</v>
      </c>
      <c r="CS232" s="487">
        <f t="shared" si="240"/>
        <v>12</v>
      </c>
      <c r="CT232" s="487">
        <f t="shared" si="263"/>
        <v>16</v>
      </c>
      <c r="CU232" s="487">
        <f t="shared" si="264"/>
        <v>14</v>
      </c>
      <c r="CV232" s="487">
        <f t="shared" si="265"/>
        <v>11</v>
      </c>
      <c r="CW232" s="487">
        <f t="shared" si="241"/>
        <v>8</v>
      </c>
      <c r="CX232" s="487">
        <f t="shared" si="242"/>
        <v>3</v>
      </c>
      <c r="CY232" s="487">
        <f t="shared" si="243"/>
        <v>16</v>
      </c>
    </row>
    <row r="233" spans="1:103" ht="15.75" thickTop="1" x14ac:dyDescent="0.25">
      <c r="A233" s="7">
        <v>194</v>
      </c>
      <c r="B233" s="16">
        <v>42121</v>
      </c>
      <c r="C233" s="1">
        <v>1082449</v>
      </c>
      <c r="D233" s="542" t="s">
        <v>2736</v>
      </c>
      <c r="E233" s="1" t="str">
        <f t="shared" ref="E233:E247" si="270">IF(P233="(*_*)","",IF(BC233&lt;1,"SSS, ","")&amp;IF(BE233&lt;1,"HDMF, ","")&amp;IF(BG233&lt;1,"PHIC, ","")&amp;IF(BJ233&lt;1,"NBI, ","")&amp;IF(BM233&lt;1,"NSO, ","")&amp;IF(AS233&lt;1,"Info, ","")&amp;IF(AT233&lt;1,"AWOL, ","")&amp;IF(AU233&lt;1,"Hand, ","")&amp;IF(AV233&lt;1,"Waiver, ","")&amp;IF(AW233&lt;1,"TIN, ","")&amp;IF(AZ233&lt;1,"1905, ","")&amp;IF(BA233&lt;1,"2305, ",""))</f>
        <v xml:space="preserve">NBI, AWOL, Waiver, 1905, </v>
      </c>
      <c r="F233" s="1" t="str">
        <f t="shared" ref="F233:F247" si="271">IF(P233="(*_*)","",IF(BI233&lt;1,"MDR, ","")&amp;IF(BS233&lt;1,"JO, ","")&amp;IF(BT233&lt;1,"Contract, ","")&amp;IF(BU233&lt;1,"Confi, ","")&amp;IF(BQ233&lt;1,"TOR, ","")&amp;IF(BR233&lt;1,"COE, ","")&amp;IF(BP233&lt;1,"2x2, ",""))</f>
        <v xml:space="preserve">MDR, 2x2, </v>
      </c>
      <c r="G233" s="1" t="s">
        <v>474</v>
      </c>
      <c r="I233" s="16">
        <v>42124</v>
      </c>
      <c r="K233" s="152" t="str">
        <f t="shared" ca="1" si="199"/>
        <v>Dedlyn!</v>
      </c>
      <c r="N233" s="153" t="str">
        <f t="shared" si="229"/>
        <v/>
      </c>
      <c r="O233" s="1" t="s">
        <v>301</v>
      </c>
      <c r="Q233" s="1" t="s">
        <v>2680</v>
      </c>
      <c r="R233" s="1">
        <v>9083789158</v>
      </c>
      <c r="S233" s="153">
        <f t="shared" ref="S233:S247" si="272">IFERROR(IF(SEARCH("/",R233)&gt;0,REPLACE(R233,11,11,""),R233),R233)</f>
        <v>9083789158</v>
      </c>
      <c r="T233" s="153" t="str">
        <f t="shared" ref="T233:T247" si="273">IFERROR(IF(SEARCH("/",R233)&gt;0,REPLACE(R233,1,11,""),""),"")</f>
        <v/>
      </c>
      <c r="U233" s="1" t="s">
        <v>2856</v>
      </c>
      <c r="V233" s="1" t="s">
        <v>2679</v>
      </c>
      <c r="W233" s="1" t="s">
        <v>2678</v>
      </c>
      <c r="X233" s="1" t="s">
        <v>599</v>
      </c>
      <c r="Y233" s="1" t="s">
        <v>73</v>
      </c>
      <c r="Z233" s="1" t="s">
        <v>70</v>
      </c>
      <c r="AA233" s="1" t="str">
        <f t="shared" si="259"/>
        <v>Php 16,000</v>
      </c>
      <c r="AC233" s="1" t="str">
        <f t="shared" si="260"/>
        <v>Php 1,000</v>
      </c>
      <c r="AD233" s="1" t="str">
        <f t="shared" si="261"/>
        <v>Php 3,000</v>
      </c>
      <c r="AH233" s="1" t="s">
        <v>52</v>
      </c>
      <c r="AI233" s="1" t="s">
        <v>253</v>
      </c>
      <c r="AJ233" s="153" t="str">
        <f t="shared" si="268"/>
        <v/>
      </c>
      <c r="AL233" s="1" t="s">
        <v>1475</v>
      </c>
      <c r="AM233" s="1" t="s">
        <v>854</v>
      </c>
      <c r="AN233" s="16">
        <v>33538</v>
      </c>
      <c r="AO233" s="1" t="s">
        <v>2843</v>
      </c>
      <c r="AP233" s="1" t="s">
        <v>2844</v>
      </c>
      <c r="AQ233" s="1" t="s">
        <v>50</v>
      </c>
      <c r="AR233" s="1" t="s">
        <v>378</v>
      </c>
      <c r="AS233" s="169">
        <v>42124</v>
      </c>
      <c r="AU233" s="170">
        <v>42124</v>
      </c>
      <c r="AW233" s="169">
        <v>42124</v>
      </c>
      <c r="AX233" s="112" t="s">
        <v>2802</v>
      </c>
      <c r="BA233" s="170">
        <v>42124</v>
      </c>
      <c r="BC233" s="169">
        <v>42124</v>
      </c>
      <c r="BD233" s="172" t="s">
        <v>2846</v>
      </c>
      <c r="BE233" s="169">
        <v>42135</v>
      </c>
      <c r="BF233" s="172" t="s">
        <v>3272</v>
      </c>
      <c r="BG233" s="169">
        <v>42124</v>
      </c>
      <c r="BH233" s="188" t="s">
        <v>2845</v>
      </c>
      <c r="BM233" s="169">
        <v>42131</v>
      </c>
      <c r="BQ233" s="170">
        <v>42124</v>
      </c>
      <c r="BR233" s="181">
        <v>42124</v>
      </c>
      <c r="BS233" s="169">
        <v>42124</v>
      </c>
      <c r="BT233" s="170">
        <v>42124</v>
      </c>
      <c r="BU233" s="181">
        <v>42124</v>
      </c>
      <c r="BW233" s="398" t="str">
        <f t="shared" ref="BW233:BW273" si="274">IF(AZ233&gt;3,"1905 ","")&amp;IF(AND(M233="",AZ233&gt;3)=TRUE,"(for processing) ","")&amp;IF(AZ233&lt;4,"",MONTH(AZ233)&amp;"/"&amp;DAY(AZ233)&amp;"/"&amp;YEAR(AZ233)&amp;", ")&amp;IF(BA233&gt;3,"2305 ","")&amp;IF(AND(M233="",BA233&gt;3)=TRUE,"(for processing) ","")&amp;IF(BA233&lt;4,"",MONTH(BA233)&amp;"/"&amp;DAY(BA233)&amp;"/"&amp;YEAR(BA233)&amp;", ")&amp;IF(BI233&gt;0,"MDR ","")&amp;IF(BI233=0,"",MONTH(BI233)&amp;"/"&amp;DAY(BI233)&amp;"/"&amp;YEAR(BI233)&amp;", ")&amp;IF(BK233&gt;0,"NBI receipt "&amp;MONTH(BK233)&amp;"/"&amp;DAY(BK233)&amp;"/"&amp;YEAR(BK233)&amp;", ","") &amp;BV233</f>
        <v xml:space="preserve">2305 (for processing) 4/30/2015, </v>
      </c>
      <c r="BX233" s="398">
        <f t="shared" ref="BX233:BX247" si="275">IF(O233="n","",COUNT(BM233,BJ233,BG233,BE233,BC233,AW233,AV233,AU233,AT233,AS233,AZ233))</f>
        <v>7</v>
      </c>
      <c r="BY233" s="398">
        <f t="shared" ref="BY233:BY273" si="276">IF(O233="n","",11)</f>
        <v>11</v>
      </c>
      <c r="BZ233" s="399">
        <f t="shared" ref="BZ233:BZ247" si="277">IFERROR(BX233/BY233,"")</f>
        <v>0.63636363636363635</v>
      </c>
      <c r="CA233" s="168" t="str">
        <f t="shared" ref="CA233:CA246" si="278">IF((A233-A234)=0,"",A233)</f>
        <v/>
      </c>
      <c r="CB233" s="151" t="str">
        <f t="shared" ref="CB233:CB246" si="279">IFERROR(CA233*7+40763,"")</f>
        <v/>
      </c>
      <c r="CC233" s="153" t="str">
        <f t="shared" ref="CC233:CC246" ca="1" si="280">IFERROR(ROUND(IF(CB233="","",(TODAY()-CB233)/7)+1,0),"")</f>
        <v/>
      </c>
      <c r="CD233" s="153" t="str">
        <f t="shared" ref="CD233:CD246" si="281">IF(CG233="","",CY233)</f>
        <v/>
      </c>
      <c r="CE233" s="153" t="str">
        <f t="shared" ref="CE233:CE246" si="282">IF(CG233="","",CW233)</f>
        <v/>
      </c>
      <c r="CF233" s="396" t="str">
        <f t="shared" ref="CF233:CF246" si="283">IF(CG233="","",CY233-CW233)</f>
        <v/>
      </c>
      <c r="CG233" s="397" t="str">
        <f t="shared" ref="CG233:CG246" si="284">IF(CB233="","",SUM(CK233:CU233)/((CY233)*11))</f>
        <v/>
      </c>
      <c r="CH233" s="153" t="str">
        <f t="shared" ref="CH233:CH246" si="285">IF(CB233="","",IF(MIN(CK233:CU233)&gt;CY233,"",CONCATENATE(IF(SUM(IF(CK233&lt;CL233,1,0),IF(CK233&lt;CM233,1,0),IF(CK233&lt;CN233,1,0),IF(CK233&lt;CO233,1,0),IF(CK233&lt;CP233,1,0),IF(CK233&lt;CQ233,1,0),IF(CK233&lt;CR233,1,0),IF(CK233&lt;CS233,1,0),IF(CK233&lt;CT233,1,0),IF(CK233&lt;CU233,1,0))&gt;7,"SSS ("&amp;CY233-CK233&amp;") ",""),IF(SUM(IF(CL233&lt;CK233,1,0),IF(CL233&lt;CM233,1,0),IF(CL233&lt;CN233,1,0),IF(CL233&lt;CO233,1,0),IF(CL233&lt;CP233,1,0),IF(CL233&lt;CQ233,1,0),IF(CL233&lt;CR233,1,0),IF(CL233&lt;CS233,1,0),IF(CL233&lt;CT233,1,0),IF(CL233&lt;CU233,1,0))&gt;7,"HDMF ("&amp;CY233-CL233&amp;") ",""),IF(SUM(IF(CM233&lt;CK233,1,0),IF(CM233&lt;CL233,1,0),IF(CM233&lt;CN233,1,0),IF(CM233&lt;CO233,1,0),IF(CM233&lt;CP233,1,0),IF(CM233&lt;CQ233,1,0),IF(CM233&lt;CR233,1,0),IF(CM233&lt;CS233,1,0),IF(CM233&lt;CT233,1,0),IF(CM233&lt;CU233,1,0))&gt;7,"PHIC ("&amp;CY233-CM233&amp;") ",""),IF(SUM(IF(CN233&lt;CK233,1,0),IF(CN233&lt;CL233,1,0),IF(CN233&lt;CM233,1,0),IF(CN233&lt;CO233,1,0),IF(CN233&lt;CP233,1,0),IF(CN233&lt;CQ233,1,0),IF(CN233&lt;CR233,1,0),IF(CN233&lt;CS233,1,0),IF(CN233&lt;CT233,1,0),IF(CN233&lt;CU233,1,0))&gt;7,"NBI ("&amp;CY233-CN233&amp;") ",""),IF(SUM(IF(CO233&lt;CK233,1,0),IF(CO233&lt;CL233,1,0),IF(CO233&lt;CN233,1,0),IF(CO233&lt;CM233,1,0),IF(CO233&lt;CP233,1,0),IF(CO233&lt;CQ233,1,0),IF(CO233&lt;CR233,1,0),IF(CO233&lt;CS233,1,0),IF(CO233&lt;CT233,1,0),IF(CO233&lt;CU233,1,0))&gt;7,"NSO ("&amp;CY233-CO233&amp;") ",""),IF(SUM(IF(CP233&lt;CK233,1,0),IF(CP233&lt;CL233,1,0),IF(CP233&lt;CN233,1,0),IF(CP233&lt;CO233,1,0),IF(CP233&lt;CM233,1,0),IF(CP233&lt;CQ233,1,0),IF(CP233&lt;CR233,1,0),IF(CP233&lt;CS233,1,0),IF(CP233&lt;CT233,1,0),IF(CP233&lt;CU233,1,0))&gt;7,"Info ("&amp;CY233-CP233&amp;") ",""),IF(SUM(IF(CQ233&lt;CK233,1,0),IF(CQ233&lt;CL233,1,0),IF(CQ233&lt;CN233,1,0),IF(CQ233&lt;CO233,1,0),IF(CQ233&lt;CP233,1,0),IF(CQ233&lt;CM233,1,0),IF(CQ233&lt;CR233,1,0),IF(CQ233&lt;CS233,1,0),IF(CQ233&lt;CT233,1,0),IF(CQ233&lt;CU233,1,0))&gt;7,"AWOL ("&amp;CY233-CQ233&amp;") ",""),IF(SUM(IF(CR233&lt;CK233,1,0),IF(CR233&lt;CL233,1,0),IF(CR233&lt;CN233,1,0),IF(CR233&lt;CO233,1,0),IF(CR233&lt;CP233,1,0),IF(CR233&lt;CQ233,1,0),IF(CR233&lt;CM233,1,0),IF(CR233&lt;CS233,1,0),IF(CR233&lt;CT233,1,0),IF(CR233&lt;CU233,1,0))&gt;7,"Hand ("&amp;CY233-CR233&amp;") ",""),IF(SUM(IF(CS233&lt;CK233,1,0),IF(CS233&lt;CL233,1,0),IF(CS233&lt;CN233,1,0),IF(CS233&lt;CO233,1,0),IF(CS233&lt;CP233,1,0),IF(CS233&lt;CQ233,1,0),IF(CS233&lt;CR233,1,0),IF(CS233&lt;CM233,1,0),IF(CS233&lt;CT233,1,0),IF(CS233&lt;CU233,1,0))&gt;7,"Waiver ("&amp;CY233-CS233&amp;") ",""),IF(SUM(IF(CT233&lt;CK233,1,0),IF(CT233&lt;CL233,1,0),IF(CT233&lt;CN233,1,0),IF(CT233&lt;CO233,1,0),IF(CT233&lt;CP233,1,0),IF(CT233&lt;CQ233,1,0),IF(CT233&lt;CR233,1,0),IF(CT233&lt;CS233,1,0),IF(CT233&lt;CM233,1,0),IF(CT233&lt;CU233,1,0))&gt;7,"TIN ("&amp;CY233-CT233&amp;") ",""),IF(SUM(IF(CU233&lt;CK233,1,0),IF(CU233&lt;CL233,1,0),IF(CU233&lt;CN233,1,0),IF(CU233&lt;CO233,1,0),IF(CU233&lt;CP233,1,0),IF(CU233&lt;CQ233,1,0),IF(CU233&lt;CR233,1,0),IF(CU233&lt;CS233,1,0),IF(CU233&lt;CT233,1,0),IF(CU233&lt;CM233,1,0))&gt;7,"1905 ("&amp;CY233-CU233&amp;") ",""))))</f>
        <v/>
      </c>
      <c r="CI233" s="151" t="str">
        <f t="shared" ref="CI233:CI246" si="286">IF(CA233="","",CJ233)</f>
        <v/>
      </c>
      <c r="CJ233" s="151" t="str">
        <f t="shared" ref="CJ233:CJ246" si="287">IF(CA232="",IF(IF(CJ232="",0,CJ232)&gt;L233,IF(CJ232="","",CJ232),IF(L233="","",L233)),IF(L233="","",L233))</f>
        <v/>
      </c>
      <c r="CK233" s="153">
        <f t="shared" ref="CK233:CK246" si="288">IF(CB232="",CK232+IF(IF(O233="n",0,COUNT(BC233))=1,1,0),IF(IF(O233="n",0,COUNT(BC233))=1,1,0))</f>
        <v>1</v>
      </c>
      <c r="CL233" s="153">
        <f t="shared" ref="CL233:CL246" si="289">IF(CB232="",CL232+IF(IF(O233="n",0,COUNT(BE233))=1,1,0),IF(IF(O233="n",0,COUNT(BE233))=1,1,0))</f>
        <v>1</v>
      </c>
      <c r="CM233" s="153">
        <f t="shared" ref="CM233:CM246" si="290">IF(CB232="",CM232+IF(IF(O233="n",0,COUNT(BG233))=1,1,0),IF(IF(O233="n",0,COUNT(BG233))=1,1,0))</f>
        <v>1</v>
      </c>
      <c r="CN233" s="153">
        <f t="shared" ref="CN233:CN246" si="291">IF(CB232="",CN232+IF(IF(O233="n",0,COUNT(BJ233))=1,1,0),IF(IF(O233="n",0,COUNT(BJ233))=1,1,0))</f>
        <v>0</v>
      </c>
      <c r="CO233" s="153">
        <f t="shared" ref="CO233:CO246" si="292">IF(CB232="",CO232+IF(IF(O233="n",0,COUNT(BM233))=1,1,0),IF(IF(O233="n",0,COUNT(BM233))=1,1,0))</f>
        <v>1</v>
      </c>
      <c r="CP233" s="153">
        <f t="shared" ref="CP233:CP246" si="293">IF(CB232="",CP232+IF(IF(O233="n",0,COUNT(AS233))=1,1,0),IF(IF(O233="n",0,COUNT(AS233))=1,1,0))</f>
        <v>1</v>
      </c>
      <c r="CQ233" s="153">
        <f t="shared" ref="CQ233:CQ246" si="294">IF(CB232="",CQ232+IF(IF(O233="n",0,COUNT(AT233))=1,1,0),IF(IF(O233="n",0,COUNT(AT233))=1,1,0))</f>
        <v>0</v>
      </c>
      <c r="CR233" s="153">
        <f t="shared" ref="CR233:CR246" si="295">IF(CB232="",CR232+IF(IF(O233="n",0,COUNT(AU233))=1,1,0),IF(IF(O233="n",0,COUNT(AU233))=1,1,0))</f>
        <v>1</v>
      </c>
      <c r="CS233" s="153">
        <f t="shared" ref="CS233:CS246" si="296">IF(CB232="",CS232+IF(IF(O233="n",0,COUNT(AV233))=1,1,0),IF(IF(O233="n",0,COUNT(AV233))=1,1,0))</f>
        <v>0</v>
      </c>
      <c r="CT233" s="153">
        <f t="shared" ref="CT233:CT246" si="297">IF(CB232="",CT232+IF(IF(O233="n",0,COUNT(AW233))=1,1,0),IF(IF(O233="n",0,COUNT(AW233))=1,1,0))</f>
        <v>1</v>
      </c>
      <c r="CU233" s="153">
        <f t="shared" ref="CU233:CU246" si="298">IF(CB232="",CU232+IF(IF(O233="n",0,COUNT(AZ233))=1,1,0),IF(IF(O233="n",0,COUNT(AZ233))=1,1,0))</f>
        <v>0</v>
      </c>
      <c r="CV233" s="153">
        <f t="shared" ref="CV233:CV246" si="299">IF(CB232="",CV232+IF(IF(O233="n",0,COUNT(BA233))=1,1,0),IF(IF(O233="n",0,COUNT(BA233))=1,1,0))</f>
        <v>1</v>
      </c>
      <c r="CW233" s="153">
        <f t="shared" ref="CW233:CW246" si="300">IF(CB232="",CW232+IF(O233="c",1,0),IF(O233="c",1,0))</f>
        <v>0</v>
      </c>
      <c r="CX233" s="153">
        <f t="shared" ref="CX233:CX246" si="301">IF(CB232="",CX232+IF(O233="n",1,0),IF(O233="n",1,0))</f>
        <v>0</v>
      </c>
      <c r="CY233" s="153">
        <f t="shared" ref="CY233:CY246" si="302">IF(CB232="",IF(O233="n",CY232,1+CY232),IF(O233="n",0,1))</f>
        <v>1</v>
      </c>
    </row>
    <row r="234" spans="1:103" x14ac:dyDescent="0.25">
      <c r="A234" s="7">
        <v>194</v>
      </c>
      <c r="B234" s="16">
        <v>42121</v>
      </c>
      <c r="C234" s="1">
        <v>1082450</v>
      </c>
      <c r="D234" s="542" t="s">
        <v>2737</v>
      </c>
      <c r="E234" s="1" t="str">
        <f t="shared" si="270"/>
        <v xml:space="preserve">NBI, NSO, Info, AWOL, Hand, Waiver, </v>
      </c>
      <c r="F234" s="1" t="str">
        <f t="shared" si="271"/>
        <v xml:space="preserve">MDR, TOR, COE, 2x2, </v>
      </c>
      <c r="G234" s="1" t="s">
        <v>474</v>
      </c>
      <c r="I234" s="16">
        <v>42124</v>
      </c>
      <c r="K234" s="152" t="str">
        <f t="shared" ca="1" si="199"/>
        <v>Dedlyn!</v>
      </c>
      <c r="N234" s="153" t="str">
        <f t="shared" si="229"/>
        <v/>
      </c>
      <c r="O234" s="1" t="s">
        <v>301</v>
      </c>
      <c r="Q234" s="1" t="s">
        <v>2683</v>
      </c>
      <c r="R234" s="1">
        <v>9215227445</v>
      </c>
      <c r="S234" s="153">
        <f t="shared" si="272"/>
        <v>9215227445</v>
      </c>
      <c r="T234" s="153" t="str">
        <f t="shared" si="273"/>
        <v/>
      </c>
      <c r="U234" s="1" t="s">
        <v>2857</v>
      </c>
      <c r="V234" s="1" t="s">
        <v>537</v>
      </c>
      <c r="W234" s="1" t="s">
        <v>2681</v>
      </c>
      <c r="X234" s="1" t="s">
        <v>2682</v>
      </c>
      <c r="Y234" s="1" t="s">
        <v>73</v>
      </c>
      <c r="Z234" s="1" t="s">
        <v>74</v>
      </c>
      <c r="AA234" s="1" t="str">
        <f t="shared" si="259"/>
        <v>Php 17,000</v>
      </c>
      <c r="AC234" s="1" t="str">
        <f t="shared" si="260"/>
        <v>Php 1,000</v>
      </c>
      <c r="AD234" s="1" t="str">
        <f t="shared" si="261"/>
        <v>Php 4,000</v>
      </c>
      <c r="AH234" s="1" t="s">
        <v>52</v>
      </c>
      <c r="AI234" s="1" t="s">
        <v>253</v>
      </c>
      <c r="AJ234" s="153" t="str">
        <f t="shared" si="268"/>
        <v/>
      </c>
      <c r="AL234" s="1" t="s">
        <v>265</v>
      </c>
      <c r="AM234" s="1" t="s">
        <v>854</v>
      </c>
      <c r="AN234" s="16">
        <v>31919</v>
      </c>
      <c r="AW234" s="169">
        <v>42131</v>
      </c>
      <c r="AX234" s="112" t="s">
        <v>3085</v>
      </c>
      <c r="AZ234" s="170">
        <v>42131</v>
      </c>
      <c r="BA234" s="170">
        <v>42131</v>
      </c>
      <c r="BC234" s="169">
        <v>42124</v>
      </c>
      <c r="BD234" s="172" t="s">
        <v>2804</v>
      </c>
      <c r="BE234" s="169">
        <v>42124</v>
      </c>
      <c r="BF234" s="172" t="s">
        <v>2805</v>
      </c>
      <c r="BG234" s="169">
        <v>42124</v>
      </c>
      <c r="BH234" s="188" t="s">
        <v>2803</v>
      </c>
      <c r="BS234" s="169">
        <v>42124</v>
      </c>
      <c r="BT234" s="170">
        <v>42124</v>
      </c>
      <c r="BU234" s="181">
        <v>42124</v>
      </c>
      <c r="BW234" s="398" t="str">
        <f t="shared" si="274"/>
        <v xml:space="preserve">1905 (for processing) 5/7/2015, 2305 (for processing) 5/7/2015, </v>
      </c>
      <c r="BX234" s="398">
        <f t="shared" si="275"/>
        <v>5</v>
      </c>
      <c r="BY234" s="398">
        <f t="shared" si="276"/>
        <v>11</v>
      </c>
      <c r="BZ234" s="399">
        <f t="shared" si="277"/>
        <v>0.45454545454545453</v>
      </c>
      <c r="CA234" s="168" t="str">
        <f t="shared" si="278"/>
        <v/>
      </c>
      <c r="CB234" s="151" t="str">
        <f t="shared" si="279"/>
        <v/>
      </c>
      <c r="CC234" s="153" t="str">
        <f t="shared" ca="1" si="280"/>
        <v/>
      </c>
      <c r="CD234" s="153" t="str">
        <f t="shared" si="281"/>
        <v/>
      </c>
      <c r="CE234" s="153" t="str">
        <f t="shared" si="282"/>
        <v/>
      </c>
      <c r="CF234" s="396" t="str">
        <f t="shared" si="283"/>
        <v/>
      </c>
      <c r="CG234" s="397" t="str">
        <f t="shared" si="284"/>
        <v/>
      </c>
      <c r="CH234" s="153" t="str">
        <f t="shared" si="285"/>
        <v/>
      </c>
      <c r="CI234" s="151" t="str">
        <f t="shared" si="286"/>
        <v/>
      </c>
      <c r="CJ234" s="151" t="str">
        <f t="shared" si="287"/>
        <v/>
      </c>
      <c r="CK234" s="153">
        <f t="shared" si="288"/>
        <v>2</v>
      </c>
      <c r="CL234" s="153">
        <f t="shared" si="289"/>
        <v>2</v>
      </c>
      <c r="CM234" s="153">
        <f t="shared" si="290"/>
        <v>2</v>
      </c>
      <c r="CN234" s="153">
        <f t="shared" si="291"/>
        <v>0</v>
      </c>
      <c r="CO234" s="153">
        <f t="shared" si="292"/>
        <v>1</v>
      </c>
      <c r="CP234" s="153">
        <f t="shared" si="293"/>
        <v>1</v>
      </c>
      <c r="CQ234" s="153">
        <f t="shared" si="294"/>
        <v>0</v>
      </c>
      <c r="CR234" s="153">
        <f t="shared" si="295"/>
        <v>1</v>
      </c>
      <c r="CS234" s="153">
        <f t="shared" si="296"/>
        <v>0</v>
      </c>
      <c r="CT234" s="153">
        <f t="shared" si="297"/>
        <v>2</v>
      </c>
      <c r="CU234" s="153">
        <f t="shared" si="298"/>
        <v>1</v>
      </c>
      <c r="CV234" s="153">
        <f t="shared" si="299"/>
        <v>2</v>
      </c>
      <c r="CW234" s="153">
        <f t="shared" si="300"/>
        <v>0</v>
      </c>
      <c r="CX234" s="153">
        <f t="shared" si="301"/>
        <v>0</v>
      </c>
      <c r="CY234" s="153">
        <f t="shared" si="302"/>
        <v>2</v>
      </c>
    </row>
    <row r="235" spans="1:103" s="8" customFormat="1" x14ac:dyDescent="0.25">
      <c r="A235" s="133">
        <v>194</v>
      </c>
      <c r="B235" s="20">
        <v>42121</v>
      </c>
      <c r="C235" s="8">
        <v>1082451</v>
      </c>
      <c r="D235" s="541" t="s">
        <v>2738</v>
      </c>
      <c r="E235" s="8" t="str">
        <f t="shared" si="270"/>
        <v/>
      </c>
      <c r="F235" s="8" t="str">
        <f t="shared" si="271"/>
        <v/>
      </c>
      <c r="G235" s="8" t="s">
        <v>474</v>
      </c>
      <c r="I235" s="20">
        <v>42124</v>
      </c>
      <c r="K235" s="132" t="str">
        <f t="shared" ca="1" si="199"/>
        <v/>
      </c>
      <c r="N235" s="113" t="str">
        <f t="shared" si="229"/>
        <v/>
      </c>
      <c r="O235" s="8" t="s">
        <v>298</v>
      </c>
      <c r="P235" s="8" t="s">
        <v>689</v>
      </c>
      <c r="Q235" s="8" t="s">
        <v>2686</v>
      </c>
      <c r="R235" s="8">
        <v>9056669440</v>
      </c>
      <c r="S235" s="113">
        <f t="shared" si="272"/>
        <v>9056669440</v>
      </c>
      <c r="T235" s="113" t="str">
        <f t="shared" si="273"/>
        <v/>
      </c>
      <c r="U235" s="8" t="s">
        <v>2858</v>
      </c>
      <c r="V235" s="8" t="s">
        <v>1274</v>
      </c>
      <c r="W235" s="8" t="s">
        <v>2684</v>
      </c>
      <c r="X235" s="8" t="s">
        <v>2685</v>
      </c>
      <c r="Y235" s="8" t="s">
        <v>73</v>
      </c>
      <c r="Z235" s="8" t="s">
        <v>74</v>
      </c>
      <c r="AA235" s="8" t="str">
        <f t="shared" si="259"/>
        <v>Php 17,000</v>
      </c>
      <c r="AC235" s="8" t="str">
        <f t="shared" si="260"/>
        <v>Php 1,000</v>
      </c>
      <c r="AD235" s="8" t="str">
        <f t="shared" si="261"/>
        <v>Php 4,000</v>
      </c>
      <c r="AH235" s="8" t="s">
        <v>52</v>
      </c>
      <c r="AI235" s="8" t="s">
        <v>253</v>
      </c>
      <c r="AJ235" s="113" t="str">
        <f t="shared" si="268"/>
        <v/>
      </c>
      <c r="AL235" s="8" t="s">
        <v>254</v>
      </c>
      <c r="AM235" s="8" t="s">
        <v>854</v>
      </c>
      <c r="AN235" s="20">
        <v>32912</v>
      </c>
      <c r="AS235" s="165"/>
      <c r="AT235" s="113"/>
      <c r="AU235" s="113"/>
      <c r="AV235" s="182"/>
      <c r="AW235" s="187"/>
      <c r="AX235" s="113"/>
      <c r="AY235" s="113"/>
      <c r="AZ235" s="113"/>
      <c r="BA235" s="113"/>
      <c r="BB235" s="182"/>
      <c r="BC235" s="165"/>
      <c r="BD235" s="182"/>
      <c r="BE235" s="165"/>
      <c r="BF235" s="182"/>
      <c r="BG235" s="165"/>
      <c r="BH235" s="274"/>
      <c r="BI235" s="182"/>
      <c r="BJ235" s="165"/>
      <c r="BK235" s="113"/>
      <c r="BL235" s="182"/>
      <c r="BM235" s="165"/>
      <c r="BN235" s="113"/>
      <c r="BO235" s="182"/>
      <c r="BP235" s="165"/>
      <c r="BQ235" s="113"/>
      <c r="BR235" s="182"/>
      <c r="BS235" s="187">
        <v>42124</v>
      </c>
      <c r="BT235" s="129">
        <v>42124</v>
      </c>
      <c r="BU235" s="177">
        <v>42124</v>
      </c>
      <c r="BV235" s="182"/>
      <c r="BW235" s="532" t="str">
        <f t="shared" si="274"/>
        <v/>
      </c>
      <c r="BX235" s="532" t="str">
        <f t="shared" si="275"/>
        <v/>
      </c>
      <c r="BY235" s="532" t="str">
        <f t="shared" si="276"/>
        <v/>
      </c>
      <c r="BZ235" s="533" t="str">
        <f t="shared" si="277"/>
        <v/>
      </c>
      <c r="CA235" s="165" t="str">
        <f t="shared" si="278"/>
        <v/>
      </c>
      <c r="CB235" s="129" t="str">
        <f t="shared" si="279"/>
        <v/>
      </c>
      <c r="CC235" s="113" t="str">
        <f t="shared" ca="1" si="280"/>
        <v/>
      </c>
      <c r="CD235" s="113" t="str">
        <f t="shared" si="281"/>
        <v/>
      </c>
      <c r="CE235" s="113" t="str">
        <f t="shared" si="282"/>
        <v/>
      </c>
      <c r="CF235" s="534" t="str">
        <f t="shared" si="283"/>
        <v/>
      </c>
      <c r="CG235" s="535" t="str">
        <f t="shared" si="284"/>
        <v/>
      </c>
      <c r="CH235" s="113" t="str">
        <f t="shared" si="285"/>
        <v/>
      </c>
      <c r="CI235" s="129" t="str">
        <f t="shared" si="286"/>
        <v/>
      </c>
      <c r="CJ235" s="129" t="str">
        <f t="shared" si="287"/>
        <v/>
      </c>
      <c r="CK235" s="113">
        <f t="shared" si="288"/>
        <v>2</v>
      </c>
      <c r="CL235" s="113">
        <f t="shared" si="289"/>
        <v>2</v>
      </c>
      <c r="CM235" s="113">
        <f t="shared" si="290"/>
        <v>2</v>
      </c>
      <c r="CN235" s="113">
        <f t="shared" si="291"/>
        <v>0</v>
      </c>
      <c r="CO235" s="113">
        <f t="shared" si="292"/>
        <v>1</v>
      </c>
      <c r="CP235" s="113">
        <f t="shared" si="293"/>
        <v>1</v>
      </c>
      <c r="CQ235" s="113">
        <f t="shared" si="294"/>
        <v>0</v>
      </c>
      <c r="CR235" s="113">
        <f t="shared" si="295"/>
        <v>1</v>
      </c>
      <c r="CS235" s="113">
        <f t="shared" si="296"/>
        <v>0</v>
      </c>
      <c r="CT235" s="113">
        <f t="shared" si="297"/>
        <v>2</v>
      </c>
      <c r="CU235" s="113">
        <f t="shared" si="298"/>
        <v>1</v>
      </c>
      <c r="CV235" s="113">
        <f t="shared" si="299"/>
        <v>2</v>
      </c>
      <c r="CW235" s="113">
        <f t="shared" si="300"/>
        <v>0</v>
      </c>
      <c r="CX235" s="113">
        <f t="shared" si="301"/>
        <v>1</v>
      </c>
      <c r="CY235" s="113">
        <f t="shared" si="302"/>
        <v>2</v>
      </c>
    </row>
    <row r="236" spans="1:103" s="8" customFormat="1" x14ac:dyDescent="0.25">
      <c r="A236" s="133">
        <v>194</v>
      </c>
      <c r="B236" s="20">
        <v>42121</v>
      </c>
      <c r="C236" s="8">
        <v>1082452</v>
      </c>
      <c r="D236" s="541" t="s">
        <v>2739</v>
      </c>
      <c r="E236" s="8" t="str">
        <f t="shared" si="270"/>
        <v/>
      </c>
      <c r="F236" s="8" t="str">
        <f t="shared" si="271"/>
        <v/>
      </c>
      <c r="G236" s="8" t="s">
        <v>474</v>
      </c>
      <c r="I236" s="20">
        <v>42124</v>
      </c>
      <c r="K236" s="132" t="str">
        <f t="shared" ca="1" si="199"/>
        <v/>
      </c>
      <c r="N236" s="113" t="str">
        <f t="shared" si="229"/>
        <v/>
      </c>
      <c r="O236" s="8" t="s">
        <v>298</v>
      </c>
      <c r="P236" s="8" t="s">
        <v>689</v>
      </c>
      <c r="Q236" s="8" t="s">
        <v>2689</v>
      </c>
      <c r="R236" s="8">
        <v>9268425085</v>
      </c>
      <c r="S236" s="113">
        <f t="shared" si="272"/>
        <v>9268425085</v>
      </c>
      <c r="T236" s="113" t="str">
        <f t="shared" si="273"/>
        <v/>
      </c>
      <c r="U236" s="8" t="s">
        <v>2859</v>
      </c>
      <c r="V236" s="8" t="s">
        <v>1493</v>
      </c>
      <c r="W236" s="8" t="s">
        <v>2687</v>
      </c>
      <c r="X236" s="8" t="s">
        <v>2688</v>
      </c>
      <c r="Y236" s="8" t="s">
        <v>73</v>
      </c>
      <c r="Z236" s="8" t="s">
        <v>74</v>
      </c>
      <c r="AA236" s="8" t="str">
        <f t="shared" si="259"/>
        <v>Php 17,000</v>
      </c>
      <c r="AC236" s="8" t="str">
        <f t="shared" si="260"/>
        <v>Php 1,000</v>
      </c>
      <c r="AD236" s="8" t="str">
        <f t="shared" si="261"/>
        <v>Php 4,000</v>
      </c>
      <c r="AH236" s="8" t="s">
        <v>52</v>
      </c>
      <c r="AI236" s="8" t="s">
        <v>2690</v>
      </c>
      <c r="AJ236" s="113" t="str">
        <f t="shared" si="268"/>
        <v>Nicole Lasanas</v>
      </c>
      <c r="AL236" s="8" t="s">
        <v>259</v>
      </c>
      <c r="AM236" s="8" t="s">
        <v>854</v>
      </c>
      <c r="AN236" s="20">
        <v>33790</v>
      </c>
      <c r="AS236" s="165"/>
      <c r="AT236" s="113"/>
      <c r="AU236" s="113"/>
      <c r="AV236" s="182"/>
      <c r="AW236" s="187"/>
      <c r="AX236" s="113"/>
      <c r="AY236" s="113"/>
      <c r="AZ236" s="113"/>
      <c r="BA236" s="113"/>
      <c r="BB236" s="182"/>
      <c r="BC236" s="165"/>
      <c r="BD236" s="182"/>
      <c r="BE236" s="165"/>
      <c r="BF236" s="182"/>
      <c r="BG236" s="165"/>
      <c r="BH236" s="274"/>
      <c r="BI236" s="182"/>
      <c r="BJ236" s="165"/>
      <c r="BK236" s="113"/>
      <c r="BL236" s="182"/>
      <c r="BM236" s="165"/>
      <c r="BN236" s="113"/>
      <c r="BO236" s="182"/>
      <c r="BP236" s="165"/>
      <c r="BQ236" s="113"/>
      <c r="BR236" s="182"/>
      <c r="BS236" s="187">
        <v>42124</v>
      </c>
      <c r="BT236" s="129">
        <v>42124</v>
      </c>
      <c r="BU236" s="177">
        <v>42124</v>
      </c>
      <c r="BV236" s="182"/>
      <c r="BW236" s="532" t="str">
        <f t="shared" si="274"/>
        <v/>
      </c>
      <c r="BX236" s="532" t="str">
        <f t="shared" si="275"/>
        <v/>
      </c>
      <c r="BY236" s="532" t="str">
        <f t="shared" si="276"/>
        <v/>
      </c>
      <c r="BZ236" s="533" t="str">
        <f t="shared" si="277"/>
        <v/>
      </c>
      <c r="CA236" s="165" t="str">
        <f t="shared" si="278"/>
        <v/>
      </c>
      <c r="CB236" s="129" t="str">
        <f t="shared" si="279"/>
        <v/>
      </c>
      <c r="CC236" s="113" t="str">
        <f t="shared" ca="1" si="280"/>
        <v/>
      </c>
      <c r="CD236" s="113" t="str">
        <f t="shared" si="281"/>
        <v/>
      </c>
      <c r="CE236" s="113" t="str">
        <f t="shared" si="282"/>
        <v/>
      </c>
      <c r="CF236" s="534" t="str">
        <f t="shared" si="283"/>
        <v/>
      </c>
      <c r="CG236" s="535" t="str">
        <f t="shared" si="284"/>
        <v/>
      </c>
      <c r="CH236" s="113" t="str">
        <f t="shared" si="285"/>
        <v/>
      </c>
      <c r="CI236" s="129" t="str">
        <f t="shared" si="286"/>
        <v/>
      </c>
      <c r="CJ236" s="129" t="str">
        <f t="shared" si="287"/>
        <v/>
      </c>
      <c r="CK236" s="113">
        <f t="shared" si="288"/>
        <v>2</v>
      </c>
      <c r="CL236" s="113">
        <f t="shared" si="289"/>
        <v>2</v>
      </c>
      <c r="CM236" s="113">
        <f t="shared" si="290"/>
        <v>2</v>
      </c>
      <c r="CN236" s="113">
        <f t="shared" si="291"/>
        <v>0</v>
      </c>
      <c r="CO236" s="113">
        <f t="shared" si="292"/>
        <v>1</v>
      </c>
      <c r="CP236" s="113">
        <f t="shared" si="293"/>
        <v>1</v>
      </c>
      <c r="CQ236" s="113">
        <f t="shared" si="294"/>
        <v>0</v>
      </c>
      <c r="CR236" s="113">
        <f t="shared" si="295"/>
        <v>1</v>
      </c>
      <c r="CS236" s="113">
        <f t="shared" si="296"/>
        <v>0</v>
      </c>
      <c r="CT236" s="113">
        <f t="shared" si="297"/>
        <v>2</v>
      </c>
      <c r="CU236" s="113">
        <f t="shared" si="298"/>
        <v>1</v>
      </c>
      <c r="CV236" s="113">
        <f t="shared" si="299"/>
        <v>2</v>
      </c>
      <c r="CW236" s="113">
        <f t="shared" si="300"/>
        <v>0</v>
      </c>
      <c r="CX236" s="113">
        <f t="shared" si="301"/>
        <v>2</v>
      </c>
      <c r="CY236" s="113">
        <f t="shared" si="302"/>
        <v>2</v>
      </c>
    </row>
    <row r="237" spans="1:103" x14ac:dyDescent="0.25">
      <c r="A237" s="7">
        <v>194</v>
      </c>
      <c r="B237" s="16">
        <v>42121</v>
      </c>
      <c r="C237" s="1">
        <v>1082453</v>
      </c>
      <c r="D237" s="542" t="s">
        <v>2740</v>
      </c>
      <c r="E237" s="1" t="str">
        <f t="shared" si="270"/>
        <v xml:space="preserve">NBI, Waiver, </v>
      </c>
      <c r="F237" s="1" t="str">
        <f t="shared" si="271"/>
        <v xml:space="preserve">MDR, COE, 2x2, </v>
      </c>
      <c r="G237" s="1" t="s">
        <v>474</v>
      </c>
      <c r="I237" s="16">
        <v>42124</v>
      </c>
      <c r="K237" s="152" t="str">
        <f t="shared" ca="1" si="199"/>
        <v>Dedlyn!</v>
      </c>
      <c r="N237" s="153" t="str">
        <f t="shared" si="229"/>
        <v>READY!</v>
      </c>
      <c r="O237" s="1" t="s">
        <v>301</v>
      </c>
      <c r="Q237" s="1" t="s">
        <v>2694</v>
      </c>
      <c r="R237" s="1">
        <v>9239517267</v>
      </c>
      <c r="S237" s="153">
        <f t="shared" si="272"/>
        <v>9239517267</v>
      </c>
      <c r="T237" s="153" t="str">
        <f t="shared" si="273"/>
        <v/>
      </c>
      <c r="U237" s="1" t="s">
        <v>2860</v>
      </c>
      <c r="V237" s="1" t="s">
        <v>2693</v>
      </c>
      <c r="W237" s="1" t="s">
        <v>2691</v>
      </c>
      <c r="X237" s="1" t="s">
        <v>2692</v>
      </c>
      <c r="Y237" s="1" t="s">
        <v>73</v>
      </c>
      <c r="Z237" s="1" t="s">
        <v>74</v>
      </c>
      <c r="AA237" s="1" t="str">
        <f t="shared" si="259"/>
        <v>Php 17,000</v>
      </c>
      <c r="AC237" s="1" t="str">
        <f t="shared" si="260"/>
        <v>Php 1,000</v>
      </c>
      <c r="AD237" s="1" t="str">
        <f t="shared" si="261"/>
        <v>Php 4,000</v>
      </c>
      <c r="AH237" s="1" t="s">
        <v>52</v>
      </c>
      <c r="AI237" s="1" t="s">
        <v>253</v>
      </c>
      <c r="AJ237" s="153" t="str">
        <f t="shared" si="268"/>
        <v/>
      </c>
      <c r="AL237" s="1" t="s">
        <v>1703</v>
      </c>
      <c r="AM237" s="1" t="s">
        <v>854</v>
      </c>
      <c r="AN237" s="16">
        <v>33566</v>
      </c>
      <c r="AO237" s="1" t="s">
        <v>2818</v>
      </c>
      <c r="AP237" s="1" t="s">
        <v>2818</v>
      </c>
      <c r="AQ237" s="1" t="s">
        <v>53</v>
      </c>
      <c r="AR237" s="1" t="s">
        <v>378</v>
      </c>
      <c r="AS237" s="169">
        <v>42125</v>
      </c>
      <c r="AT237" s="170">
        <v>42125</v>
      </c>
      <c r="AU237" s="170">
        <v>42125</v>
      </c>
      <c r="AW237" s="169">
        <v>42125</v>
      </c>
      <c r="AX237" s="112" t="s">
        <v>2824</v>
      </c>
      <c r="AZ237" s="170">
        <v>42125</v>
      </c>
      <c r="BA237" s="170">
        <v>42125</v>
      </c>
      <c r="BC237" s="169">
        <v>42129</v>
      </c>
      <c r="BD237" s="172" t="s">
        <v>3023</v>
      </c>
      <c r="BE237" s="169">
        <v>42125</v>
      </c>
      <c r="BF237" s="172" t="s">
        <v>2819</v>
      </c>
      <c r="BG237" s="169">
        <v>42125</v>
      </c>
      <c r="BH237" s="188" t="s">
        <v>2828</v>
      </c>
      <c r="BM237" s="169">
        <v>42129</v>
      </c>
      <c r="BQ237" s="170">
        <v>42129</v>
      </c>
      <c r="BS237" s="169">
        <v>42124</v>
      </c>
      <c r="BT237" s="170">
        <v>42124</v>
      </c>
      <c r="BU237" s="181">
        <v>42124</v>
      </c>
      <c r="BW237" s="398" t="str">
        <f t="shared" si="274"/>
        <v xml:space="preserve">1905 (for processing) 5/1/2015, 2305 (for processing) 5/1/2015, </v>
      </c>
      <c r="BX237" s="398">
        <f t="shared" si="275"/>
        <v>9</v>
      </c>
      <c r="BY237" s="398">
        <f t="shared" si="276"/>
        <v>11</v>
      </c>
      <c r="BZ237" s="399">
        <f t="shared" si="277"/>
        <v>0.81818181818181823</v>
      </c>
      <c r="CA237" s="168" t="str">
        <f t="shared" si="278"/>
        <v/>
      </c>
      <c r="CB237" s="151" t="str">
        <f t="shared" si="279"/>
        <v/>
      </c>
      <c r="CC237" s="153" t="str">
        <f t="shared" ca="1" si="280"/>
        <v/>
      </c>
      <c r="CD237" s="153" t="str">
        <f t="shared" si="281"/>
        <v/>
      </c>
      <c r="CE237" s="153" t="str">
        <f t="shared" si="282"/>
        <v/>
      </c>
      <c r="CF237" s="396" t="str">
        <f t="shared" si="283"/>
        <v/>
      </c>
      <c r="CG237" s="397" t="str">
        <f t="shared" si="284"/>
        <v/>
      </c>
      <c r="CH237" s="153" t="str">
        <f t="shared" si="285"/>
        <v/>
      </c>
      <c r="CI237" s="151" t="str">
        <f t="shared" si="286"/>
        <v/>
      </c>
      <c r="CJ237" s="151" t="str">
        <f t="shared" si="287"/>
        <v/>
      </c>
      <c r="CK237" s="153">
        <f t="shared" si="288"/>
        <v>3</v>
      </c>
      <c r="CL237" s="153">
        <f t="shared" si="289"/>
        <v>3</v>
      </c>
      <c r="CM237" s="153">
        <f t="shared" si="290"/>
        <v>3</v>
      </c>
      <c r="CN237" s="153">
        <f t="shared" si="291"/>
        <v>0</v>
      </c>
      <c r="CO237" s="153">
        <f t="shared" si="292"/>
        <v>2</v>
      </c>
      <c r="CP237" s="153">
        <f t="shared" si="293"/>
        <v>2</v>
      </c>
      <c r="CQ237" s="153">
        <f t="shared" si="294"/>
        <v>1</v>
      </c>
      <c r="CR237" s="153">
        <f t="shared" si="295"/>
        <v>2</v>
      </c>
      <c r="CS237" s="153">
        <f t="shared" si="296"/>
        <v>0</v>
      </c>
      <c r="CT237" s="153">
        <f t="shared" si="297"/>
        <v>3</v>
      </c>
      <c r="CU237" s="153">
        <f t="shared" si="298"/>
        <v>2</v>
      </c>
      <c r="CV237" s="153">
        <f t="shared" si="299"/>
        <v>3</v>
      </c>
      <c r="CW237" s="153">
        <f t="shared" si="300"/>
        <v>0</v>
      </c>
      <c r="CX237" s="153">
        <f t="shared" si="301"/>
        <v>2</v>
      </c>
      <c r="CY237" s="153">
        <f t="shared" si="302"/>
        <v>3</v>
      </c>
    </row>
    <row r="238" spans="1:103" x14ac:dyDescent="0.25">
      <c r="A238" s="7">
        <v>194</v>
      </c>
      <c r="B238" s="16">
        <v>42121</v>
      </c>
      <c r="C238" s="1">
        <v>1082454</v>
      </c>
      <c r="D238" s="542" t="s">
        <v>2741</v>
      </c>
      <c r="E238" s="1" t="str">
        <f t="shared" si="270"/>
        <v xml:space="preserve">NBI, Info, AWOL, Hand, Waiver, 1905, 2305, </v>
      </c>
      <c r="F238" s="1" t="str">
        <f t="shared" si="271"/>
        <v xml:space="preserve">MDR, COE, </v>
      </c>
      <c r="G238" s="1" t="s">
        <v>474</v>
      </c>
      <c r="I238" s="16">
        <v>42124</v>
      </c>
      <c r="K238" s="152" t="str">
        <f t="shared" ca="1" si="199"/>
        <v>Dedlyn!</v>
      </c>
      <c r="N238" s="153" t="str">
        <f t="shared" si="229"/>
        <v/>
      </c>
      <c r="O238" s="1" t="s">
        <v>301</v>
      </c>
      <c r="Q238" s="1" t="s">
        <v>2698</v>
      </c>
      <c r="R238" s="1">
        <v>9153171212</v>
      </c>
      <c r="S238" s="153">
        <f t="shared" si="272"/>
        <v>9153171212</v>
      </c>
      <c r="T238" s="153" t="str">
        <f t="shared" si="273"/>
        <v/>
      </c>
      <c r="U238" s="1" t="s">
        <v>2861</v>
      </c>
      <c r="V238" s="1" t="s">
        <v>2697</v>
      </c>
      <c r="W238" s="1" t="s">
        <v>2695</v>
      </c>
      <c r="X238" s="1" t="s">
        <v>2696</v>
      </c>
      <c r="Y238" s="1" t="s">
        <v>73</v>
      </c>
      <c r="Z238" s="1" t="s">
        <v>70</v>
      </c>
      <c r="AA238" s="1" t="str">
        <f t="shared" si="259"/>
        <v>Php 16,000</v>
      </c>
      <c r="AC238" s="1" t="str">
        <f t="shared" si="260"/>
        <v>Php 1,000</v>
      </c>
      <c r="AD238" s="1" t="str">
        <f t="shared" si="261"/>
        <v>Php 3,000</v>
      </c>
      <c r="AH238" s="1" t="s">
        <v>52</v>
      </c>
      <c r="AI238" s="1" t="s">
        <v>2699</v>
      </c>
      <c r="AJ238" s="153" t="str">
        <f t="shared" si="268"/>
        <v>Gerome Gingco</v>
      </c>
      <c r="AL238" s="1" t="s">
        <v>247</v>
      </c>
      <c r="AM238" s="1" t="s">
        <v>854</v>
      </c>
      <c r="AN238" s="16">
        <v>32653</v>
      </c>
      <c r="AW238" s="169">
        <v>42132</v>
      </c>
      <c r="AX238" s="112" t="s">
        <v>3109</v>
      </c>
      <c r="BC238" s="169">
        <v>42125</v>
      </c>
      <c r="BD238" s="172" t="s">
        <v>2817</v>
      </c>
      <c r="BE238" s="169">
        <v>42132</v>
      </c>
      <c r="BF238" s="172" t="s">
        <v>3280</v>
      </c>
      <c r="BG238" s="169">
        <v>42132</v>
      </c>
      <c r="BH238" s="188" t="s">
        <v>3108</v>
      </c>
      <c r="BM238" s="169">
        <v>42125</v>
      </c>
      <c r="BP238" s="169">
        <v>42125</v>
      </c>
      <c r="BQ238" s="170">
        <v>42125</v>
      </c>
      <c r="BS238" s="169">
        <v>42124</v>
      </c>
      <c r="BT238" s="170">
        <v>42124</v>
      </c>
      <c r="BU238" s="181">
        <v>42124</v>
      </c>
      <c r="BW238" s="398" t="str">
        <f t="shared" si="274"/>
        <v/>
      </c>
      <c r="BX238" s="398">
        <f t="shared" si="275"/>
        <v>5</v>
      </c>
      <c r="BY238" s="398">
        <f t="shared" si="276"/>
        <v>11</v>
      </c>
      <c r="BZ238" s="399">
        <f t="shared" si="277"/>
        <v>0.45454545454545453</v>
      </c>
      <c r="CA238" s="168" t="str">
        <f t="shared" si="278"/>
        <v/>
      </c>
      <c r="CB238" s="151" t="str">
        <f t="shared" si="279"/>
        <v/>
      </c>
      <c r="CC238" s="153" t="str">
        <f t="shared" ca="1" si="280"/>
        <v/>
      </c>
      <c r="CD238" s="153" t="str">
        <f t="shared" si="281"/>
        <v/>
      </c>
      <c r="CE238" s="153" t="str">
        <f t="shared" si="282"/>
        <v/>
      </c>
      <c r="CF238" s="396" t="str">
        <f t="shared" si="283"/>
        <v/>
      </c>
      <c r="CG238" s="397" t="str">
        <f t="shared" si="284"/>
        <v/>
      </c>
      <c r="CH238" s="153" t="str">
        <f t="shared" si="285"/>
        <v/>
      </c>
      <c r="CI238" s="151" t="str">
        <f t="shared" si="286"/>
        <v/>
      </c>
      <c r="CJ238" s="151" t="str">
        <f t="shared" si="287"/>
        <v/>
      </c>
      <c r="CK238" s="153">
        <f t="shared" si="288"/>
        <v>4</v>
      </c>
      <c r="CL238" s="153">
        <f t="shared" si="289"/>
        <v>4</v>
      </c>
      <c r="CM238" s="153">
        <f t="shared" si="290"/>
        <v>4</v>
      </c>
      <c r="CN238" s="153">
        <f t="shared" si="291"/>
        <v>0</v>
      </c>
      <c r="CO238" s="153">
        <f t="shared" si="292"/>
        <v>3</v>
      </c>
      <c r="CP238" s="153">
        <f t="shared" si="293"/>
        <v>2</v>
      </c>
      <c r="CQ238" s="153">
        <f t="shared" si="294"/>
        <v>1</v>
      </c>
      <c r="CR238" s="153">
        <f t="shared" si="295"/>
        <v>2</v>
      </c>
      <c r="CS238" s="153">
        <f t="shared" si="296"/>
        <v>0</v>
      </c>
      <c r="CT238" s="153">
        <f t="shared" si="297"/>
        <v>4</v>
      </c>
      <c r="CU238" s="153">
        <f t="shared" si="298"/>
        <v>2</v>
      </c>
      <c r="CV238" s="153">
        <f t="shared" si="299"/>
        <v>3</v>
      </c>
      <c r="CW238" s="153">
        <f t="shared" si="300"/>
        <v>0</v>
      </c>
      <c r="CX238" s="153">
        <f t="shared" si="301"/>
        <v>2</v>
      </c>
      <c r="CY238" s="153">
        <f t="shared" si="302"/>
        <v>4</v>
      </c>
    </row>
    <row r="239" spans="1:103" s="8" customFormat="1" x14ac:dyDescent="0.25">
      <c r="A239" s="133">
        <v>194</v>
      </c>
      <c r="B239" s="20">
        <v>42121</v>
      </c>
      <c r="C239" s="8">
        <v>1082455</v>
      </c>
      <c r="D239" s="541" t="s">
        <v>2742</v>
      </c>
      <c r="E239" s="8" t="str">
        <f t="shared" si="270"/>
        <v/>
      </c>
      <c r="F239" s="8" t="str">
        <f t="shared" si="271"/>
        <v/>
      </c>
      <c r="G239" s="8" t="s">
        <v>474</v>
      </c>
      <c r="I239" s="20">
        <v>42124</v>
      </c>
      <c r="K239" s="132" t="str">
        <f t="shared" ca="1" si="199"/>
        <v/>
      </c>
      <c r="N239" s="113" t="str">
        <f t="shared" si="229"/>
        <v/>
      </c>
      <c r="O239" s="8" t="s">
        <v>298</v>
      </c>
      <c r="P239" s="8" t="s">
        <v>689</v>
      </c>
      <c r="Q239" s="8" t="s">
        <v>2703</v>
      </c>
      <c r="R239" s="8">
        <v>9276337560</v>
      </c>
      <c r="S239" s="113">
        <f t="shared" si="272"/>
        <v>9276337560</v>
      </c>
      <c r="T239" s="113" t="str">
        <f t="shared" si="273"/>
        <v/>
      </c>
      <c r="U239" s="8" t="s">
        <v>2862</v>
      </c>
      <c r="V239" s="8" t="s">
        <v>2702</v>
      </c>
      <c r="W239" s="8" t="s">
        <v>2700</v>
      </c>
      <c r="X239" s="8" t="s">
        <v>2701</v>
      </c>
      <c r="Y239" s="8" t="s">
        <v>73</v>
      </c>
      <c r="Z239" s="8" t="s">
        <v>74</v>
      </c>
      <c r="AA239" s="8" t="str">
        <f t="shared" si="259"/>
        <v>Php 17,000</v>
      </c>
      <c r="AC239" s="8" t="str">
        <f t="shared" si="260"/>
        <v>Php 1,000</v>
      </c>
      <c r="AD239" s="8" t="str">
        <f t="shared" si="261"/>
        <v>Php 4,000</v>
      </c>
      <c r="AH239" s="8" t="s">
        <v>52</v>
      </c>
      <c r="AI239" s="8" t="s">
        <v>253</v>
      </c>
      <c r="AJ239" s="113" t="str">
        <f t="shared" si="268"/>
        <v/>
      </c>
      <c r="AL239" s="8" t="s">
        <v>1475</v>
      </c>
      <c r="AM239" s="8" t="s">
        <v>854</v>
      </c>
      <c r="AN239" s="20">
        <v>34293</v>
      </c>
      <c r="AO239" s="8" t="s">
        <v>2796</v>
      </c>
      <c r="AP239" s="8" t="s">
        <v>2796</v>
      </c>
      <c r="AQ239" s="8" t="s">
        <v>50</v>
      </c>
      <c r="AR239" s="8" t="s">
        <v>378</v>
      </c>
      <c r="AS239" s="187">
        <v>42124</v>
      </c>
      <c r="AT239" s="113"/>
      <c r="AU239" s="129">
        <v>42133</v>
      </c>
      <c r="AV239" s="182"/>
      <c r="AW239" s="187">
        <v>42133</v>
      </c>
      <c r="AX239" s="113" t="s">
        <v>3128</v>
      </c>
      <c r="AY239" s="113"/>
      <c r="AZ239" s="129">
        <v>42133</v>
      </c>
      <c r="BA239" s="129">
        <v>42133</v>
      </c>
      <c r="BB239" s="177">
        <v>42133</v>
      </c>
      <c r="BC239" s="187">
        <v>42133</v>
      </c>
      <c r="BD239" s="182" t="s">
        <v>3126</v>
      </c>
      <c r="BE239" s="187"/>
      <c r="BF239" s="182"/>
      <c r="BG239" s="187">
        <v>42133</v>
      </c>
      <c r="BH239" s="274" t="s">
        <v>3127</v>
      </c>
      <c r="BI239" s="177"/>
      <c r="BJ239" s="165"/>
      <c r="BK239" s="113"/>
      <c r="BL239" s="182"/>
      <c r="BM239" s="187"/>
      <c r="BN239" s="113"/>
      <c r="BO239" s="182"/>
      <c r="BP239" s="165"/>
      <c r="BQ239" s="113"/>
      <c r="BR239" s="177">
        <v>42133</v>
      </c>
      <c r="BS239" s="187">
        <v>42124</v>
      </c>
      <c r="BT239" s="129">
        <v>42124</v>
      </c>
      <c r="BU239" s="177">
        <v>42124</v>
      </c>
      <c r="BV239" s="182"/>
      <c r="BW239" s="532" t="str">
        <f t="shared" si="274"/>
        <v xml:space="preserve">1905 (for processing) 5/9/2015, 2305 (for processing) 5/9/2015, </v>
      </c>
      <c r="BX239" s="532" t="str">
        <f t="shared" si="275"/>
        <v/>
      </c>
      <c r="BY239" s="532" t="str">
        <f t="shared" si="276"/>
        <v/>
      </c>
      <c r="BZ239" s="533" t="str">
        <f t="shared" si="277"/>
        <v/>
      </c>
      <c r="CA239" s="165" t="str">
        <f t="shared" si="278"/>
        <v/>
      </c>
      <c r="CB239" s="129" t="str">
        <f t="shared" si="279"/>
        <v/>
      </c>
      <c r="CC239" s="113" t="str">
        <f t="shared" ca="1" si="280"/>
        <v/>
      </c>
      <c r="CD239" s="113" t="str">
        <f t="shared" si="281"/>
        <v/>
      </c>
      <c r="CE239" s="113" t="str">
        <f t="shared" si="282"/>
        <v/>
      </c>
      <c r="CF239" s="534" t="str">
        <f t="shared" si="283"/>
        <v/>
      </c>
      <c r="CG239" s="535" t="str">
        <f t="shared" si="284"/>
        <v/>
      </c>
      <c r="CH239" s="113" t="str">
        <f t="shared" si="285"/>
        <v/>
      </c>
      <c r="CI239" s="129" t="str">
        <f t="shared" si="286"/>
        <v/>
      </c>
      <c r="CJ239" s="129" t="str">
        <f t="shared" si="287"/>
        <v/>
      </c>
      <c r="CK239" s="113">
        <f t="shared" si="288"/>
        <v>4</v>
      </c>
      <c r="CL239" s="113">
        <f t="shared" si="289"/>
        <v>4</v>
      </c>
      <c r="CM239" s="113">
        <f t="shared" si="290"/>
        <v>4</v>
      </c>
      <c r="CN239" s="113">
        <f t="shared" si="291"/>
        <v>0</v>
      </c>
      <c r="CO239" s="113">
        <f t="shared" si="292"/>
        <v>3</v>
      </c>
      <c r="CP239" s="113">
        <f t="shared" si="293"/>
        <v>2</v>
      </c>
      <c r="CQ239" s="113">
        <f t="shared" si="294"/>
        <v>1</v>
      </c>
      <c r="CR239" s="113">
        <f t="shared" si="295"/>
        <v>2</v>
      </c>
      <c r="CS239" s="113">
        <f t="shared" si="296"/>
        <v>0</v>
      </c>
      <c r="CT239" s="113">
        <f t="shared" si="297"/>
        <v>4</v>
      </c>
      <c r="CU239" s="113">
        <f t="shared" si="298"/>
        <v>2</v>
      </c>
      <c r="CV239" s="113">
        <f t="shared" si="299"/>
        <v>3</v>
      </c>
      <c r="CW239" s="113">
        <f t="shared" si="300"/>
        <v>0</v>
      </c>
      <c r="CX239" s="113">
        <f t="shared" si="301"/>
        <v>3</v>
      </c>
      <c r="CY239" s="113">
        <f t="shared" si="302"/>
        <v>4</v>
      </c>
    </row>
    <row r="240" spans="1:103" s="8" customFormat="1" x14ac:dyDescent="0.25">
      <c r="A240" s="133">
        <v>194</v>
      </c>
      <c r="B240" s="20">
        <v>42121</v>
      </c>
      <c r="C240" s="8">
        <v>1082456</v>
      </c>
      <c r="D240" s="541" t="s">
        <v>2743</v>
      </c>
      <c r="E240" s="8" t="str">
        <f t="shared" si="270"/>
        <v/>
      </c>
      <c r="F240" s="8" t="str">
        <f t="shared" si="271"/>
        <v/>
      </c>
      <c r="G240" s="8" t="s">
        <v>474</v>
      </c>
      <c r="I240" s="20">
        <v>42124</v>
      </c>
      <c r="K240" s="132" t="str">
        <f t="shared" ref="K240:K289" ca="1" si="303">IF(IF(OR(O240="c",O240="n"),"",IF(L240="",IF((TODAY()-B240)&gt;20,"Dedlyn!",(B240+18)-TODAY()),L240-TODAY()))&lt;1,"Dedlyn!",IF(OR(O240="c",O240="n"),"",IF(L240="",IF((TODAY()-B240)&gt;20,"Dedlyn!",(B240+18)-TODAY()),L240-TODAY())))</f>
        <v/>
      </c>
      <c r="N240" s="113" t="str">
        <f t="shared" si="229"/>
        <v/>
      </c>
      <c r="O240" s="8" t="s">
        <v>298</v>
      </c>
      <c r="P240" s="8" t="s">
        <v>689</v>
      </c>
      <c r="Q240" s="8" t="s">
        <v>2706</v>
      </c>
      <c r="R240" s="8">
        <v>9163274051</v>
      </c>
      <c r="S240" s="113">
        <f t="shared" si="272"/>
        <v>9163274051</v>
      </c>
      <c r="T240" s="113" t="str">
        <f t="shared" si="273"/>
        <v/>
      </c>
      <c r="V240" s="8" t="s">
        <v>2705</v>
      </c>
      <c r="W240" s="8" t="s">
        <v>2704</v>
      </c>
      <c r="X240" s="8" t="s">
        <v>616</v>
      </c>
      <c r="Y240" s="8" t="s">
        <v>73</v>
      </c>
      <c r="Z240" s="8" t="s">
        <v>70</v>
      </c>
      <c r="AA240" s="8" t="str">
        <f t="shared" si="259"/>
        <v>Php 16,000</v>
      </c>
      <c r="AC240" s="8" t="str">
        <f t="shared" si="260"/>
        <v>Php 1,000</v>
      </c>
      <c r="AD240" s="8" t="str">
        <f t="shared" si="261"/>
        <v>Php 3,000</v>
      </c>
      <c r="AH240" s="8" t="s">
        <v>52</v>
      </c>
      <c r="AI240" s="8" t="s">
        <v>253</v>
      </c>
      <c r="AJ240" s="113" t="str">
        <f t="shared" si="268"/>
        <v/>
      </c>
      <c r="AL240" s="8" t="s">
        <v>247</v>
      </c>
      <c r="AM240" s="8" t="s">
        <v>854</v>
      </c>
      <c r="AN240" s="20">
        <v>33144</v>
      </c>
      <c r="AS240" s="165"/>
      <c r="AT240" s="113"/>
      <c r="AU240" s="113"/>
      <c r="AV240" s="182"/>
      <c r="AW240" s="187"/>
      <c r="AX240" s="113"/>
      <c r="AY240" s="113"/>
      <c r="AZ240" s="113"/>
      <c r="BA240" s="113"/>
      <c r="BB240" s="182"/>
      <c r="BC240" s="165"/>
      <c r="BD240" s="182"/>
      <c r="BE240" s="165"/>
      <c r="BF240" s="182"/>
      <c r="BG240" s="165"/>
      <c r="BH240" s="274"/>
      <c r="BI240" s="182"/>
      <c r="BJ240" s="165"/>
      <c r="BK240" s="113"/>
      <c r="BL240" s="182"/>
      <c r="BM240" s="165"/>
      <c r="BN240" s="113"/>
      <c r="BO240" s="182"/>
      <c r="BP240" s="165"/>
      <c r="BQ240" s="113"/>
      <c r="BR240" s="182"/>
      <c r="BS240" s="187">
        <v>42124</v>
      </c>
      <c r="BT240" s="129">
        <v>42124</v>
      </c>
      <c r="BU240" s="177">
        <v>42124</v>
      </c>
      <c r="BV240" s="182"/>
      <c r="BW240" s="532" t="str">
        <f t="shared" si="274"/>
        <v/>
      </c>
      <c r="BX240" s="532" t="str">
        <f t="shared" si="275"/>
        <v/>
      </c>
      <c r="BY240" s="532" t="str">
        <f t="shared" si="276"/>
        <v/>
      </c>
      <c r="BZ240" s="533" t="str">
        <f t="shared" si="277"/>
        <v/>
      </c>
      <c r="CA240" s="165" t="str">
        <f t="shared" si="278"/>
        <v/>
      </c>
      <c r="CB240" s="129" t="str">
        <f t="shared" si="279"/>
        <v/>
      </c>
      <c r="CC240" s="113" t="str">
        <f t="shared" ca="1" si="280"/>
        <v/>
      </c>
      <c r="CD240" s="113" t="str">
        <f t="shared" si="281"/>
        <v/>
      </c>
      <c r="CE240" s="113" t="str">
        <f t="shared" si="282"/>
        <v/>
      </c>
      <c r="CF240" s="534" t="str">
        <f t="shared" si="283"/>
        <v/>
      </c>
      <c r="CG240" s="535" t="str">
        <f t="shared" si="284"/>
        <v/>
      </c>
      <c r="CH240" s="113" t="str">
        <f t="shared" si="285"/>
        <v/>
      </c>
      <c r="CI240" s="129" t="str">
        <f t="shared" si="286"/>
        <v/>
      </c>
      <c r="CJ240" s="129" t="str">
        <f t="shared" si="287"/>
        <v/>
      </c>
      <c r="CK240" s="113">
        <f t="shared" si="288"/>
        <v>4</v>
      </c>
      <c r="CL240" s="113">
        <f t="shared" si="289"/>
        <v>4</v>
      </c>
      <c r="CM240" s="113">
        <f t="shared" si="290"/>
        <v>4</v>
      </c>
      <c r="CN240" s="113">
        <f t="shared" si="291"/>
        <v>0</v>
      </c>
      <c r="CO240" s="113">
        <f t="shared" si="292"/>
        <v>3</v>
      </c>
      <c r="CP240" s="113">
        <f t="shared" si="293"/>
        <v>2</v>
      </c>
      <c r="CQ240" s="113">
        <f t="shared" si="294"/>
        <v>1</v>
      </c>
      <c r="CR240" s="113">
        <f t="shared" si="295"/>
        <v>2</v>
      </c>
      <c r="CS240" s="113">
        <f t="shared" si="296"/>
        <v>0</v>
      </c>
      <c r="CT240" s="113">
        <f t="shared" si="297"/>
        <v>4</v>
      </c>
      <c r="CU240" s="113">
        <f t="shared" si="298"/>
        <v>2</v>
      </c>
      <c r="CV240" s="113">
        <f t="shared" si="299"/>
        <v>3</v>
      </c>
      <c r="CW240" s="113">
        <f t="shared" si="300"/>
        <v>0</v>
      </c>
      <c r="CX240" s="113">
        <f t="shared" si="301"/>
        <v>4</v>
      </c>
      <c r="CY240" s="113">
        <f t="shared" si="302"/>
        <v>4</v>
      </c>
    </row>
    <row r="241" spans="1:103" s="321" customFormat="1" x14ac:dyDescent="0.25">
      <c r="A241" s="382">
        <v>194</v>
      </c>
      <c r="B241" s="334">
        <v>42121</v>
      </c>
      <c r="C241" s="321">
        <v>1082457</v>
      </c>
      <c r="D241" s="543" t="s">
        <v>2744</v>
      </c>
      <c r="E241" s="321" t="str">
        <f t="shared" si="270"/>
        <v/>
      </c>
      <c r="F241" s="321" t="str">
        <f t="shared" si="271"/>
        <v xml:space="preserve">MDR, COE, 2x2, </v>
      </c>
      <c r="G241" s="321" t="s">
        <v>474</v>
      </c>
      <c r="I241" s="334">
        <v>42124</v>
      </c>
      <c r="K241" s="384" t="str">
        <f t="shared" ca="1" si="303"/>
        <v/>
      </c>
      <c r="N241" s="317" t="str">
        <f t="shared" si="229"/>
        <v>READY!</v>
      </c>
      <c r="O241" s="321" t="s">
        <v>302</v>
      </c>
      <c r="Q241" s="321" t="s">
        <v>2710</v>
      </c>
      <c r="R241" s="321">
        <v>9266727986</v>
      </c>
      <c r="S241" s="317">
        <f t="shared" si="272"/>
        <v>9266727986</v>
      </c>
      <c r="T241" s="317" t="str">
        <f t="shared" si="273"/>
        <v/>
      </c>
      <c r="U241" s="321" t="s">
        <v>2863</v>
      </c>
      <c r="V241" s="321" t="s">
        <v>2709</v>
      </c>
      <c r="W241" s="321" t="s">
        <v>2707</v>
      </c>
      <c r="X241" s="321" t="s">
        <v>2708</v>
      </c>
      <c r="Y241" s="321" t="s">
        <v>73</v>
      </c>
      <c r="Z241" s="321" t="s">
        <v>74</v>
      </c>
      <c r="AA241" s="321" t="str">
        <f t="shared" si="259"/>
        <v>Php 17,000</v>
      </c>
      <c r="AC241" s="321" t="str">
        <f t="shared" si="260"/>
        <v>Php 1,000</v>
      </c>
      <c r="AD241" s="321" t="str">
        <f t="shared" si="261"/>
        <v>Php 4,000</v>
      </c>
      <c r="AH241" s="321" t="s">
        <v>52</v>
      </c>
      <c r="AI241" s="321" t="s">
        <v>253</v>
      </c>
      <c r="AJ241" s="317" t="str">
        <f t="shared" si="268"/>
        <v/>
      </c>
      <c r="AL241" s="321" t="s">
        <v>265</v>
      </c>
      <c r="AM241" s="321" t="s">
        <v>854</v>
      </c>
      <c r="AN241" s="334">
        <v>33239</v>
      </c>
      <c r="AO241" s="321" t="s">
        <v>2795</v>
      </c>
      <c r="AP241" s="321" t="s">
        <v>2795</v>
      </c>
      <c r="AQ241" s="321" t="s">
        <v>53</v>
      </c>
      <c r="AR241" s="321" t="s">
        <v>973</v>
      </c>
      <c r="AS241" s="332">
        <v>42124</v>
      </c>
      <c r="AT241" s="318">
        <v>42124</v>
      </c>
      <c r="AU241" s="318">
        <v>42124</v>
      </c>
      <c r="AV241" s="329">
        <v>42133</v>
      </c>
      <c r="AW241" s="332">
        <v>42131</v>
      </c>
      <c r="AX241" s="317" t="s">
        <v>3084</v>
      </c>
      <c r="AY241" s="317"/>
      <c r="AZ241" s="318">
        <v>42131</v>
      </c>
      <c r="BA241" s="318">
        <v>42131</v>
      </c>
      <c r="BB241" s="326"/>
      <c r="BC241" s="332">
        <v>42130</v>
      </c>
      <c r="BD241" s="326" t="s">
        <v>3042</v>
      </c>
      <c r="BE241" s="332">
        <v>42130</v>
      </c>
      <c r="BF241" s="326" t="s">
        <v>3129</v>
      </c>
      <c r="BG241" s="332">
        <v>42133</v>
      </c>
      <c r="BH241" s="385" t="s">
        <v>3130</v>
      </c>
      <c r="BI241" s="326"/>
      <c r="BJ241" s="332">
        <v>42130</v>
      </c>
      <c r="BK241" s="317"/>
      <c r="BL241" s="326"/>
      <c r="BM241" s="332">
        <v>42124</v>
      </c>
      <c r="BN241" s="317"/>
      <c r="BO241" s="329">
        <v>42124</v>
      </c>
      <c r="BP241" s="337"/>
      <c r="BQ241" s="318">
        <v>42130</v>
      </c>
      <c r="BR241" s="326"/>
      <c r="BS241" s="332">
        <v>42124</v>
      </c>
      <c r="BT241" s="318">
        <v>42124</v>
      </c>
      <c r="BU241" s="329">
        <v>42124</v>
      </c>
      <c r="BV241" s="326"/>
      <c r="BW241" s="536" t="str">
        <f t="shared" si="274"/>
        <v xml:space="preserve">1905 (for processing) 5/7/2015, 2305 (for processing) 5/7/2015, </v>
      </c>
      <c r="BX241" s="536">
        <f t="shared" si="275"/>
        <v>11</v>
      </c>
      <c r="BY241" s="536">
        <f t="shared" si="276"/>
        <v>11</v>
      </c>
      <c r="BZ241" s="537">
        <f t="shared" si="277"/>
        <v>1</v>
      </c>
      <c r="CA241" s="337" t="str">
        <f t="shared" si="278"/>
        <v/>
      </c>
      <c r="CB241" s="318" t="str">
        <f t="shared" si="279"/>
        <v/>
      </c>
      <c r="CC241" s="317" t="str">
        <f t="shared" ca="1" si="280"/>
        <v/>
      </c>
      <c r="CD241" s="317" t="str">
        <f t="shared" si="281"/>
        <v/>
      </c>
      <c r="CE241" s="317" t="str">
        <f t="shared" si="282"/>
        <v/>
      </c>
      <c r="CF241" s="538" t="str">
        <f t="shared" si="283"/>
        <v/>
      </c>
      <c r="CG241" s="539" t="str">
        <f t="shared" si="284"/>
        <v/>
      </c>
      <c r="CH241" s="317" t="str">
        <f t="shared" si="285"/>
        <v/>
      </c>
      <c r="CI241" s="318" t="str">
        <f t="shared" si="286"/>
        <v/>
      </c>
      <c r="CJ241" s="318" t="str">
        <f t="shared" si="287"/>
        <v/>
      </c>
      <c r="CK241" s="317">
        <f t="shared" si="288"/>
        <v>5</v>
      </c>
      <c r="CL241" s="317">
        <f t="shared" si="289"/>
        <v>5</v>
      </c>
      <c r="CM241" s="317">
        <f t="shared" si="290"/>
        <v>5</v>
      </c>
      <c r="CN241" s="317">
        <f t="shared" si="291"/>
        <v>1</v>
      </c>
      <c r="CO241" s="317">
        <f t="shared" si="292"/>
        <v>4</v>
      </c>
      <c r="CP241" s="317">
        <f t="shared" si="293"/>
        <v>3</v>
      </c>
      <c r="CQ241" s="317">
        <f t="shared" si="294"/>
        <v>2</v>
      </c>
      <c r="CR241" s="317">
        <f t="shared" si="295"/>
        <v>3</v>
      </c>
      <c r="CS241" s="317">
        <f t="shared" si="296"/>
        <v>1</v>
      </c>
      <c r="CT241" s="317">
        <f t="shared" si="297"/>
        <v>5</v>
      </c>
      <c r="CU241" s="317">
        <f t="shared" si="298"/>
        <v>3</v>
      </c>
      <c r="CV241" s="317">
        <f t="shared" si="299"/>
        <v>4</v>
      </c>
      <c r="CW241" s="317">
        <f t="shared" si="300"/>
        <v>1</v>
      </c>
      <c r="CX241" s="317">
        <f t="shared" si="301"/>
        <v>4</v>
      </c>
      <c r="CY241" s="317">
        <f t="shared" si="302"/>
        <v>5</v>
      </c>
    </row>
    <row r="242" spans="1:103" s="8" customFormat="1" x14ac:dyDescent="0.25">
      <c r="A242" s="133">
        <v>194</v>
      </c>
      <c r="B242" s="20">
        <v>42121</v>
      </c>
      <c r="C242" s="8">
        <v>1082458</v>
      </c>
      <c r="D242" s="541" t="s">
        <v>2745</v>
      </c>
      <c r="E242" s="8" t="str">
        <f t="shared" si="270"/>
        <v/>
      </c>
      <c r="F242" s="8" t="str">
        <f t="shared" si="271"/>
        <v/>
      </c>
      <c r="G242" s="8" t="s">
        <v>474</v>
      </c>
      <c r="I242" s="20">
        <v>42124</v>
      </c>
      <c r="K242" s="132" t="str">
        <f t="shared" ca="1" si="303"/>
        <v/>
      </c>
      <c r="N242" s="113" t="str">
        <f t="shared" si="229"/>
        <v/>
      </c>
      <c r="O242" s="8" t="s">
        <v>298</v>
      </c>
      <c r="P242" s="8" t="s">
        <v>689</v>
      </c>
      <c r="Q242" s="8" t="s">
        <v>2712</v>
      </c>
      <c r="R242" s="8">
        <v>9266709133</v>
      </c>
      <c r="S242" s="113">
        <f t="shared" si="272"/>
        <v>9266709133</v>
      </c>
      <c r="T242" s="113" t="str">
        <f t="shared" si="273"/>
        <v/>
      </c>
      <c r="V242" s="8" t="s">
        <v>1283</v>
      </c>
      <c r="W242" s="8" t="s">
        <v>2711</v>
      </c>
      <c r="X242" s="8" t="s">
        <v>2418</v>
      </c>
      <c r="Y242" s="8" t="s">
        <v>73</v>
      </c>
      <c r="Z242" s="8" t="s">
        <v>70</v>
      </c>
      <c r="AA242" s="8" t="str">
        <f t="shared" si="259"/>
        <v>Php 16,000</v>
      </c>
      <c r="AC242" s="8" t="str">
        <f t="shared" si="260"/>
        <v>Php 1,000</v>
      </c>
      <c r="AD242" s="8" t="str">
        <f t="shared" si="261"/>
        <v>Php 3,000</v>
      </c>
      <c r="AH242" s="8" t="s">
        <v>52</v>
      </c>
      <c r="AI242" s="8" t="s">
        <v>253</v>
      </c>
      <c r="AJ242" s="113" t="str">
        <f t="shared" si="268"/>
        <v/>
      </c>
      <c r="AL242" s="8" t="s">
        <v>265</v>
      </c>
      <c r="AM242" s="8" t="s">
        <v>854</v>
      </c>
      <c r="AN242" s="20">
        <v>32107</v>
      </c>
      <c r="AS242" s="165"/>
      <c r="AT242" s="113"/>
      <c r="AU242" s="113"/>
      <c r="AV242" s="182"/>
      <c r="AW242" s="187"/>
      <c r="AX242" s="113"/>
      <c r="AY242" s="113"/>
      <c r="AZ242" s="113"/>
      <c r="BA242" s="113"/>
      <c r="BB242" s="182"/>
      <c r="BC242" s="165"/>
      <c r="BD242" s="182"/>
      <c r="BE242" s="165"/>
      <c r="BF242" s="182"/>
      <c r="BG242" s="165"/>
      <c r="BH242" s="274"/>
      <c r="BI242" s="182"/>
      <c r="BJ242" s="165"/>
      <c r="BK242" s="113"/>
      <c r="BL242" s="182"/>
      <c r="BM242" s="165"/>
      <c r="BN242" s="113"/>
      <c r="BO242" s="182"/>
      <c r="BP242" s="165"/>
      <c r="BQ242" s="113"/>
      <c r="BR242" s="182"/>
      <c r="BS242" s="187">
        <v>42124</v>
      </c>
      <c r="BT242" s="129">
        <v>42124</v>
      </c>
      <c r="BU242" s="177">
        <v>42124</v>
      </c>
      <c r="BV242" s="182"/>
      <c r="BW242" s="532" t="str">
        <f t="shared" si="274"/>
        <v/>
      </c>
      <c r="BX242" s="532" t="str">
        <f t="shared" si="275"/>
        <v/>
      </c>
      <c r="BY242" s="532" t="str">
        <f t="shared" si="276"/>
        <v/>
      </c>
      <c r="BZ242" s="533" t="str">
        <f t="shared" si="277"/>
        <v/>
      </c>
      <c r="CA242" s="165" t="str">
        <f t="shared" si="278"/>
        <v/>
      </c>
      <c r="CB242" s="129" t="str">
        <f t="shared" si="279"/>
        <v/>
      </c>
      <c r="CC242" s="113" t="str">
        <f t="shared" ca="1" si="280"/>
        <v/>
      </c>
      <c r="CD242" s="113" t="str">
        <f t="shared" si="281"/>
        <v/>
      </c>
      <c r="CE242" s="113" t="str">
        <f t="shared" si="282"/>
        <v/>
      </c>
      <c r="CF242" s="534" t="str">
        <f t="shared" si="283"/>
        <v/>
      </c>
      <c r="CG242" s="535" t="str">
        <f t="shared" si="284"/>
        <v/>
      </c>
      <c r="CH242" s="113" t="str">
        <f t="shared" si="285"/>
        <v/>
      </c>
      <c r="CI242" s="129" t="str">
        <f t="shared" si="286"/>
        <v/>
      </c>
      <c r="CJ242" s="129" t="str">
        <f t="shared" si="287"/>
        <v/>
      </c>
      <c r="CK242" s="113">
        <f t="shared" si="288"/>
        <v>5</v>
      </c>
      <c r="CL242" s="113">
        <f t="shared" si="289"/>
        <v>5</v>
      </c>
      <c r="CM242" s="113">
        <f t="shared" si="290"/>
        <v>5</v>
      </c>
      <c r="CN242" s="113">
        <f t="shared" si="291"/>
        <v>1</v>
      </c>
      <c r="CO242" s="113">
        <f t="shared" si="292"/>
        <v>4</v>
      </c>
      <c r="CP242" s="113">
        <f t="shared" si="293"/>
        <v>3</v>
      </c>
      <c r="CQ242" s="113">
        <f t="shared" si="294"/>
        <v>2</v>
      </c>
      <c r="CR242" s="113">
        <f t="shared" si="295"/>
        <v>3</v>
      </c>
      <c r="CS242" s="113">
        <f t="shared" si="296"/>
        <v>1</v>
      </c>
      <c r="CT242" s="113">
        <f t="shared" si="297"/>
        <v>5</v>
      </c>
      <c r="CU242" s="113">
        <f t="shared" si="298"/>
        <v>3</v>
      </c>
      <c r="CV242" s="113">
        <f t="shared" si="299"/>
        <v>4</v>
      </c>
      <c r="CW242" s="113">
        <f t="shared" si="300"/>
        <v>1</v>
      </c>
      <c r="CX242" s="113">
        <f t="shared" si="301"/>
        <v>5</v>
      </c>
      <c r="CY242" s="113">
        <f t="shared" si="302"/>
        <v>5</v>
      </c>
    </row>
    <row r="243" spans="1:103" s="321" customFormat="1" x14ac:dyDescent="0.25">
      <c r="A243" s="382">
        <v>194</v>
      </c>
      <c r="B243" s="334">
        <v>42121</v>
      </c>
      <c r="C243" s="321">
        <v>1082459</v>
      </c>
      <c r="D243" s="543" t="s">
        <v>2746</v>
      </c>
      <c r="E243" s="321" t="str">
        <f t="shared" si="270"/>
        <v/>
      </c>
      <c r="F243" s="321" t="str">
        <f t="shared" si="271"/>
        <v xml:space="preserve">COE, 2x2, </v>
      </c>
      <c r="G243" s="321" t="s">
        <v>474</v>
      </c>
      <c r="I243" s="334">
        <v>42124</v>
      </c>
      <c r="K243" s="384" t="str">
        <f t="shared" ca="1" si="303"/>
        <v/>
      </c>
      <c r="N243" s="317" t="str">
        <f t="shared" si="229"/>
        <v>READY!</v>
      </c>
      <c r="O243" s="321" t="s">
        <v>302</v>
      </c>
      <c r="Q243" s="321" t="s">
        <v>2716</v>
      </c>
      <c r="R243" s="321">
        <v>9275353169</v>
      </c>
      <c r="S243" s="317">
        <f t="shared" si="272"/>
        <v>9275353169</v>
      </c>
      <c r="T243" s="317" t="str">
        <f t="shared" si="273"/>
        <v/>
      </c>
      <c r="U243" s="321" t="s">
        <v>2864</v>
      </c>
      <c r="V243" s="321" t="s">
        <v>2715</v>
      </c>
      <c r="W243" s="321" t="s">
        <v>2713</v>
      </c>
      <c r="X243" s="321" t="s">
        <v>2714</v>
      </c>
      <c r="Y243" s="321" t="s">
        <v>73</v>
      </c>
      <c r="Z243" s="321" t="s">
        <v>74</v>
      </c>
      <c r="AA243" s="321" t="str">
        <f t="shared" si="259"/>
        <v>Php 17,000</v>
      </c>
      <c r="AC243" s="321" t="str">
        <f t="shared" si="260"/>
        <v>Php 1,000</v>
      </c>
      <c r="AD243" s="321" t="str">
        <f t="shared" si="261"/>
        <v>Php 4,000</v>
      </c>
      <c r="AH243" s="321" t="s">
        <v>52</v>
      </c>
      <c r="AI243" s="321" t="s">
        <v>253</v>
      </c>
      <c r="AJ243" s="317" t="str">
        <f t="shared" si="268"/>
        <v/>
      </c>
      <c r="AL243" s="321" t="s">
        <v>259</v>
      </c>
      <c r="AM243" s="321" t="s">
        <v>854</v>
      </c>
      <c r="AN243" s="334">
        <v>32721</v>
      </c>
      <c r="AP243" s="321" t="s">
        <v>2827</v>
      </c>
      <c r="AQ243" s="321" t="s">
        <v>53</v>
      </c>
      <c r="AR243" s="321" t="s">
        <v>378</v>
      </c>
      <c r="AS243" s="332">
        <v>42125</v>
      </c>
      <c r="AT243" s="318">
        <v>42125</v>
      </c>
      <c r="AU243" s="318">
        <v>42125</v>
      </c>
      <c r="AV243" s="329">
        <v>42125</v>
      </c>
      <c r="AW243" s="332">
        <v>42125</v>
      </c>
      <c r="AX243" s="317" t="s">
        <v>2823</v>
      </c>
      <c r="AY243" s="317"/>
      <c r="AZ243" s="318">
        <v>42125</v>
      </c>
      <c r="BA243" s="318">
        <v>42125</v>
      </c>
      <c r="BB243" s="326"/>
      <c r="BC243" s="332">
        <v>42125</v>
      </c>
      <c r="BD243" s="326" t="s">
        <v>2826</v>
      </c>
      <c r="BE243" s="332">
        <v>42125</v>
      </c>
      <c r="BF243" s="326" t="s">
        <v>2822</v>
      </c>
      <c r="BG243" s="332">
        <v>42125</v>
      </c>
      <c r="BH243" s="385" t="s">
        <v>2825</v>
      </c>
      <c r="BI243" s="329">
        <v>42125</v>
      </c>
      <c r="BJ243" s="332">
        <v>42125</v>
      </c>
      <c r="BK243" s="317"/>
      <c r="BL243" s="326"/>
      <c r="BM243" s="332">
        <v>42125</v>
      </c>
      <c r="BN243" s="317"/>
      <c r="BO243" s="326"/>
      <c r="BP243" s="337"/>
      <c r="BQ243" s="318">
        <v>42125</v>
      </c>
      <c r="BR243" s="326"/>
      <c r="BS243" s="332">
        <v>42124</v>
      </c>
      <c r="BT243" s="318">
        <v>42124</v>
      </c>
      <c r="BU243" s="329">
        <v>42124</v>
      </c>
      <c r="BV243" s="326"/>
      <c r="BW243" s="536" t="str">
        <f t="shared" si="274"/>
        <v xml:space="preserve">1905 (for processing) 5/1/2015, 2305 (for processing) 5/1/2015, MDR 5/1/2015, </v>
      </c>
      <c r="BX243" s="536">
        <f t="shared" si="275"/>
        <v>11</v>
      </c>
      <c r="BY243" s="536">
        <f t="shared" si="276"/>
        <v>11</v>
      </c>
      <c r="BZ243" s="537">
        <f t="shared" si="277"/>
        <v>1</v>
      </c>
      <c r="CA243" s="337" t="str">
        <f t="shared" si="278"/>
        <v/>
      </c>
      <c r="CB243" s="318" t="str">
        <f t="shared" si="279"/>
        <v/>
      </c>
      <c r="CC243" s="317" t="str">
        <f t="shared" ca="1" si="280"/>
        <v/>
      </c>
      <c r="CD243" s="317" t="str">
        <f t="shared" si="281"/>
        <v/>
      </c>
      <c r="CE243" s="317" t="str">
        <f t="shared" si="282"/>
        <v/>
      </c>
      <c r="CF243" s="538" t="str">
        <f t="shared" si="283"/>
        <v/>
      </c>
      <c r="CG243" s="539" t="str">
        <f t="shared" si="284"/>
        <v/>
      </c>
      <c r="CH243" s="317" t="str">
        <f t="shared" si="285"/>
        <v/>
      </c>
      <c r="CI243" s="318" t="str">
        <f t="shared" si="286"/>
        <v/>
      </c>
      <c r="CJ243" s="318" t="str">
        <f t="shared" si="287"/>
        <v/>
      </c>
      <c r="CK243" s="317">
        <f t="shared" si="288"/>
        <v>6</v>
      </c>
      <c r="CL243" s="317">
        <f t="shared" si="289"/>
        <v>6</v>
      </c>
      <c r="CM243" s="317">
        <f t="shared" si="290"/>
        <v>6</v>
      </c>
      <c r="CN243" s="317">
        <f t="shared" si="291"/>
        <v>2</v>
      </c>
      <c r="CO243" s="317">
        <f t="shared" si="292"/>
        <v>5</v>
      </c>
      <c r="CP243" s="317">
        <f t="shared" si="293"/>
        <v>4</v>
      </c>
      <c r="CQ243" s="317">
        <f t="shared" si="294"/>
        <v>3</v>
      </c>
      <c r="CR243" s="317">
        <f t="shared" si="295"/>
        <v>4</v>
      </c>
      <c r="CS243" s="317">
        <f t="shared" si="296"/>
        <v>2</v>
      </c>
      <c r="CT243" s="317">
        <f t="shared" si="297"/>
        <v>6</v>
      </c>
      <c r="CU243" s="317">
        <f t="shared" si="298"/>
        <v>4</v>
      </c>
      <c r="CV243" s="317">
        <f t="shared" si="299"/>
        <v>5</v>
      </c>
      <c r="CW243" s="317">
        <f t="shared" si="300"/>
        <v>2</v>
      </c>
      <c r="CX243" s="317">
        <f t="shared" si="301"/>
        <v>5</v>
      </c>
      <c r="CY243" s="317">
        <f t="shared" si="302"/>
        <v>6</v>
      </c>
    </row>
    <row r="244" spans="1:103" x14ac:dyDescent="0.25">
      <c r="A244" s="7">
        <v>194</v>
      </c>
      <c r="B244" s="16">
        <v>42121</v>
      </c>
      <c r="C244" s="1">
        <v>1082460</v>
      </c>
      <c r="D244" s="542" t="s">
        <v>2747</v>
      </c>
      <c r="E244" s="1" t="str">
        <f t="shared" si="270"/>
        <v xml:space="preserve">NBI, Waiver, </v>
      </c>
      <c r="F244" s="1" t="str">
        <f t="shared" si="271"/>
        <v xml:space="preserve">TOR, COE, 2x2, </v>
      </c>
      <c r="G244" s="1" t="s">
        <v>474</v>
      </c>
      <c r="I244" s="16">
        <v>42124</v>
      </c>
      <c r="K244" s="152" t="str">
        <f t="shared" ca="1" si="303"/>
        <v>Dedlyn!</v>
      </c>
      <c r="N244" s="153" t="str">
        <f t="shared" si="229"/>
        <v>READY!</v>
      </c>
      <c r="O244" s="1" t="s">
        <v>301</v>
      </c>
      <c r="Q244" s="1" t="s">
        <v>2720</v>
      </c>
      <c r="R244" s="1">
        <v>9058067215</v>
      </c>
      <c r="S244" s="153">
        <f t="shared" si="272"/>
        <v>9058067215</v>
      </c>
      <c r="T244" s="153" t="str">
        <f t="shared" si="273"/>
        <v/>
      </c>
      <c r="U244" s="1" t="s">
        <v>2865</v>
      </c>
      <c r="V244" s="1" t="s">
        <v>2719</v>
      </c>
      <c r="W244" s="1" t="s">
        <v>2717</v>
      </c>
      <c r="X244" s="1" t="s">
        <v>2718</v>
      </c>
      <c r="Y244" s="1" t="s">
        <v>73</v>
      </c>
      <c r="Z244" s="1" t="s">
        <v>70</v>
      </c>
      <c r="AA244" s="1" t="str">
        <f t="shared" si="259"/>
        <v>Php 16,000</v>
      </c>
      <c r="AC244" s="1" t="str">
        <f t="shared" si="260"/>
        <v>Php 1,000</v>
      </c>
      <c r="AD244" s="1" t="str">
        <f t="shared" si="261"/>
        <v>Php 3,000</v>
      </c>
      <c r="AH244" s="1" t="s">
        <v>52</v>
      </c>
      <c r="AI244" s="1" t="s">
        <v>253</v>
      </c>
      <c r="AJ244" s="153" t="str">
        <f t="shared" si="268"/>
        <v/>
      </c>
      <c r="AL244" s="1" t="s">
        <v>254</v>
      </c>
      <c r="AM244" s="1" t="s">
        <v>854</v>
      </c>
      <c r="AN244" s="16">
        <v>34324</v>
      </c>
      <c r="AO244" s="1" t="s">
        <v>2799</v>
      </c>
      <c r="AP244" s="1" t="s">
        <v>2799</v>
      </c>
      <c r="AQ244" s="1" t="s">
        <v>53</v>
      </c>
      <c r="AR244" s="1" t="s">
        <v>378</v>
      </c>
      <c r="AS244" s="169">
        <v>42124</v>
      </c>
      <c r="AT244" s="170">
        <v>42124</v>
      </c>
      <c r="AU244" s="170">
        <v>42124</v>
      </c>
      <c r="AW244" s="169">
        <v>42124</v>
      </c>
      <c r="AX244" s="112" t="s">
        <v>2800</v>
      </c>
      <c r="AZ244" s="170">
        <v>42124</v>
      </c>
      <c r="BA244" s="170">
        <v>42124</v>
      </c>
      <c r="BB244" s="181">
        <v>42124</v>
      </c>
      <c r="BC244" s="169">
        <v>42124</v>
      </c>
      <c r="BD244" s="172" t="s">
        <v>2801</v>
      </c>
      <c r="BE244" s="169">
        <v>42124</v>
      </c>
      <c r="BF244" s="172" t="s">
        <v>2797</v>
      </c>
      <c r="BG244" s="169">
        <v>42124</v>
      </c>
      <c r="BH244" s="188" t="s">
        <v>2798</v>
      </c>
      <c r="BI244" s="181">
        <v>42124</v>
      </c>
      <c r="BM244" s="169">
        <v>42124</v>
      </c>
      <c r="BS244" s="169">
        <v>42124</v>
      </c>
      <c r="BT244" s="170">
        <v>42124</v>
      </c>
      <c r="BU244" s="181">
        <v>42124</v>
      </c>
      <c r="BW244" s="398" t="str">
        <f t="shared" si="274"/>
        <v xml:space="preserve">1905 (for processing) 4/30/2015, 2305 (for processing) 4/30/2015, MDR 4/30/2015, </v>
      </c>
      <c r="BX244" s="398">
        <f t="shared" si="275"/>
        <v>9</v>
      </c>
      <c r="BY244" s="398">
        <f t="shared" si="276"/>
        <v>11</v>
      </c>
      <c r="BZ244" s="399">
        <f t="shared" si="277"/>
        <v>0.81818181818181823</v>
      </c>
      <c r="CA244" s="168" t="str">
        <f t="shared" si="278"/>
        <v/>
      </c>
      <c r="CB244" s="151" t="str">
        <f t="shared" si="279"/>
        <v/>
      </c>
      <c r="CC244" s="153" t="str">
        <f t="shared" ca="1" si="280"/>
        <v/>
      </c>
      <c r="CD244" s="153" t="str">
        <f t="shared" si="281"/>
        <v/>
      </c>
      <c r="CE244" s="153" t="str">
        <f t="shared" si="282"/>
        <v/>
      </c>
      <c r="CF244" s="396" t="str">
        <f t="shared" si="283"/>
        <v/>
      </c>
      <c r="CG244" s="397" t="str">
        <f t="shared" si="284"/>
        <v/>
      </c>
      <c r="CH244" s="153" t="str">
        <f t="shared" si="285"/>
        <v/>
      </c>
      <c r="CI244" s="151" t="str">
        <f t="shared" si="286"/>
        <v/>
      </c>
      <c r="CJ244" s="151" t="str">
        <f t="shared" si="287"/>
        <v/>
      </c>
      <c r="CK244" s="153">
        <f t="shared" si="288"/>
        <v>7</v>
      </c>
      <c r="CL244" s="153">
        <f t="shared" si="289"/>
        <v>7</v>
      </c>
      <c r="CM244" s="153">
        <f t="shared" si="290"/>
        <v>7</v>
      </c>
      <c r="CN244" s="153">
        <f t="shared" si="291"/>
        <v>2</v>
      </c>
      <c r="CO244" s="153">
        <f t="shared" si="292"/>
        <v>6</v>
      </c>
      <c r="CP244" s="153">
        <f t="shared" si="293"/>
        <v>5</v>
      </c>
      <c r="CQ244" s="153">
        <f t="shared" si="294"/>
        <v>4</v>
      </c>
      <c r="CR244" s="153">
        <f t="shared" si="295"/>
        <v>5</v>
      </c>
      <c r="CS244" s="153">
        <f t="shared" si="296"/>
        <v>2</v>
      </c>
      <c r="CT244" s="153">
        <f t="shared" si="297"/>
        <v>7</v>
      </c>
      <c r="CU244" s="153">
        <f t="shared" si="298"/>
        <v>5</v>
      </c>
      <c r="CV244" s="153">
        <f t="shared" si="299"/>
        <v>6</v>
      </c>
      <c r="CW244" s="153">
        <f t="shared" si="300"/>
        <v>2</v>
      </c>
      <c r="CX244" s="153">
        <f t="shared" si="301"/>
        <v>5</v>
      </c>
      <c r="CY244" s="153">
        <f t="shared" si="302"/>
        <v>7</v>
      </c>
    </row>
    <row r="245" spans="1:103" s="8" customFormat="1" x14ac:dyDescent="0.25">
      <c r="A245" s="133">
        <v>194</v>
      </c>
      <c r="B245" s="20">
        <v>42121</v>
      </c>
      <c r="C245" s="8">
        <v>1082461</v>
      </c>
      <c r="D245" s="541" t="s">
        <v>2748</v>
      </c>
      <c r="E245" s="8" t="str">
        <f t="shared" si="270"/>
        <v/>
      </c>
      <c r="F245" s="8" t="str">
        <f t="shared" si="271"/>
        <v/>
      </c>
      <c r="G245" s="8" t="s">
        <v>474</v>
      </c>
      <c r="I245" s="20">
        <v>42124</v>
      </c>
      <c r="K245" s="132" t="str">
        <f t="shared" ca="1" si="303"/>
        <v/>
      </c>
      <c r="N245" s="113" t="str">
        <f t="shared" si="229"/>
        <v/>
      </c>
      <c r="O245" s="8" t="s">
        <v>298</v>
      </c>
      <c r="P245" s="8" t="s">
        <v>689</v>
      </c>
      <c r="Q245" s="8" t="s">
        <v>2724</v>
      </c>
      <c r="R245" s="8">
        <v>9173549277</v>
      </c>
      <c r="S245" s="113">
        <f t="shared" si="272"/>
        <v>9173549277</v>
      </c>
      <c r="T245" s="113" t="str">
        <f t="shared" si="273"/>
        <v/>
      </c>
      <c r="U245" s="8" t="s">
        <v>2866</v>
      </c>
      <c r="V245" s="8" t="s">
        <v>2723</v>
      </c>
      <c r="W245" s="8" t="s">
        <v>2721</v>
      </c>
      <c r="X245" s="8" t="s">
        <v>2722</v>
      </c>
      <c r="Y245" s="8" t="s">
        <v>73</v>
      </c>
      <c r="Z245" s="8" t="s">
        <v>74</v>
      </c>
      <c r="AA245" s="8" t="str">
        <f t="shared" si="259"/>
        <v>Php 17,000</v>
      </c>
      <c r="AC245" s="8" t="str">
        <f t="shared" si="260"/>
        <v>Php 1,000</v>
      </c>
      <c r="AD245" s="8" t="str">
        <f t="shared" si="261"/>
        <v>Php 4,000</v>
      </c>
      <c r="AH245" s="8" t="s">
        <v>52</v>
      </c>
      <c r="AI245" s="8" t="s">
        <v>253</v>
      </c>
      <c r="AJ245" s="113" t="str">
        <f t="shared" si="268"/>
        <v/>
      </c>
      <c r="AL245" s="8" t="s">
        <v>254</v>
      </c>
      <c r="AM245" s="8" t="s">
        <v>854</v>
      </c>
      <c r="AN245" s="20">
        <v>33789</v>
      </c>
      <c r="AS245" s="165"/>
      <c r="AT245" s="113"/>
      <c r="AU245" s="113"/>
      <c r="AV245" s="182"/>
      <c r="AW245" s="187"/>
      <c r="AX245" s="113"/>
      <c r="AY245" s="113"/>
      <c r="AZ245" s="113"/>
      <c r="BA245" s="113"/>
      <c r="BB245" s="182"/>
      <c r="BC245" s="165"/>
      <c r="BD245" s="182"/>
      <c r="BE245" s="165"/>
      <c r="BF245" s="182"/>
      <c r="BG245" s="165"/>
      <c r="BH245" s="274"/>
      <c r="BI245" s="182"/>
      <c r="BJ245" s="165"/>
      <c r="BK245" s="113"/>
      <c r="BL245" s="182"/>
      <c r="BM245" s="165"/>
      <c r="BN245" s="113"/>
      <c r="BO245" s="182"/>
      <c r="BP245" s="165"/>
      <c r="BQ245" s="113"/>
      <c r="BR245" s="182"/>
      <c r="BS245" s="187">
        <v>42124</v>
      </c>
      <c r="BT245" s="129">
        <v>42124</v>
      </c>
      <c r="BU245" s="177">
        <v>42124</v>
      </c>
      <c r="BV245" s="182"/>
      <c r="BW245" s="532" t="str">
        <f t="shared" si="274"/>
        <v/>
      </c>
      <c r="BX245" s="532" t="str">
        <f t="shared" si="275"/>
        <v/>
      </c>
      <c r="BY245" s="532" t="str">
        <f t="shared" si="276"/>
        <v/>
      </c>
      <c r="BZ245" s="533" t="str">
        <f t="shared" si="277"/>
        <v/>
      </c>
      <c r="CA245" s="165" t="str">
        <f t="shared" si="278"/>
        <v/>
      </c>
      <c r="CB245" s="129" t="str">
        <f t="shared" si="279"/>
        <v/>
      </c>
      <c r="CC245" s="113" t="str">
        <f t="shared" ca="1" si="280"/>
        <v/>
      </c>
      <c r="CD245" s="113" t="str">
        <f t="shared" si="281"/>
        <v/>
      </c>
      <c r="CE245" s="113" t="str">
        <f t="shared" si="282"/>
        <v/>
      </c>
      <c r="CF245" s="534" t="str">
        <f t="shared" si="283"/>
        <v/>
      </c>
      <c r="CG245" s="535" t="str">
        <f t="shared" si="284"/>
        <v/>
      </c>
      <c r="CH245" s="113" t="str">
        <f t="shared" si="285"/>
        <v/>
      </c>
      <c r="CI245" s="129" t="str">
        <f t="shared" si="286"/>
        <v/>
      </c>
      <c r="CJ245" s="129" t="str">
        <f t="shared" si="287"/>
        <v/>
      </c>
      <c r="CK245" s="113">
        <f t="shared" si="288"/>
        <v>7</v>
      </c>
      <c r="CL245" s="113">
        <f t="shared" si="289"/>
        <v>7</v>
      </c>
      <c r="CM245" s="113">
        <f t="shared" si="290"/>
        <v>7</v>
      </c>
      <c r="CN245" s="113">
        <f t="shared" si="291"/>
        <v>2</v>
      </c>
      <c r="CO245" s="113">
        <f t="shared" si="292"/>
        <v>6</v>
      </c>
      <c r="CP245" s="113">
        <f t="shared" si="293"/>
        <v>5</v>
      </c>
      <c r="CQ245" s="113">
        <f t="shared" si="294"/>
        <v>4</v>
      </c>
      <c r="CR245" s="113">
        <f t="shared" si="295"/>
        <v>5</v>
      </c>
      <c r="CS245" s="113">
        <f t="shared" si="296"/>
        <v>2</v>
      </c>
      <c r="CT245" s="113">
        <f t="shared" si="297"/>
        <v>7</v>
      </c>
      <c r="CU245" s="113">
        <f t="shared" si="298"/>
        <v>5</v>
      </c>
      <c r="CV245" s="113">
        <f t="shared" si="299"/>
        <v>6</v>
      </c>
      <c r="CW245" s="113">
        <f t="shared" si="300"/>
        <v>2</v>
      </c>
      <c r="CX245" s="113">
        <f t="shared" si="301"/>
        <v>6</v>
      </c>
      <c r="CY245" s="113">
        <f t="shared" si="302"/>
        <v>7</v>
      </c>
    </row>
    <row r="246" spans="1:103" x14ac:dyDescent="0.25">
      <c r="A246" s="7">
        <v>194</v>
      </c>
      <c r="B246" s="16">
        <v>42121</v>
      </c>
      <c r="C246" s="1">
        <v>1082462</v>
      </c>
      <c r="D246" s="542" t="s">
        <v>2749</v>
      </c>
      <c r="E246" s="1" t="str">
        <f t="shared" si="270"/>
        <v xml:space="preserve">PHIC, NBI, Waiver, </v>
      </c>
      <c r="F246" s="1" t="str">
        <f t="shared" si="271"/>
        <v xml:space="preserve">MDR, 2x2, </v>
      </c>
      <c r="G246" s="1" t="s">
        <v>474</v>
      </c>
      <c r="I246" s="16">
        <v>42124</v>
      </c>
      <c r="K246" s="152" t="str">
        <f t="shared" ca="1" si="303"/>
        <v>Dedlyn!</v>
      </c>
      <c r="N246" s="153" t="str">
        <f t="shared" si="229"/>
        <v>READY!</v>
      </c>
      <c r="O246" s="1" t="s">
        <v>301</v>
      </c>
      <c r="Q246" s="1" t="s">
        <v>2728</v>
      </c>
      <c r="R246" s="1">
        <v>9168934055</v>
      </c>
      <c r="S246" s="153">
        <f t="shared" si="272"/>
        <v>9168934055</v>
      </c>
      <c r="T246" s="153" t="str">
        <f t="shared" si="273"/>
        <v/>
      </c>
      <c r="U246" s="1" t="s">
        <v>2867</v>
      </c>
      <c r="V246" s="1" t="s">
        <v>2727</v>
      </c>
      <c r="W246" s="1" t="s">
        <v>2725</v>
      </c>
      <c r="X246" s="1" t="s">
        <v>2726</v>
      </c>
      <c r="Y246" s="1" t="s">
        <v>73</v>
      </c>
      <c r="Z246" s="1" t="s">
        <v>74</v>
      </c>
      <c r="AA246" s="1" t="str">
        <f t="shared" si="259"/>
        <v>Php 17,000</v>
      </c>
      <c r="AC246" s="1" t="str">
        <f t="shared" si="260"/>
        <v>Php 1,000</v>
      </c>
      <c r="AD246" s="1" t="str">
        <f t="shared" si="261"/>
        <v>Php 4,000</v>
      </c>
      <c r="AH246" s="1" t="s">
        <v>52</v>
      </c>
      <c r="AI246" s="1" t="s">
        <v>253</v>
      </c>
      <c r="AJ246" s="153" t="str">
        <f t="shared" si="268"/>
        <v/>
      </c>
      <c r="AL246" s="1" t="s">
        <v>247</v>
      </c>
      <c r="AM246" s="1" t="s">
        <v>854</v>
      </c>
      <c r="AN246" s="16">
        <v>33823</v>
      </c>
      <c r="AO246" s="1" t="s">
        <v>2808</v>
      </c>
      <c r="AP246" s="1" t="s">
        <v>2809</v>
      </c>
      <c r="AQ246" s="1" t="s">
        <v>50</v>
      </c>
      <c r="AR246" s="1" t="s">
        <v>378</v>
      </c>
      <c r="AS246" s="169">
        <v>42124</v>
      </c>
      <c r="AT246" s="170">
        <v>42124</v>
      </c>
      <c r="AU246" s="170">
        <v>42124</v>
      </c>
      <c r="AW246" s="169">
        <v>42124</v>
      </c>
      <c r="AX246" s="112" t="s">
        <v>2806</v>
      </c>
      <c r="AZ246" s="170">
        <v>42124</v>
      </c>
      <c r="BA246" s="170">
        <v>42124</v>
      </c>
      <c r="BC246" s="169">
        <v>42124</v>
      </c>
      <c r="BD246" s="172" t="s">
        <v>2807</v>
      </c>
      <c r="BE246" s="169">
        <v>42137</v>
      </c>
      <c r="BF246" s="172" t="s">
        <v>2848</v>
      </c>
      <c r="BH246" s="188" t="s">
        <v>2849</v>
      </c>
      <c r="BK246" s="170">
        <v>42137</v>
      </c>
      <c r="BL246" s="181">
        <v>42145</v>
      </c>
      <c r="BM246" s="169">
        <v>42124</v>
      </c>
      <c r="BQ246" s="170">
        <v>42124</v>
      </c>
      <c r="BR246" s="181">
        <v>42137</v>
      </c>
      <c r="BS246" s="169">
        <v>42124</v>
      </c>
      <c r="BT246" s="170">
        <v>42124</v>
      </c>
      <c r="BU246" s="181">
        <v>42124</v>
      </c>
      <c r="BW246" s="398" t="str">
        <f t="shared" si="274"/>
        <v xml:space="preserve">1905 (for processing) 4/30/2015, 2305 (for processing) 4/30/2015, NBI receipt 5/13/2015, </v>
      </c>
      <c r="BX246" s="398">
        <f t="shared" si="275"/>
        <v>8</v>
      </c>
      <c r="BY246" s="398">
        <f t="shared" si="276"/>
        <v>11</v>
      </c>
      <c r="BZ246" s="399">
        <f t="shared" si="277"/>
        <v>0.72727272727272729</v>
      </c>
      <c r="CA246" s="168" t="str">
        <f t="shared" si="278"/>
        <v/>
      </c>
      <c r="CB246" s="151" t="str">
        <f t="shared" si="279"/>
        <v/>
      </c>
      <c r="CC246" s="153" t="str">
        <f t="shared" ca="1" si="280"/>
        <v/>
      </c>
      <c r="CD246" s="153" t="str">
        <f t="shared" si="281"/>
        <v/>
      </c>
      <c r="CE246" s="153" t="str">
        <f t="shared" si="282"/>
        <v/>
      </c>
      <c r="CF246" s="396" t="str">
        <f t="shared" si="283"/>
        <v/>
      </c>
      <c r="CG246" s="397" t="str">
        <f t="shared" si="284"/>
        <v/>
      </c>
      <c r="CH246" s="153" t="str">
        <f t="shared" si="285"/>
        <v/>
      </c>
      <c r="CI246" s="151" t="str">
        <f t="shared" si="286"/>
        <v/>
      </c>
      <c r="CJ246" s="151" t="str">
        <f t="shared" si="287"/>
        <v/>
      </c>
      <c r="CK246" s="153">
        <f t="shared" si="288"/>
        <v>8</v>
      </c>
      <c r="CL246" s="153">
        <f t="shared" si="289"/>
        <v>8</v>
      </c>
      <c r="CM246" s="153">
        <f t="shared" si="290"/>
        <v>7</v>
      </c>
      <c r="CN246" s="153">
        <f t="shared" si="291"/>
        <v>2</v>
      </c>
      <c r="CO246" s="153">
        <f t="shared" si="292"/>
        <v>7</v>
      </c>
      <c r="CP246" s="153">
        <f t="shared" si="293"/>
        <v>6</v>
      </c>
      <c r="CQ246" s="153">
        <f t="shared" si="294"/>
        <v>5</v>
      </c>
      <c r="CR246" s="153">
        <f t="shared" si="295"/>
        <v>6</v>
      </c>
      <c r="CS246" s="153">
        <f t="shared" si="296"/>
        <v>2</v>
      </c>
      <c r="CT246" s="153">
        <f t="shared" si="297"/>
        <v>8</v>
      </c>
      <c r="CU246" s="153">
        <f t="shared" si="298"/>
        <v>6</v>
      </c>
      <c r="CV246" s="153">
        <f t="shared" si="299"/>
        <v>7</v>
      </c>
      <c r="CW246" s="153">
        <f t="shared" si="300"/>
        <v>2</v>
      </c>
      <c r="CX246" s="153">
        <f t="shared" si="301"/>
        <v>6</v>
      </c>
      <c r="CY246" s="153">
        <f t="shared" si="302"/>
        <v>8</v>
      </c>
    </row>
    <row r="247" spans="1:103" s="228" customFormat="1" ht="15.75" thickBot="1" x14ac:dyDescent="0.3">
      <c r="A247" s="230">
        <v>194</v>
      </c>
      <c r="B247" s="229">
        <v>42123</v>
      </c>
      <c r="C247" s="228">
        <v>1082463</v>
      </c>
      <c r="D247" s="544" t="s">
        <v>2750</v>
      </c>
      <c r="E247" s="228" t="str">
        <f t="shared" si="270"/>
        <v xml:space="preserve">NBI, </v>
      </c>
      <c r="F247" s="228" t="str">
        <f t="shared" si="271"/>
        <v xml:space="preserve">Contract, COE, 2x2, </v>
      </c>
      <c r="I247" s="229">
        <v>42118</v>
      </c>
      <c r="K247" s="491">
        <f t="shared" ca="1" si="303"/>
        <v>1</v>
      </c>
      <c r="N247" s="487" t="str">
        <f t="shared" si="229"/>
        <v>READY!</v>
      </c>
      <c r="O247" s="228" t="s">
        <v>301</v>
      </c>
      <c r="Q247" s="228" t="s">
        <v>2732</v>
      </c>
      <c r="R247" s="228" t="s">
        <v>2769</v>
      </c>
      <c r="S247" s="487" t="str">
        <f t="shared" si="272"/>
        <v>9064081817</v>
      </c>
      <c r="T247" s="487" t="str">
        <f t="shared" si="273"/>
        <v>9175921831</v>
      </c>
      <c r="U247" s="228" t="s">
        <v>2868</v>
      </c>
      <c r="V247" s="228" t="s">
        <v>2731</v>
      </c>
      <c r="W247" s="228" t="s">
        <v>2729</v>
      </c>
      <c r="X247" s="228" t="s">
        <v>2730</v>
      </c>
      <c r="Y247" s="228" t="s">
        <v>2733</v>
      </c>
      <c r="Z247" s="228" t="s">
        <v>128</v>
      </c>
      <c r="AA247" s="228" t="s">
        <v>2855</v>
      </c>
      <c r="AC247" s="228" t="str">
        <f t="shared" si="260"/>
        <v>Php 1,500</v>
      </c>
      <c r="AD247" s="228" t="str">
        <f t="shared" si="261"/>
        <v/>
      </c>
      <c r="AE247" s="228" t="s">
        <v>1026</v>
      </c>
      <c r="AF247" s="228" t="s">
        <v>1027</v>
      </c>
      <c r="AH247" s="228" t="s">
        <v>52</v>
      </c>
      <c r="AI247" s="228" t="s">
        <v>253</v>
      </c>
      <c r="AJ247" s="487" t="str">
        <f t="shared" si="268"/>
        <v/>
      </c>
      <c r="AL247" s="228" t="s">
        <v>1250</v>
      </c>
      <c r="AM247" s="228" t="s">
        <v>2734</v>
      </c>
      <c r="AN247" s="229">
        <v>31845</v>
      </c>
      <c r="AO247" s="228" t="s">
        <v>2872</v>
      </c>
      <c r="AP247" s="228" t="s">
        <v>2873</v>
      </c>
      <c r="AQ247" s="228" t="s">
        <v>53</v>
      </c>
      <c r="AR247" s="228" t="s">
        <v>495</v>
      </c>
      <c r="AS247" s="231">
        <v>42128</v>
      </c>
      <c r="AT247" s="229">
        <v>42128</v>
      </c>
      <c r="AU247" s="229">
        <v>42128</v>
      </c>
      <c r="AV247" s="466">
        <v>42126</v>
      </c>
      <c r="AW247" s="231">
        <v>42128</v>
      </c>
      <c r="AX247" s="228" t="s">
        <v>2869</v>
      </c>
      <c r="AZ247" s="229">
        <v>42128</v>
      </c>
      <c r="BA247" s="229">
        <v>42128</v>
      </c>
      <c r="BB247" s="232"/>
      <c r="BC247" s="231">
        <v>42128</v>
      </c>
      <c r="BD247" s="232" t="s">
        <v>2871</v>
      </c>
      <c r="BE247" s="231">
        <v>42128</v>
      </c>
      <c r="BF247" s="232" t="s">
        <v>2870</v>
      </c>
      <c r="BG247" s="231">
        <v>42132</v>
      </c>
      <c r="BH247" s="234" t="s">
        <v>3113</v>
      </c>
      <c r="BI247" s="466">
        <v>42132</v>
      </c>
      <c r="BJ247" s="233"/>
      <c r="BL247" s="232"/>
      <c r="BM247" s="231">
        <v>42128</v>
      </c>
      <c r="BN247" s="229">
        <v>42128</v>
      </c>
      <c r="BO247" s="466">
        <v>42128</v>
      </c>
      <c r="BP247" s="233"/>
      <c r="BQ247" s="229">
        <v>42128</v>
      </c>
      <c r="BR247" s="232"/>
      <c r="BS247" s="231">
        <v>42118</v>
      </c>
      <c r="BT247" s="229"/>
      <c r="BU247" s="466">
        <v>42118</v>
      </c>
      <c r="BV247" s="232"/>
      <c r="BW247" s="398" t="str">
        <f t="shared" si="274"/>
        <v xml:space="preserve">1905 (for processing) 5/4/2015, 2305 (for processing) 5/4/2015, MDR 5/8/2015, </v>
      </c>
      <c r="BX247" s="522">
        <f t="shared" si="275"/>
        <v>10</v>
      </c>
      <c r="BY247" s="522">
        <f t="shared" si="276"/>
        <v>11</v>
      </c>
      <c r="BZ247" s="523">
        <f t="shared" si="277"/>
        <v>0.90909090909090906</v>
      </c>
      <c r="CA247" s="168">
        <f t="shared" ref="CA247:CA273" si="304">IF((A247-A248)=0,"",A247)</f>
        <v>194</v>
      </c>
      <c r="CB247" s="151">
        <f t="shared" ref="CB247:CB273" si="305">IFERROR(CA247*7+40763,"")</f>
        <v>42121</v>
      </c>
      <c r="CC247" s="153">
        <f t="shared" ref="CC247:CC273" ca="1" si="306">IFERROR(ROUND(IF(CB247="","",(TODAY()-CB247)/7)+1,0),"")</f>
        <v>4</v>
      </c>
      <c r="CD247" s="153">
        <f t="shared" ref="CD247:CD273" si="307">IF(CG247="","",CY247)</f>
        <v>9</v>
      </c>
      <c r="CE247" s="153">
        <f t="shared" ref="CE247:CE273" si="308">IF(CG247="","",CW247)</f>
        <v>2</v>
      </c>
      <c r="CF247" s="396">
        <f t="shared" ref="CF247:CF273" si="309">IF(CG247="","",CY247-CW247)</f>
        <v>7</v>
      </c>
      <c r="CG247" s="397">
        <f t="shared" ref="CG247:CG273" si="310">IF(CB247="","",SUM(CK247:CU247)/((CY247)*11))</f>
        <v>0.75757575757575757</v>
      </c>
      <c r="CH247" s="153" t="str">
        <f t="shared" ref="CH247:CH273" si="311">IF(CB247="","",IF(MIN(CK247:CU247)&gt;CY247,"",CONCATENATE(IF(SUM(IF(CK247&lt;CL247,1,0),IF(CK247&lt;CM247,1,0),IF(CK247&lt;CN247,1,0),IF(CK247&lt;CO247,1,0),IF(CK247&lt;CP247,1,0),IF(CK247&lt;CQ247,1,0),IF(CK247&lt;CR247,1,0),IF(CK247&lt;CS247,1,0),IF(CK247&lt;CT247,1,0),IF(CK247&lt;CU247,1,0))&gt;7,"SSS ("&amp;CY247-CK247&amp;") ",""),IF(SUM(IF(CL247&lt;CK247,1,0),IF(CL247&lt;CM247,1,0),IF(CL247&lt;CN247,1,0),IF(CL247&lt;CO247,1,0),IF(CL247&lt;CP247,1,0),IF(CL247&lt;CQ247,1,0),IF(CL247&lt;CR247,1,0),IF(CL247&lt;CS247,1,0),IF(CL247&lt;CT247,1,0),IF(CL247&lt;CU247,1,0))&gt;7,"HDMF ("&amp;CY247-CL247&amp;") ",""),IF(SUM(IF(CM247&lt;CK247,1,0),IF(CM247&lt;CL247,1,0),IF(CM247&lt;CN247,1,0),IF(CM247&lt;CO247,1,0),IF(CM247&lt;CP247,1,0),IF(CM247&lt;CQ247,1,0),IF(CM247&lt;CR247,1,0),IF(CM247&lt;CS247,1,0),IF(CM247&lt;CT247,1,0),IF(CM247&lt;CU247,1,0))&gt;7,"PHIC ("&amp;CY247-CM247&amp;") ",""),IF(SUM(IF(CN247&lt;CK247,1,0),IF(CN247&lt;CL247,1,0),IF(CN247&lt;CM247,1,0),IF(CN247&lt;CO247,1,0),IF(CN247&lt;CP247,1,0),IF(CN247&lt;CQ247,1,0),IF(CN247&lt;CR247,1,0),IF(CN247&lt;CS247,1,0),IF(CN247&lt;CT247,1,0),IF(CN247&lt;CU247,1,0))&gt;7,"NBI ("&amp;CY247-CN247&amp;") ",""),IF(SUM(IF(CO247&lt;CK247,1,0),IF(CO247&lt;CL247,1,0),IF(CO247&lt;CN247,1,0),IF(CO247&lt;CM247,1,0),IF(CO247&lt;CP247,1,0),IF(CO247&lt;CQ247,1,0),IF(CO247&lt;CR247,1,0),IF(CO247&lt;CS247,1,0),IF(CO247&lt;CT247,1,0),IF(CO247&lt;CU247,1,0))&gt;7,"NSO ("&amp;CY247-CO247&amp;") ",""),IF(SUM(IF(CP247&lt;CK247,1,0),IF(CP247&lt;CL247,1,0),IF(CP247&lt;CN247,1,0),IF(CP247&lt;CO247,1,0),IF(CP247&lt;CM247,1,0),IF(CP247&lt;CQ247,1,0),IF(CP247&lt;CR247,1,0),IF(CP247&lt;CS247,1,0),IF(CP247&lt;CT247,1,0),IF(CP247&lt;CU247,1,0))&gt;7,"Info ("&amp;CY247-CP247&amp;") ",""),IF(SUM(IF(CQ247&lt;CK247,1,0),IF(CQ247&lt;CL247,1,0),IF(CQ247&lt;CN247,1,0),IF(CQ247&lt;CO247,1,0),IF(CQ247&lt;CP247,1,0),IF(CQ247&lt;CM247,1,0),IF(CQ247&lt;CR247,1,0),IF(CQ247&lt;CS247,1,0),IF(CQ247&lt;CT247,1,0),IF(CQ247&lt;CU247,1,0))&gt;7,"AWOL ("&amp;CY247-CQ247&amp;") ",""),IF(SUM(IF(CR247&lt;CK247,1,0),IF(CR247&lt;CL247,1,0),IF(CR247&lt;CN247,1,0),IF(CR247&lt;CO247,1,0),IF(CR247&lt;CP247,1,0),IF(CR247&lt;CQ247,1,0),IF(CR247&lt;CM247,1,0),IF(CR247&lt;CS247,1,0),IF(CR247&lt;CT247,1,0),IF(CR247&lt;CU247,1,0))&gt;7,"Hand ("&amp;CY247-CR247&amp;") ",""),IF(SUM(IF(CS247&lt;CK247,1,0),IF(CS247&lt;CL247,1,0),IF(CS247&lt;CN247,1,0),IF(CS247&lt;CO247,1,0),IF(CS247&lt;CP247,1,0),IF(CS247&lt;CQ247,1,0),IF(CS247&lt;CR247,1,0),IF(CS247&lt;CM247,1,0),IF(CS247&lt;CT247,1,0),IF(CS247&lt;CU247,1,0))&gt;7,"Waiver ("&amp;CY247-CS247&amp;") ",""),IF(SUM(IF(CT247&lt;CK247,1,0),IF(CT247&lt;CL247,1,0),IF(CT247&lt;CN247,1,0),IF(CT247&lt;CO247,1,0),IF(CT247&lt;CP247,1,0),IF(CT247&lt;CQ247,1,0),IF(CT247&lt;CR247,1,0),IF(CT247&lt;CS247,1,0),IF(CT247&lt;CM247,1,0),IF(CT247&lt;CU247,1,0))&gt;7,"TIN ("&amp;CY247-CT247&amp;") ",""),IF(SUM(IF(CU247&lt;CK247,1,0),IF(CU247&lt;CL247,1,0),IF(CU247&lt;CN247,1,0),IF(CU247&lt;CO247,1,0),IF(CU247&lt;CP247,1,0),IF(CU247&lt;CQ247,1,0),IF(CU247&lt;CR247,1,0),IF(CU247&lt;CS247,1,0),IF(CU247&lt;CT247,1,0),IF(CU247&lt;CM247,1,0))&gt;7,"1905 ("&amp;CY247-CU247&amp;") ",""))))</f>
        <v xml:space="preserve">NBI (7) AWOL (3) Waiver (6) </v>
      </c>
      <c r="CI247" s="151" t="str">
        <f t="shared" ref="CI247:CI273" si="312">IF(CA247="","",CJ247)</f>
        <v/>
      </c>
      <c r="CJ247" s="151" t="str">
        <f t="shared" ref="CJ247:CJ273" si="313">IF(CA246="",IF(IF(CJ246="",0,CJ246)&gt;L247,IF(CJ246="","",CJ246),IF(L247="","",L247)),IF(L247="","",L247))</f>
        <v/>
      </c>
      <c r="CK247" s="153">
        <f t="shared" ref="CK247:CK273" si="314">IF(CB246="",CK246+IF(IF(O247="n",0,COUNT(BC247))=1,1,0),IF(IF(O247="n",0,COUNT(BC247))=1,1,0))</f>
        <v>9</v>
      </c>
      <c r="CL247" s="153">
        <f t="shared" ref="CL247:CL273" si="315">IF(CB246="",CL246+IF(IF(O247="n",0,COUNT(BE247))=1,1,0),IF(IF(O247="n",0,COUNT(BE247))=1,1,0))</f>
        <v>9</v>
      </c>
      <c r="CM247" s="153">
        <f t="shared" ref="CM247:CM273" si="316">IF(CB246="",CM246+IF(IF(O247="n",0,COUNT(BG247))=1,1,0),IF(IF(O247="n",0,COUNT(BG247))=1,1,0))</f>
        <v>8</v>
      </c>
      <c r="CN247" s="153">
        <f t="shared" ref="CN247:CN273" si="317">IF(CB246="",CN246+IF(IF(O247="n",0,COUNT(BJ247))=1,1,0),IF(IF(O247="n",0,COUNT(BJ247))=1,1,0))</f>
        <v>2</v>
      </c>
      <c r="CO247" s="153">
        <f t="shared" ref="CO247:CO273" si="318">IF(CB246="",CO246+IF(IF(O247="n",0,COUNT(BM247))=1,1,0),IF(IF(O247="n",0,COUNT(BM247))=1,1,0))</f>
        <v>8</v>
      </c>
      <c r="CP247" s="153">
        <f t="shared" ref="CP247:CP273" si="319">IF(CB246="",CP246+IF(IF(O247="n",0,COUNT(AS247))=1,1,0),IF(IF(O247="n",0,COUNT(AS247))=1,1,0))</f>
        <v>7</v>
      </c>
      <c r="CQ247" s="153">
        <f t="shared" ref="CQ247:CQ273" si="320">IF(CB246="",CQ246+IF(IF(O247="n",0,COUNT(AT247))=1,1,0),IF(IF(O247="n",0,COUNT(AT247))=1,1,0))</f>
        <v>6</v>
      </c>
      <c r="CR247" s="153">
        <f t="shared" ref="CR247:CR273" si="321">IF(CB246="",CR246+IF(IF(O247="n",0,COUNT(AU247))=1,1,0),IF(IF(O247="n",0,COUNT(AU247))=1,1,0))</f>
        <v>7</v>
      </c>
      <c r="CS247" s="153">
        <f t="shared" ref="CS247:CS273" si="322">IF(CB246="",CS246+IF(IF(O247="n",0,COUNT(AV247))=1,1,0),IF(IF(O247="n",0,COUNT(AV247))=1,1,0))</f>
        <v>3</v>
      </c>
      <c r="CT247" s="153">
        <f t="shared" ref="CT247:CT273" si="323">IF(CB246="",CT246+IF(IF(O247="n",0,COUNT(AW247))=1,1,0),IF(IF(O247="n",0,COUNT(AW247))=1,1,0))</f>
        <v>9</v>
      </c>
      <c r="CU247" s="153">
        <f t="shared" ref="CU247:CU273" si="324">IF(CB246="",CU246+IF(IF(O247="n",0,COUNT(AZ247))=1,1,0),IF(IF(O247="n",0,COUNT(AZ247))=1,1,0))</f>
        <v>7</v>
      </c>
      <c r="CV247" s="153">
        <f t="shared" ref="CV247:CV273" si="325">IF(CB246="",CV246+IF(IF(O247="n",0,COUNT(BA247))=1,1,0),IF(IF(O247="n",0,COUNT(BA247))=1,1,0))</f>
        <v>8</v>
      </c>
      <c r="CW247" s="153">
        <f t="shared" ref="CW247:CW273" si="326">IF(CB246="",CW246+IF(O247="c",1,0),IF(O247="c",1,0))</f>
        <v>2</v>
      </c>
      <c r="CX247" s="153">
        <f t="shared" ref="CX247:CX273" si="327">IF(CB246="",CX246+IF(O247="n",1,0),IF(O247="n",1,0))</f>
        <v>6</v>
      </c>
      <c r="CY247" s="153">
        <f t="shared" ref="CY247:CY273" si="328">IF(CB246="",IF(O247="n",CY246,1+CY246),IF(O247="n",0,1))</f>
        <v>9</v>
      </c>
    </row>
    <row r="248" spans="1:103" ht="15.75" thickTop="1" x14ac:dyDescent="0.25">
      <c r="A248" s="7">
        <v>195</v>
      </c>
      <c r="B248" s="16">
        <v>42128</v>
      </c>
      <c r="C248" s="1">
        <v>1082464</v>
      </c>
      <c r="D248" s="1" t="s">
        <v>2977</v>
      </c>
      <c r="E248" s="112" t="str">
        <f t="shared" ref="E248:E289" si="329">IF(P248="(*_*)","",IF(BC248&lt;1,"SSS, ","")&amp;IF(BE248&lt;1,"HDMF, ","")&amp;IF(BG248&lt;1,"PHIC, ","")&amp;IF(BJ248&lt;1,"NBI, ","")&amp;IF(BM248&lt;1,"NSO, ","")&amp;IF(AS248&lt;1,"Info, ","")&amp;IF(AT248&lt;1,"AWOL, ","")&amp;IF(AU248&lt;1,"Hand, ","")&amp;IF(AV248&lt;1,"Waiver, ","")&amp;IF(AW248&lt;1,"TIN, ","")&amp;IF(AZ248&lt;1,"1905, ","")&amp;IF(BA248&lt;1,"2305, ",""))</f>
        <v xml:space="preserve">Info, AWOL, Hand, Waiver, 2305, </v>
      </c>
      <c r="F248" s="112" t="str">
        <f t="shared" ref="F248:F289" si="330">IF(P248="(*_*)","",IF(BI248&lt;1,"MDR, ","")&amp;IF(BS248&lt;1,"JO, ","")&amp;IF(BT248&lt;1,"Contract, ","")&amp;IF(BU248&lt;1,"Confi, ","")&amp;IF(BQ248&lt;1,"TOR, ","")&amp;IF(BR248&lt;1,"COE, ","")&amp;IF(BP248&lt;1,"2x2, ",""))</f>
        <v xml:space="preserve">2x2, </v>
      </c>
      <c r="I248" s="16">
        <v>42130</v>
      </c>
      <c r="K248" s="152">
        <f t="shared" ca="1" si="303"/>
        <v>13</v>
      </c>
      <c r="L248" s="561">
        <v>42153</v>
      </c>
      <c r="N248" s="153" t="str">
        <f t="shared" ref="N248:N290" si="331">IF(AND(M248&gt;0,AW257="")=TRUE,"UPDATE!",IF(AND(BM257&gt;0,AZ257&gt;0,BA257&gt;0,M248="",P257&lt;&gt;"(*_*)")=TRUE,"READY!",""))</f>
        <v/>
      </c>
      <c r="O248" s="1">
        <v>3</v>
      </c>
      <c r="Q248" s="1" t="s">
        <v>2877</v>
      </c>
      <c r="R248" s="1">
        <v>9295140183</v>
      </c>
      <c r="S248" s="153">
        <f t="shared" ref="S248:S273" si="332">IFERROR(IF(SEARCH("/",R248)&gt;0,REPLACE(R248,11,11,""),R248),R248)</f>
        <v>9295140183</v>
      </c>
      <c r="T248" s="153" t="str">
        <f t="shared" ref="T248:T273" si="333">IFERROR(IF(SEARCH("/",R248)&gt;0,REPLACE(R248,1,11,""),""),"")</f>
        <v/>
      </c>
      <c r="U248" s="1" t="s">
        <v>3095</v>
      </c>
      <c r="V248" s="1" t="s">
        <v>2876</v>
      </c>
      <c r="W248" s="1" t="s">
        <v>2874</v>
      </c>
      <c r="X248" s="1" t="s">
        <v>2875</v>
      </c>
      <c r="Y248" s="1" t="s">
        <v>884</v>
      </c>
      <c r="Z248" s="1" t="s">
        <v>128</v>
      </c>
      <c r="AA248" s="1" t="s">
        <v>1024</v>
      </c>
      <c r="AC248" s="1" t="s">
        <v>1025</v>
      </c>
      <c r="AE248" s="1" t="s">
        <v>1026</v>
      </c>
      <c r="AF248" s="1" t="s">
        <v>1027</v>
      </c>
      <c r="AH248" s="1" t="s">
        <v>52</v>
      </c>
      <c r="AI248" s="1" t="s">
        <v>253</v>
      </c>
      <c r="AJ248" s="153" t="str">
        <f t="shared" si="268"/>
        <v/>
      </c>
      <c r="AL248" s="1" t="s">
        <v>339</v>
      </c>
      <c r="AM248" s="1" t="s">
        <v>1658</v>
      </c>
      <c r="AN248" s="16">
        <v>33807</v>
      </c>
      <c r="AW248" s="169">
        <v>42139</v>
      </c>
      <c r="AX248" s="112" t="s">
        <v>3242</v>
      </c>
      <c r="AZ248" s="170">
        <v>42139</v>
      </c>
      <c r="BC248" s="169">
        <v>42139</v>
      </c>
      <c r="BD248" s="172" t="s">
        <v>3243</v>
      </c>
      <c r="BE248" s="169">
        <v>42139</v>
      </c>
      <c r="BF248" s="172" t="s">
        <v>3241</v>
      </c>
      <c r="BG248" s="169">
        <v>42139</v>
      </c>
      <c r="BH248" s="188" t="s">
        <v>3244</v>
      </c>
      <c r="BI248" s="181">
        <v>42139</v>
      </c>
      <c r="BJ248" s="169">
        <v>42139</v>
      </c>
      <c r="BM248" s="169">
        <v>42139</v>
      </c>
      <c r="BQ248" s="170">
        <v>42139</v>
      </c>
      <c r="BR248" s="181">
        <v>42139</v>
      </c>
      <c r="BS248" s="169">
        <v>42128</v>
      </c>
      <c r="BT248" s="170">
        <v>42128</v>
      </c>
      <c r="BU248" s="181">
        <v>42128</v>
      </c>
      <c r="BV248" s="112"/>
      <c r="BW248" s="152" t="str">
        <f t="shared" si="274"/>
        <v xml:space="preserve">1905 (for processing) 5/15/2015, MDR 5/15/2015, </v>
      </c>
      <c r="BX248" s="152"/>
      <c r="BY248" s="398">
        <f t="shared" si="276"/>
        <v>11</v>
      </c>
      <c r="BZ248" s="399"/>
      <c r="CA248" s="168" t="str">
        <f t="shared" si="304"/>
        <v/>
      </c>
      <c r="CB248" s="151" t="str">
        <f t="shared" si="305"/>
        <v/>
      </c>
      <c r="CC248" s="153" t="str">
        <f t="shared" ca="1" si="306"/>
        <v/>
      </c>
      <c r="CD248" s="153" t="str">
        <f t="shared" si="307"/>
        <v/>
      </c>
      <c r="CE248" s="153" t="str">
        <f t="shared" si="308"/>
        <v/>
      </c>
      <c r="CF248" s="396" t="str">
        <f t="shared" si="309"/>
        <v/>
      </c>
      <c r="CG248" s="397" t="str">
        <f t="shared" si="310"/>
        <v/>
      </c>
      <c r="CH248" s="153" t="str">
        <f t="shared" si="311"/>
        <v/>
      </c>
      <c r="CI248" s="151" t="str">
        <f t="shared" si="312"/>
        <v/>
      </c>
      <c r="CJ248" s="151">
        <f t="shared" si="313"/>
        <v>42153</v>
      </c>
      <c r="CK248" s="153">
        <f t="shared" si="314"/>
        <v>1</v>
      </c>
      <c r="CL248" s="153">
        <f t="shared" si="315"/>
        <v>1</v>
      </c>
      <c r="CM248" s="153">
        <f t="shared" si="316"/>
        <v>1</v>
      </c>
      <c r="CN248" s="153">
        <f t="shared" si="317"/>
        <v>1</v>
      </c>
      <c r="CO248" s="153">
        <f t="shared" si="318"/>
        <v>1</v>
      </c>
      <c r="CP248" s="153">
        <f t="shared" si="319"/>
        <v>0</v>
      </c>
      <c r="CQ248" s="153">
        <f t="shared" si="320"/>
        <v>0</v>
      </c>
      <c r="CR248" s="153">
        <f t="shared" si="321"/>
        <v>0</v>
      </c>
      <c r="CS248" s="153">
        <f t="shared" si="322"/>
        <v>0</v>
      </c>
      <c r="CT248" s="153">
        <f t="shared" si="323"/>
        <v>1</v>
      </c>
      <c r="CU248" s="153">
        <f t="shared" si="324"/>
        <v>1</v>
      </c>
      <c r="CV248" s="153">
        <f t="shared" si="325"/>
        <v>0</v>
      </c>
      <c r="CW248" s="153">
        <f t="shared" si="326"/>
        <v>0</v>
      </c>
      <c r="CX248" s="153">
        <f t="shared" si="327"/>
        <v>0</v>
      </c>
      <c r="CY248" s="153">
        <f t="shared" si="328"/>
        <v>1</v>
      </c>
    </row>
    <row r="249" spans="1:103" x14ac:dyDescent="0.25">
      <c r="A249" s="7">
        <v>195</v>
      </c>
      <c r="B249" s="16">
        <v>42128</v>
      </c>
      <c r="C249" s="1">
        <v>1082465</v>
      </c>
      <c r="D249" s="1" t="s">
        <v>2978</v>
      </c>
      <c r="E249" s="112" t="str">
        <f t="shared" si="329"/>
        <v xml:space="preserve">SSS, HDMF, PHIC, NBI, NSO, Info, AWOL, Hand, Waiver, TIN, 1905, 2305, </v>
      </c>
      <c r="F249" s="112" t="str">
        <f t="shared" si="330"/>
        <v xml:space="preserve">MDR, TOR, COE, 2x2, </v>
      </c>
      <c r="G249" s="1" t="s">
        <v>744</v>
      </c>
      <c r="I249" s="16">
        <v>42130</v>
      </c>
      <c r="K249" s="152">
        <f t="shared" ca="1" si="303"/>
        <v>13</v>
      </c>
      <c r="L249" s="561">
        <v>42153</v>
      </c>
      <c r="N249" s="153" t="str">
        <f t="shared" si="331"/>
        <v>READY!</v>
      </c>
      <c r="O249" s="1">
        <v>3</v>
      </c>
      <c r="Q249" s="1" t="s">
        <v>2881</v>
      </c>
      <c r="R249" s="1">
        <v>9164645639</v>
      </c>
      <c r="S249" s="153">
        <f t="shared" si="332"/>
        <v>9164645639</v>
      </c>
      <c r="T249" s="153" t="str">
        <f t="shared" si="333"/>
        <v/>
      </c>
      <c r="U249" s="1" t="s">
        <v>3087</v>
      </c>
      <c r="V249" s="1" t="s">
        <v>2880</v>
      </c>
      <c r="W249" s="1" t="s">
        <v>2878</v>
      </c>
      <c r="X249" s="1" t="s">
        <v>2879</v>
      </c>
      <c r="Y249" s="1" t="s">
        <v>2049</v>
      </c>
      <c r="Z249" s="1" t="s">
        <v>773</v>
      </c>
      <c r="AA249" s="1" t="s">
        <v>1233</v>
      </c>
      <c r="AD249" s="1" t="s">
        <v>1038</v>
      </c>
      <c r="AH249" s="1" t="s">
        <v>52</v>
      </c>
      <c r="AI249" s="1" t="s">
        <v>253</v>
      </c>
      <c r="AJ249" s="153" t="str">
        <f t="shared" si="268"/>
        <v/>
      </c>
      <c r="AL249" s="1" t="s">
        <v>585</v>
      </c>
      <c r="AM249" s="1" t="s">
        <v>854</v>
      </c>
      <c r="AN249" s="16">
        <v>33375</v>
      </c>
      <c r="BS249" s="169">
        <v>42128</v>
      </c>
      <c r="BT249" s="170">
        <v>42128</v>
      </c>
      <c r="BU249" s="181">
        <v>42128</v>
      </c>
      <c r="BV249" s="112"/>
      <c r="BW249" s="152" t="str">
        <f t="shared" si="274"/>
        <v/>
      </c>
      <c r="BX249" s="152"/>
      <c r="BY249" s="398">
        <f t="shared" si="276"/>
        <v>11</v>
      </c>
      <c r="BZ249" s="399"/>
      <c r="CA249" s="168" t="str">
        <f t="shared" si="304"/>
        <v/>
      </c>
      <c r="CB249" s="151" t="str">
        <f t="shared" si="305"/>
        <v/>
      </c>
      <c r="CC249" s="153" t="str">
        <f t="shared" ca="1" si="306"/>
        <v/>
      </c>
      <c r="CD249" s="153" t="str">
        <f t="shared" si="307"/>
        <v/>
      </c>
      <c r="CE249" s="153" t="str">
        <f t="shared" si="308"/>
        <v/>
      </c>
      <c r="CF249" s="396" t="str">
        <f t="shared" si="309"/>
        <v/>
      </c>
      <c r="CG249" s="397" t="str">
        <f t="shared" si="310"/>
        <v/>
      </c>
      <c r="CH249" s="153" t="str">
        <f t="shared" si="311"/>
        <v/>
      </c>
      <c r="CI249" s="151" t="str">
        <f t="shared" si="312"/>
        <v/>
      </c>
      <c r="CJ249" s="151">
        <f t="shared" si="313"/>
        <v>42153</v>
      </c>
      <c r="CK249" s="153">
        <f t="shared" si="314"/>
        <v>1</v>
      </c>
      <c r="CL249" s="153">
        <f t="shared" si="315"/>
        <v>1</v>
      </c>
      <c r="CM249" s="153">
        <f t="shared" si="316"/>
        <v>1</v>
      </c>
      <c r="CN249" s="153">
        <f t="shared" si="317"/>
        <v>1</v>
      </c>
      <c r="CO249" s="153">
        <f t="shared" si="318"/>
        <v>1</v>
      </c>
      <c r="CP249" s="153">
        <f t="shared" si="319"/>
        <v>0</v>
      </c>
      <c r="CQ249" s="153">
        <f t="shared" si="320"/>
        <v>0</v>
      </c>
      <c r="CR249" s="153">
        <f t="shared" si="321"/>
        <v>0</v>
      </c>
      <c r="CS249" s="153">
        <f t="shared" si="322"/>
        <v>0</v>
      </c>
      <c r="CT249" s="153">
        <f t="shared" si="323"/>
        <v>1</v>
      </c>
      <c r="CU249" s="153">
        <f t="shared" si="324"/>
        <v>1</v>
      </c>
      <c r="CV249" s="153">
        <f t="shared" si="325"/>
        <v>0</v>
      </c>
      <c r="CW249" s="153">
        <f t="shared" si="326"/>
        <v>0</v>
      </c>
      <c r="CX249" s="153">
        <f t="shared" si="327"/>
        <v>0</v>
      </c>
      <c r="CY249" s="153">
        <f t="shared" si="328"/>
        <v>2</v>
      </c>
    </row>
    <row r="250" spans="1:103" x14ac:dyDescent="0.25">
      <c r="A250" s="7">
        <v>195</v>
      </c>
      <c r="B250" s="16">
        <v>42128</v>
      </c>
      <c r="C250" s="1">
        <v>1082466</v>
      </c>
      <c r="D250" s="1" t="s">
        <v>2979</v>
      </c>
      <c r="E250" s="112" t="str">
        <f t="shared" si="329"/>
        <v xml:space="preserve">PHIC, NBI, NSO, Info, AWOL, Hand, Waiver, 1905, 2305, </v>
      </c>
      <c r="F250" s="112" t="str">
        <f t="shared" si="330"/>
        <v xml:space="preserve">MDR, TOR, COE, 2x2, </v>
      </c>
      <c r="G250" s="1" t="s">
        <v>744</v>
      </c>
      <c r="I250" s="16">
        <v>42130</v>
      </c>
      <c r="K250" s="152">
        <f t="shared" ca="1" si="303"/>
        <v>13</v>
      </c>
      <c r="L250" s="561">
        <v>42153</v>
      </c>
      <c r="N250" s="153" t="str">
        <f t="shared" si="331"/>
        <v/>
      </c>
      <c r="O250" s="1">
        <v>3</v>
      </c>
      <c r="Q250" s="1" t="s">
        <v>2884</v>
      </c>
      <c r="R250" s="1">
        <v>9178069081</v>
      </c>
      <c r="S250" s="153">
        <f t="shared" si="332"/>
        <v>9178069081</v>
      </c>
      <c r="T250" s="153" t="str">
        <f t="shared" si="333"/>
        <v/>
      </c>
      <c r="U250" s="1" t="s">
        <v>3088</v>
      </c>
      <c r="V250" s="1" t="s">
        <v>2102</v>
      </c>
      <c r="W250" s="1" t="s">
        <v>2882</v>
      </c>
      <c r="X250" s="1" t="s">
        <v>2883</v>
      </c>
      <c r="Y250" s="1" t="s">
        <v>2049</v>
      </c>
      <c r="Z250" s="1" t="s">
        <v>773</v>
      </c>
      <c r="AA250" s="1" t="s">
        <v>1233</v>
      </c>
      <c r="AD250" s="1" t="s">
        <v>1038</v>
      </c>
      <c r="AH250" s="1" t="s">
        <v>52</v>
      </c>
      <c r="AI250" s="1" t="s">
        <v>253</v>
      </c>
      <c r="AJ250" s="153" t="str">
        <f t="shared" si="268"/>
        <v/>
      </c>
      <c r="AL250" s="1" t="s">
        <v>585</v>
      </c>
      <c r="AM250" s="1" t="s">
        <v>854</v>
      </c>
      <c r="AN250" s="16">
        <v>33295</v>
      </c>
      <c r="AW250" s="169">
        <v>42131</v>
      </c>
      <c r="AX250" s="112" t="s">
        <v>3103</v>
      </c>
      <c r="BC250" s="169">
        <v>42131</v>
      </c>
      <c r="BD250" s="172" t="s">
        <v>3101</v>
      </c>
      <c r="BE250" s="169">
        <v>42131</v>
      </c>
      <c r="BF250" s="172" t="s">
        <v>3102</v>
      </c>
      <c r="BS250" s="169">
        <v>42128</v>
      </c>
      <c r="BT250" s="170">
        <v>42128</v>
      </c>
      <c r="BU250" s="181">
        <v>42128</v>
      </c>
      <c r="BV250" s="112"/>
      <c r="BW250" s="152" t="str">
        <f t="shared" si="274"/>
        <v/>
      </c>
      <c r="BX250" s="152"/>
      <c r="BY250" s="398">
        <f t="shared" si="276"/>
        <v>11</v>
      </c>
      <c r="BZ250" s="399"/>
      <c r="CA250" s="168" t="str">
        <f t="shared" si="304"/>
        <v/>
      </c>
      <c r="CB250" s="151" t="str">
        <f t="shared" si="305"/>
        <v/>
      </c>
      <c r="CC250" s="153" t="str">
        <f t="shared" ca="1" si="306"/>
        <v/>
      </c>
      <c r="CD250" s="153" t="str">
        <f t="shared" si="307"/>
        <v/>
      </c>
      <c r="CE250" s="153" t="str">
        <f t="shared" si="308"/>
        <v/>
      </c>
      <c r="CF250" s="396" t="str">
        <f t="shared" si="309"/>
        <v/>
      </c>
      <c r="CG250" s="397" t="str">
        <f t="shared" si="310"/>
        <v/>
      </c>
      <c r="CH250" s="153" t="str">
        <f t="shared" si="311"/>
        <v/>
      </c>
      <c r="CI250" s="151" t="str">
        <f t="shared" si="312"/>
        <v/>
      </c>
      <c r="CJ250" s="151">
        <f t="shared" si="313"/>
        <v>42153</v>
      </c>
      <c r="CK250" s="153">
        <f t="shared" si="314"/>
        <v>2</v>
      </c>
      <c r="CL250" s="153">
        <f t="shared" si="315"/>
        <v>2</v>
      </c>
      <c r="CM250" s="153">
        <f t="shared" si="316"/>
        <v>1</v>
      </c>
      <c r="CN250" s="153">
        <f t="shared" si="317"/>
        <v>1</v>
      </c>
      <c r="CO250" s="153">
        <f t="shared" si="318"/>
        <v>1</v>
      </c>
      <c r="CP250" s="153">
        <f t="shared" si="319"/>
        <v>0</v>
      </c>
      <c r="CQ250" s="153">
        <f t="shared" si="320"/>
        <v>0</v>
      </c>
      <c r="CR250" s="153">
        <f t="shared" si="321"/>
        <v>0</v>
      </c>
      <c r="CS250" s="153">
        <f t="shared" si="322"/>
        <v>0</v>
      </c>
      <c r="CT250" s="153">
        <f t="shared" si="323"/>
        <v>2</v>
      </c>
      <c r="CU250" s="153">
        <f t="shared" si="324"/>
        <v>1</v>
      </c>
      <c r="CV250" s="153">
        <f t="shared" si="325"/>
        <v>0</v>
      </c>
      <c r="CW250" s="153">
        <f t="shared" si="326"/>
        <v>0</v>
      </c>
      <c r="CX250" s="153">
        <f t="shared" si="327"/>
        <v>0</v>
      </c>
      <c r="CY250" s="153">
        <f t="shared" si="328"/>
        <v>3</v>
      </c>
    </row>
    <row r="251" spans="1:103" x14ac:dyDescent="0.25">
      <c r="A251" s="7">
        <v>195</v>
      </c>
      <c r="B251" s="16">
        <v>42128</v>
      </c>
      <c r="C251" s="1">
        <v>1082467</v>
      </c>
      <c r="D251" s="1" t="s">
        <v>2980</v>
      </c>
      <c r="E251" s="112" t="str">
        <f t="shared" si="329"/>
        <v xml:space="preserve">SSS, HDMF, PHIC, NBI, NSO, Info, AWOL, Hand, Waiver, TIN, 1905, 2305, </v>
      </c>
      <c r="F251" s="112" t="str">
        <f t="shared" si="330"/>
        <v xml:space="preserve">MDR, TOR, COE, 2x2, </v>
      </c>
      <c r="G251" s="1" t="s">
        <v>744</v>
      </c>
      <c r="I251" s="16">
        <v>42130</v>
      </c>
      <c r="K251" s="152">
        <f t="shared" ca="1" si="303"/>
        <v>13</v>
      </c>
      <c r="L251" s="561">
        <v>42153</v>
      </c>
      <c r="N251" s="153" t="str">
        <f t="shared" si="331"/>
        <v>READY!</v>
      </c>
      <c r="O251" s="1">
        <v>3</v>
      </c>
      <c r="Q251" s="1" t="s">
        <v>2887</v>
      </c>
      <c r="R251" s="1">
        <v>9152570663</v>
      </c>
      <c r="S251" s="153">
        <f t="shared" si="332"/>
        <v>9152570663</v>
      </c>
      <c r="T251" s="153" t="str">
        <f t="shared" si="333"/>
        <v/>
      </c>
      <c r="U251" s="1" t="s">
        <v>3089</v>
      </c>
      <c r="V251" s="1" t="s">
        <v>2886</v>
      </c>
      <c r="W251" s="1" t="s">
        <v>2885</v>
      </c>
      <c r="X251" s="1" t="s">
        <v>2443</v>
      </c>
      <c r="Y251" s="1" t="s">
        <v>2049</v>
      </c>
      <c r="Z251" s="1" t="s">
        <v>773</v>
      </c>
      <c r="AA251" s="1" t="s">
        <v>1233</v>
      </c>
      <c r="AD251" s="1" t="s">
        <v>1038</v>
      </c>
      <c r="AH251" s="1" t="s">
        <v>52</v>
      </c>
      <c r="AI251" s="1" t="s">
        <v>253</v>
      </c>
      <c r="AJ251" s="153" t="str">
        <f t="shared" si="268"/>
        <v/>
      </c>
      <c r="AL251" s="1" t="s">
        <v>585</v>
      </c>
      <c r="AM251" s="1" t="s">
        <v>854</v>
      </c>
      <c r="AN251" s="16">
        <v>33426</v>
      </c>
      <c r="BS251" s="169">
        <v>42128</v>
      </c>
      <c r="BT251" s="170">
        <v>42128</v>
      </c>
      <c r="BU251" s="181">
        <v>42128</v>
      </c>
      <c r="BV251" s="112"/>
      <c r="BW251" s="152" t="str">
        <f t="shared" si="274"/>
        <v/>
      </c>
      <c r="BX251" s="152"/>
      <c r="BY251" s="398">
        <f t="shared" si="276"/>
        <v>11</v>
      </c>
      <c r="BZ251" s="399"/>
      <c r="CA251" s="168" t="str">
        <f t="shared" si="304"/>
        <v/>
      </c>
      <c r="CB251" s="151" t="str">
        <f t="shared" si="305"/>
        <v/>
      </c>
      <c r="CC251" s="153" t="str">
        <f t="shared" ca="1" si="306"/>
        <v/>
      </c>
      <c r="CD251" s="153" t="str">
        <f t="shared" si="307"/>
        <v/>
      </c>
      <c r="CE251" s="153" t="str">
        <f t="shared" si="308"/>
        <v/>
      </c>
      <c r="CF251" s="396" t="str">
        <f t="shared" si="309"/>
        <v/>
      </c>
      <c r="CG251" s="397" t="str">
        <f t="shared" si="310"/>
        <v/>
      </c>
      <c r="CH251" s="153" t="str">
        <f t="shared" si="311"/>
        <v/>
      </c>
      <c r="CI251" s="151" t="str">
        <f t="shared" si="312"/>
        <v/>
      </c>
      <c r="CJ251" s="151">
        <f t="shared" si="313"/>
        <v>42153</v>
      </c>
      <c r="CK251" s="153">
        <f t="shared" si="314"/>
        <v>2</v>
      </c>
      <c r="CL251" s="153">
        <f t="shared" si="315"/>
        <v>2</v>
      </c>
      <c r="CM251" s="153">
        <f t="shared" si="316"/>
        <v>1</v>
      </c>
      <c r="CN251" s="153">
        <f t="shared" si="317"/>
        <v>1</v>
      </c>
      <c r="CO251" s="153">
        <f t="shared" si="318"/>
        <v>1</v>
      </c>
      <c r="CP251" s="153">
        <f t="shared" si="319"/>
        <v>0</v>
      </c>
      <c r="CQ251" s="153">
        <f t="shared" si="320"/>
        <v>0</v>
      </c>
      <c r="CR251" s="153">
        <f t="shared" si="321"/>
        <v>0</v>
      </c>
      <c r="CS251" s="153">
        <f t="shared" si="322"/>
        <v>0</v>
      </c>
      <c r="CT251" s="153">
        <f t="shared" si="323"/>
        <v>2</v>
      </c>
      <c r="CU251" s="153">
        <f t="shared" si="324"/>
        <v>1</v>
      </c>
      <c r="CV251" s="153">
        <f t="shared" si="325"/>
        <v>0</v>
      </c>
      <c r="CW251" s="153">
        <f t="shared" si="326"/>
        <v>0</v>
      </c>
      <c r="CX251" s="153">
        <f t="shared" si="327"/>
        <v>0</v>
      </c>
      <c r="CY251" s="153">
        <f t="shared" si="328"/>
        <v>4</v>
      </c>
    </row>
    <row r="252" spans="1:103" x14ac:dyDescent="0.25">
      <c r="A252" s="7">
        <v>195</v>
      </c>
      <c r="B252" s="16">
        <v>42128</v>
      </c>
      <c r="C252" s="1">
        <v>1082468</v>
      </c>
      <c r="D252" s="1" t="s">
        <v>2981</v>
      </c>
      <c r="E252" s="112" t="str">
        <f t="shared" si="329"/>
        <v xml:space="preserve">SSS, HDMF, NBI, NSO, TIN, 1905, 2305, </v>
      </c>
      <c r="F252" s="112" t="str">
        <f t="shared" si="330"/>
        <v xml:space="preserve">TOR, COE, 2x2, </v>
      </c>
      <c r="G252" s="1" t="s">
        <v>744</v>
      </c>
      <c r="I252" s="16">
        <v>42130</v>
      </c>
      <c r="K252" s="152">
        <f t="shared" ca="1" si="303"/>
        <v>13</v>
      </c>
      <c r="L252" s="561">
        <v>42153</v>
      </c>
      <c r="N252" s="153" t="str">
        <f t="shared" si="331"/>
        <v/>
      </c>
      <c r="O252" s="1">
        <v>3</v>
      </c>
      <c r="Q252" s="1" t="s">
        <v>2890</v>
      </c>
      <c r="R252" s="1">
        <v>9393116114</v>
      </c>
      <c r="S252" s="153">
        <f t="shared" si="332"/>
        <v>9393116114</v>
      </c>
      <c r="T252" s="153" t="str">
        <f t="shared" si="333"/>
        <v/>
      </c>
      <c r="U252" s="1" t="s">
        <v>3090</v>
      </c>
      <c r="V252" s="1" t="s">
        <v>2889</v>
      </c>
      <c r="W252" s="1" t="s">
        <v>318</v>
      </c>
      <c r="X252" s="1" t="s">
        <v>2888</v>
      </c>
      <c r="Y252" s="1" t="s">
        <v>2049</v>
      </c>
      <c r="Z252" s="1" t="s">
        <v>773</v>
      </c>
      <c r="AA252" s="1" t="s">
        <v>1233</v>
      </c>
      <c r="AD252" s="1" t="s">
        <v>1038</v>
      </c>
      <c r="AH252" s="1" t="s">
        <v>52</v>
      </c>
      <c r="AI252" s="1" t="s">
        <v>3003</v>
      </c>
      <c r="AJ252" s="153" t="str">
        <f t="shared" si="268"/>
        <v>Rosette Joyce Diesta</v>
      </c>
      <c r="AL252" s="1" t="s">
        <v>585</v>
      </c>
      <c r="AM252" s="1" t="s">
        <v>854</v>
      </c>
      <c r="AN252" s="16">
        <v>32440</v>
      </c>
      <c r="AO252" s="1" t="s">
        <v>3104</v>
      </c>
      <c r="AP252" s="1" t="s">
        <v>3104</v>
      </c>
      <c r="AQ252" s="1" t="s">
        <v>53</v>
      </c>
      <c r="AR252" s="1" t="s">
        <v>378</v>
      </c>
      <c r="AS252" s="169">
        <v>42131</v>
      </c>
      <c r="AT252" s="170">
        <v>42131</v>
      </c>
      <c r="AU252" s="170">
        <v>42131</v>
      </c>
      <c r="AV252" s="181">
        <v>42131</v>
      </c>
      <c r="BG252" s="169">
        <v>42131</v>
      </c>
      <c r="BH252" s="188" t="s">
        <v>3105</v>
      </c>
      <c r="BI252" s="181">
        <v>42132</v>
      </c>
      <c r="BS252" s="169">
        <v>42128</v>
      </c>
      <c r="BT252" s="170">
        <v>42128</v>
      </c>
      <c r="BU252" s="181">
        <v>42128</v>
      </c>
      <c r="BV252" s="112"/>
      <c r="BW252" s="152" t="str">
        <f t="shared" si="274"/>
        <v xml:space="preserve">MDR 5/8/2015, </v>
      </c>
      <c r="BX252" s="152"/>
      <c r="BY252" s="398">
        <f t="shared" si="276"/>
        <v>11</v>
      </c>
      <c r="BZ252" s="399"/>
      <c r="CA252" s="168" t="str">
        <f t="shared" si="304"/>
        <v/>
      </c>
      <c r="CB252" s="151" t="str">
        <f t="shared" si="305"/>
        <v/>
      </c>
      <c r="CC252" s="153" t="str">
        <f t="shared" ca="1" si="306"/>
        <v/>
      </c>
      <c r="CD252" s="153" t="str">
        <f t="shared" si="307"/>
        <v/>
      </c>
      <c r="CE252" s="153" t="str">
        <f t="shared" si="308"/>
        <v/>
      </c>
      <c r="CF252" s="396" t="str">
        <f t="shared" si="309"/>
        <v/>
      </c>
      <c r="CG252" s="397" t="str">
        <f t="shared" si="310"/>
        <v/>
      </c>
      <c r="CH252" s="153" t="str">
        <f t="shared" si="311"/>
        <v/>
      </c>
      <c r="CI252" s="151" t="str">
        <f t="shared" si="312"/>
        <v/>
      </c>
      <c r="CJ252" s="151">
        <f t="shared" si="313"/>
        <v>42153</v>
      </c>
      <c r="CK252" s="153">
        <f t="shared" si="314"/>
        <v>2</v>
      </c>
      <c r="CL252" s="153">
        <f t="shared" si="315"/>
        <v>2</v>
      </c>
      <c r="CM252" s="153">
        <f t="shared" si="316"/>
        <v>2</v>
      </c>
      <c r="CN252" s="153">
        <f t="shared" si="317"/>
        <v>1</v>
      </c>
      <c r="CO252" s="153">
        <f t="shared" si="318"/>
        <v>1</v>
      </c>
      <c r="CP252" s="153">
        <f t="shared" si="319"/>
        <v>1</v>
      </c>
      <c r="CQ252" s="153">
        <f t="shared" si="320"/>
        <v>1</v>
      </c>
      <c r="CR252" s="153">
        <f t="shared" si="321"/>
        <v>1</v>
      </c>
      <c r="CS252" s="153">
        <f t="shared" si="322"/>
        <v>1</v>
      </c>
      <c r="CT252" s="153">
        <f t="shared" si="323"/>
        <v>2</v>
      </c>
      <c r="CU252" s="153">
        <f t="shared" si="324"/>
        <v>1</v>
      </c>
      <c r="CV252" s="153">
        <f t="shared" si="325"/>
        <v>0</v>
      </c>
      <c r="CW252" s="153">
        <f t="shared" si="326"/>
        <v>0</v>
      </c>
      <c r="CX252" s="153">
        <f t="shared" si="327"/>
        <v>0</v>
      </c>
      <c r="CY252" s="153">
        <f t="shared" si="328"/>
        <v>5</v>
      </c>
    </row>
    <row r="253" spans="1:103" x14ac:dyDescent="0.25">
      <c r="A253" s="7">
        <v>195</v>
      </c>
      <c r="B253" s="16">
        <v>42128</v>
      </c>
      <c r="C253" s="1">
        <v>1082469</v>
      </c>
      <c r="D253" s="1" t="s">
        <v>2982</v>
      </c>
      <c r="E253" s="112" t="str">
        <f t="shared" si="329"/>
        <v xml:space="preserve">SSS, HDMF, PHIC, NBI, NSO, Info, AWOL, Hand, Waiver, TIN, 1905, 2305, </v>
      </c>
      <c r="F253" s="112" t="str">
        <f t="shared" si="330"/>
        <v xml:space="preserve">MDR, TOR, COE, 2x2, </v>
      </c>
      <c r="G253" s="1" t="s">
        <v>744</v>
      </c>
      <c r="I253" s="16">
        <v>42130</v>
      </c>
      <c r="K253" s="152">
        <f t="shared" ca="1" si="303"/>
        <v>13</v>
      </c>
      <c r="L253" s="561">
        <v>42153</v>
      </c>
      <c r="N253" s="153" t="str">
        <f t="shared" si="331"/>
        <v>READY!</v>
      </c>
      <c r="O253" s="1">
        <v>3</v>
      </c>
      <c r="Q253" s="1" t="s">
        <v>2893</v>
      </c>
      <c r="R253" s="1">
        <v>9178584328</v>
      </c>
      <c r="S253" s="153">
        <f t="shared" si="332"/>
        <v>9178584328</v>
      </c>
      <c r="T253" s="153" t="str">
        <f t="shared" si="333"/>
        <v/>
      </c>
      <c r="U253" s="1" t="s">
        <v>3091</v>
      </c>
      <c r="V253" s="1" t="s">
        <v>256</v>
      </c>
      <c r="W253" s="1" t="s">
        <v>2891</v>
      </c>
      <c r="X253" s="1" t="s">
        <v>2892</v>
      </c>
      <c r="Y253" s="1" t="s">
        <v>2049</v>
      </c>
      <c r="Z253" s="1" t="s">
        <v>773</v>
      </c>
      <c r="AA253" s="1" t="s">
        <v>1233</v>
      </c>
      <c r="AD253" s="1" t="s">
        <v>1038</v>
      </c>
      <c r="AH253" s="1" t="s">
        <v>52</v>
      </c>
      <c r="AI253" s="1" t="s">
        <v>3004</v>
      </c>
      <c r="AJ253" s="153" t="str">
        <f t="shared" si="268"/>
        <v>Ariel Cabada</v>
      </c>
      <c r="AL253" s="1" t="s">
        <v>585</v>
      </c>
      <c r="AM253" s="1" t="s">
        <v>854</v>
      </c>
      <c r="AN253" s="16">
        <v>33541</v>
      </c>
      <c r="BS253" s="169">
        <v>42128</v>
      </c>
      <c r="BT253" s="170">
        <v>42128</v>
      </c>
      <c r="BU253" s="181">
        <v>42128</v>
      </c>
      <c r="BV253" s="112"/>
      <c r="BW253" s="152" t="str">
        <f t="shared" si="274"/>
        <v/>
      </c>
      <c r="BX253" s="152"/>
      <c r="BY253" s="398">
        <f t="shared" si="276"/>
        <v>11</v>
      </c>
      <c r="BZ253" s="399"/>
      <c r="CA253" s="168" t="str">
        <f t="shared" si="304"/>
        <v/>
      </c>
      <c r="CB253" s="151" t="str">
        <f t="shared" si="305"/>
        <v/>
      </c>
      <c r="CC253" s="153" t="str">
        <f t="shared" ca="1" si="306"/>
        <v/>
      </c>
      <c r="CD253" s="153" t="str">
        <f t="shared" si="307"/>
        <v/>
      </c>
      <c r="CE253" s="153" t="str">
        <f t="shared" si="308"/>
        <v/>
      </c>
      <c r="CF253" s="396" t="str">
        <f t="shared" si="309"/>
        <v/>
      </c>
      <c r="CG253" s="397" t="str">
        <f t="shared" si="310"/>
        <v/>
      </c>
      <c r="CH253" s="153" t="str">
        <f t="shared" si="311"/>
        <v/>
      </c>
      <c r="CI253" s="151" t="str">
        <f t="shared" si="312"/>
        <v/>
      </c>
      <c r="CJ253" s="151">
        <f t="shared" si="313"/>
        <v>42153</v>
      </c>
      <c r="CK253" s="153">
        <f t="shared" si="314"/>
        <v>2</v>
      </c>
      <c r="CL253" s="153">
        <f t="shared" si="315"/>
        <v>2</v>
      </c>
      <c r="CM253" s="153">
        <f t="shared" si="316"/>
        <v>2</v>
      </c>
      <c r="CN253" s="153">
        <f t="shared" si="317"/>
        <v>1</v>
      </c>
      <c r="CO253" s="153">
        <f t="shared" si="318"/>
        <v>1</v>
      </c>
      <c r="CP253" s="153">
        <f t="shared" si="319"/>
        <v>1</v>
      </c>
      <c r="CQ253" s="153">
        <f t="shared" si="320"/>
        <v>1</v>
      </c>
      <c r="CR253" s="153">
        <f t="shared" si="321"/>
        <v>1</v>
      </c>
      <c r="CS253" s="153">
        <f t="shared" si="322"/>
        <v>1</v>
      </c>
      <c r="CT253" s="153">
        <f t="shared" si="323"/>
        <v>2</v>
      </c>
      <c r="CU253" s="153">
        <f t="shared" si="324"/>
        <v>1</v>
      </c>
      <c r="CV253" s="153">
        <f t="shared" si="325"/>
        <v>0</v>
      </c>
      <c r="CW253" s="153">
        <f t="shared" si="326"/>
        <v>0</v>
      </c>
      <c r="CX253" s="153">
        <f t="shared" si="327"/>
        <v>0</v>
      </c>
      <c r="CY253" s="153">
        <f t="shared" si="328"/>
        <v>6</v>
      </c>
    </row>
    <row r="254" spans="1:103" x14ac:dyDescent="0.25">
      <c r="A254" s="7">
        <v>195</v>
      </c>
      <c r="B254" s="16">
        <v>42128</v>
      </c>
      <c r="C254" s="1">
        <v>1082470</v>
      </c>
      <c r="D254" s="1" t="s">
        <v>2983</v>
      </c>
      <c r="E254" s="112" t="str">
        <f t="shared" si="329"/>
        <v xml:space="preserve">SSS, HDMF, PHIC, NBI, NSO, Info, AWOL, Hand, Waiver, TIN, 1905, 2305, </v>
      </c>
      <c r="F254" s="112" t="str">
        <f t="shared" si="330"/>
        <v xml:space="preserve">MDR, TOR, COE, 2x2, </v>
      </c>
      <c r="G254" s="1" t="s">
        <v>744</v>
      </c>
      <c r="I254" s="16">
        <v>42130</v>
      </c>
      <c r="K254" s="152">
        <f t="shared" ca="1" si="303"/>
        <v>13</v>
      </c>
      <c r="L254" s="561">
        <v>42153</v>
      </c>
      <c r="N254" s="153" t="str">
        <f t="shared" si="331"/>
        <v/>
      </c>
      <c r="O254" s="1">
        <v>3</v>
      </c>
      <c r="Q254" s="1" t="s">
        <v>2897</v>
      </c>
      <c r="R254" s="1">
        <v>9053378196</v>
      </c>
      <c r="S254" s="153">
        <f t="shared" si="332"/>
        <v>9053378196</v>
      </c>
      <c r="T254" s="153" t="str">
        <f t="shared" si="333"/>
        <v/>
      </c>
      <c r="U254" s="1" t="s">
        <v>3092</v>
      </c>
      <c r="V254" s="1" t="s">
        <v>2896</v>
      </c>
      <c r="W254" s="1" t="s">
        <v>2894</v>
      </c>
      <c r="X254" s="1" t="s">
        <v>2895</v>
      </c>
      <c r="Y254" s="1" t="s">
        <v>2049</v>
      </c>
      <c r="Z254" s="1" t="s">
        <v>773</v>
      </c>
      <c r="AA254" s="1" t="s">
        <v>1233</v>
      </c>
      <c r="AD254" s="1" t="s">
        <v>1038</v>
      </c>
      <c r="AH254" s="1" t="s">
        <v>52</v>
      </c>
      <c r="AI254" s="1" t="s">
        <v>253</v>
      </c>
      <c r="AJ254" s="153" t="str">
        <f t="shared" si="268"/>
        <v/>
      </c>
      <c r="AL254" s="1" t="s">
        <v>585</v>
      </c>
      <c r="AM254" s="1" t="s">
        <v>854</v>
      </c>
      <c r="AN254" s="16">
        <v>32279</v>
      </c>
      <c r="BS254" s="169">
        <v>42128</v>
      </c>
      <c r="BT254" s="170">
        <v>42128</v>
      </c>
      <c r="BU254" s="181">
        <v>42128</v>
      </c>
      <c r="BV254" s="112"/>
      <c r="BW254" s="152" t="str">
        <f t="shared" si="274"/>
        <v/>
      </c>
      <c r="BX254" s="152"/>
      <c r="BY254" s="398">
        <f t="shared" si="276"/>
        <v>11</v>
      </c>
      <c r="BZ254" s="399"/>
      <c r="CA254" s="168" t="str">
        <f t="shared" si="304"/>
        <v/>
      </c>
      <c r="CB254" s="151" t="str">
        <f t="shared" si="305"/>
        <v/>
      </c>
      <c r="CC254" s="153" t="str">
        <f t="shared" ca="1" si="306"/>
        <v/>
      </c>
      <c r="CD254" s="153" t="str">
        <f t="shared" si="307"/>
        <v/>
      </c>
      <c r="CE254" s="153" t="str">
        <f t="shared" si="308"/>
        <v/>
      </c>
      <c r="CF254" s="396" t="str">
        <f t="shared" si="309"/>
        <v/>
      </c>
      <c r="CG254" s="397" t="str">
        <f t="shared" si="310"/>
        <v/>
      </c>
      <c r="CH254" s="153" t="str">
        <f t="shared" si="311"/>
        <v/>
      </c>
      <c r="CI254" s="151" t="str">
        <f t="shared" si="312"/>
        <v/>
      </c>
      <c r="CJ254" s="151">
        <f t="shared" si="313"/>
        <v>42153</v>
      </c>
      <c r="CK254" s="153">
        <f t="shared" si="314"/>
        <v>2</v>
      </c>
      <c r="CL254" s="153">
        <f t="shared" si="315"/>
        <v>2</v>
      </c>
      <c r="CM254" s="153">
        <f t="shared" si="316"/>
        <v>2</v>
      </c>
      <c r="CN254" s="153">
        <f t="shared" si="317"/>
        <v>1</v>
      </c>
      <c r="CO254" s="153">
        <f t="shared" si="318"/>
        <v>1</v>
      </c>
      <c r="CP254" s="153">
        <f t="shared" si="319"/>
        <v>1</v>
      </c>
      <c r="CQ254" s="153">
        <f t="shared" si="320"/>
        <v>1</v>
      </c>
      <c r="CR254" s="153">
        <f t="shared" si="321"/>
        <v>1</v>
      </c>
      <c r="CS254" s="153">
        <f t="shared" si="322"/>
        <v>1</v>
      </c>
      <c r="CT254" s="153">
        <f t="shared" si="323"/>
        <v>2</v>
      </c>
      <c r="CU254" s="153">
        <f t="shared" si="324"/>
        <v>1</v>
      </c>
      <c r="CV254" s="153">
        <f t="shared" si="325"/>
        <v>0</v>
      </c>
      <c r="CW254" s="153">
        <f t="shared" si="326"/>
        <v>0</v>
      </c>
      <c r="CX254" s="153">
        <f t="shared" si="327"/>
        <v>0</v>
      </c>
      <c r="CY254" s="153">
        <f t="shared" si="328"/>
        <v>7</v>
      </c>
    </row>
    <row r="255" spans="1:103" x14ac:dyDescent="0.25">
      <c r="A255" s="7">
        <v>195</v>
      </c>
      <c r="B255" s="16">
        <v>42128</v>
      </c>
      <c r="C255" s="1">
        <v>1082471</v>
      </c>
      <c r="D255" s="1" t="s">
        <v>2984</v>
      </c>
      <c r="E255" s="112" t="str">
        <f t="shared" si="329"/>
        <v xml:space="preserve">HDMF, PHIC, NBI, Info, AWOL, Hand, Waiver, 1905, 2305, </v>
      </c>
      <c r="F255" s="112" t="str">
        <f t="shared" si="330"/>
        <v xml:space="preserve">MDR, TOR, COE, 2x2, </v>
      </c>
      <c r="G255" s="1" t="s">
        <v>744</v>
      </c>
      <c r="I255" s="16">
        <v>42130</v>
      </c>
      <c r="K255" s="152">
        <f t="shared" ca="1" si="303"/>
        <v>6</v>
      </c>
      <c r="L255" s="561"/>
      <c r="N255" s="153" t="str">
        <f t="shared" si="331"/>
        <v>READY!</v>
      </c>
      <c r="O255" s="1">
        <v>3</v>
      </c>
      <c r="Q255" s="1" t="s">
        <v>2900</v>
      </c>
      <c r="R255" s="1">
        <v>9298694009</v>
      </c>
      <c r="S255" s="153">
        <f t="shared" si="332"/>
        <v>9298694009</v>
      </c>
      <c r="T255" s="153" t="str">
        <f t="shared" si="333"/>
        <v/>
      </c>
      <c r="U255" s="1" t="s">
        <v>3093</v>
      </c>
      <c r="V255" s="1" t="s">
        <v>1695</v>
      </c>
      <c r="W255" s="1" t="s">
        <v>2898</v>
      </c>
      <c r="X255" s="1" t="s">
        <v>2899</v>
      </c>
      <c r="Y255" s="1" t="s">
        <v>2049</v>
      </c>
      <c r="Z255" s="1" t="s">
        <v>773</v>
      </c>
      <c r="AA255" s="1" t="s">
        <v>1233</v>
      </c>
      <c r="AD255" s="1" t="s">
        <v>1038</v>
      </c>
      <c r="AH255" s="1" t="s">
        <v>52</v>
      </c>
      <c r="AI255" s="1" t="s">
        <v>253</v>
      </c>
      <c r="AJ255" s="153" t="str">
        <f t="shared" si="268"/>
        <v/>
      </c>
      <c r="AL255" s="1" t="s">
        <v>585</v>
      </c>
      <c r="AM255" s="1" t="s">
        <v>854</v>
      </c>
      <c r="AN255" s="16">
        <v>33764</v>
      </c>
      <c r="AW255" s="169">
        <v>42131</v>
      </c>
      <c r="AX255" s="112" t="s">
        <v>3098</v>
      </c>
      <c r="BC255" s="169">
        <v>42131</v>
      </c>
      <c r="BD255" s="172" t="s">
        <v>3097</v>
      </c>
      <c r="BM255" s="169">
        <v>42131</v>
      </c>
      <c r="BS255" s="169">
        <v>42128</v>
      </c>
      <c r="BT255" s="170">
        <v>42128</v>
      </c>
      <c r="BU255" s="181">
        <v>42128</v>
      </c>
      <c r="BV255" s="112"/>
      <c r="BW255" s="152" t="str">
        <f t="shared" si="274"/>
        <v/>
      </c>
      <c r="BX255" s="152"/>
      <c r="BY255" s="398">
        <f t="shared" si="276"/>
        <v>11</v>
      </c>
      <c r="BZ255" s="399"/>
      <c r="CA255" s="168" t="str">
        <f t="shared" si="304"/>
        <v/>
      </c>
      <c r="CB255" s="151" t="str">
        <f t="shared" si="305"/>
        <v/>
      </c>
      <c r="CC255" s="153" t="str">
        <f t="shared" ca="1" si="306"/>
        <v/>
      </c>
      <c r="CD255" s="153" t="str">
        <f t="shared" si="307"/>
        <v/>
      </c>
      <c r="CE255" s="153" t="str">
        <f t="shared" si="308"/>
        <v/>
      </c>
      <c r="CF255" s="396" t="str">
        <f t="shared" si="309"/>
        <v/>
      </c>
      <c r="CG255" s="397" t="str">
        <f t="shared" si="310"/>
        <v/>
      </c>
      <c r="CH255" s="153" t="str">
        <f t="shared" si="311"/>
        <v/>
      </c>
      <c r="CI255" s="151" t="str">
        <f t="shared" si="312"/>
        <v/>
      </c>
      <c r="CJ255" s="151">
        <f t="shared" si="313"/>
        <v>42153</v>
      </c>
      <c r="CK255" s="153">
        <f t="shared" si="314"/>
        <v>3</v>
      </c>
      <c r="CL255" s="153">
        <f t="shared" si="315"/>
        <v>2</v>
      </c>
      <c r="CM255" s="153">
        <f t="shared" si="316"/>
        <v>2</v>
      </c>
      <c r="CN255" s="153">
        <f t="shared" si="317"/>
        <v>1</v>
      </c>
      <c r="CO255" s="153">
        <f t="shared" si="318"/>
        <v>2</v>
      </c>
      <c r="CP255" s="153">
        <f t="shared" si="319"/>
        <v>1</v>
      </c>
      <c r="CQ255" s="153">
        <f t="shared" si="320"/>
        <v>1</v>
      </c>
      <c r="CR255" s="153">
        <f t="shared" si="321"/>
        <v>1</v>
      </c>
      <c r="CS255" s="153">
        <f t="shared" si="322"/>
        <v>1</v>
      </c>
      <c r="CT255" s="153">
        <f t="shared" si="323"/>
        <v>3</v>
      </c>
      <c r="CU255" s="153">
        <f t="shared" si="324"/>
        <v>1</v>
      </c>
      <c r="CV255" s="153">
        <f t="shared" si="325"/>
        <v>0</v>
      </c>
      <c r="CW255" s="153">
        <f t="shared" si="326"/>
        <v>0</v>
      </c>
      <c r="CX255" s="153">
        <f t="shared" si="327"/>
        <v>0</v>
      </c>
      <c r="CY255" s="153">
        <f t="shared" si="328"/>
        <v>8</v>
      </c>
    </row>
    <row r="256" spans="1:103" x14ac:dyDescent="0.25">
      <c r="A256" s="7">
        <v>195</v>
      </c>
      <c r="B256" s="16">
        <v>42128</v>
      </c>
      <c r="C256" s="1">
        <v>1082472</v>
      </c>
      <c r="D256" s="1" t="s">
        <v>2985</v>
      </c>
      <c r="E256" s="112" t="str">
        <f t="shared" si="329"/>
        <v xml:space="preserve">HDMF, NBI, Info, AWOL, Hand, Waiver, TIN, 1905, 2305, </v>
      </c>
      <c r="F256" s="112" t="str">
        <f t="shared" si="330"/>
        <v xml:space="preserve">MDR, TOR, COE, 2x2, </v>
      </c>
      <c r="G256" s="1" t="s">
        <v>744</v>
      </c>
      <c r="I256" s="16">
        <v>42130</v>
      </c>
      <c r="K256" s="152">
        <f t="shared" ca="1" si="303"/>
        <v>6</v>
      </c>
      <c r="N256" s="153" t="str">
        <f t="shared" si="331"/>
        <v/>
      </c>
      <c r="O256" s="1">
        <v>3</v>
      </c>
      <c r="Q256" s="1" t="s">
        <v>2904</v>
      </c>
      <c r="R256" s="1">
        <v>9165649631</v>
      </c>
      <c r="S256" s="153">
        <f t="shared" si="332"/>
        <v>9165649631</v>
      </c>
      <c r="T256" s="153" t="str">
        <f t="shared" si="333"/>
        <v/>
      </c>
      <c r="U256" s="1" t="s">
        <v>3094</v>
      </c>
      <c r="V256" s="1" t="s">
        <v>2903</v>
      </c>
      <c r="W256" s="1" t="s">
        <v>2901</v>
      </c>
      <c r="X256" s="1" t="s">
        <v>2902</v>
      </c>
      <c r="Y256" s="1" t="s">
        <v>2049</v>
      </c>
      <c r="Z256" s="1" t="s">
        <v>773</v>
      </c>
      <c r="AA256" s="1" t="s">
        <v>1233</v>
      </c>
      <c r="AD256" s="1" t="s">
        <v>1038</v>
      </c>
      <c r="AH256" s="1" t="s">
        <v>52</v>
      </c>
      <c r="AI256" s="1" t="s">
        <v>253</v>
      </c>
      <c r="AJ256" s="153" t="str">
        <f t="shared" si="268"/>
        <v/>
      </c>
      <c r="AL256" s="1" t="s">
        <v>585</v>
      </c>
      <c r="AM256" s="1" t="s">
        <v>854</v>
      </c>
      <c r="AN256" s="16">
        <v>33190</v>
      </c>
      <c r="BC256" s="169">
        <v>42131</v>
      </c>
      <c r="BD256" s="172" t="s">
        <v>3099</v>
      </c>
      <c r="BG256" s="169">
        <v>42131</v>
      </c>
      <c r="BH256" s="188" t="s">
        <v>3100</v>
      </c>
      <c r="BM256" s="169">
        <v>42131</v>
      </c>
      <c r="BS256" s="169">
        <v>42128</v>
      </c>
      <c r="BT256" s="170">
        <v>42128</v>
      </c>
      <c r="BU256" s="181">
        <v>42128</v>
      </c>
      <c r="BV256" s="112"/>
      <c r="BW256" s="152" t="str">
        <f t="shared" si="274"/>
        <v/>
      </c>
      <c r="BX256" s="152"/>
      <c r="BY256" s="398">
        <f t="shared" si="276"/>
        <v>11</v>
      </c>
      <c r="BZ256" s="399"/>
      <c r="CA256" s="168" t="str">
        <f t="shared" si="304"/>
        <v/>
      </c>
      <c r="CB256" s="151" t="str">
        <f t="shared" si="305"/>
        <v/>
      </c>
      <c r="CC256" s="153" t="str">
        <f t="shared" ca="1" si="306"/>
        <v/>
      </c>
      <c r="CD256" s="153" t="str">
        <f t="shared" si="307"/>
        <v/>
      </c>
      <c r="CE256" s="153" t="str">
        <f t="shared" si="308"/>
        <v/>
      </c>
      <c r="CF256" s="396" t="str">
        <f t="shared" si="309"/>
        <v/>
      </c>
      <c r="CG256" s="397" t="str">
        <f t="shared" si="310"/>
        <v/>
      </c>
      <c r="CH256" s="153" t="str">
        <f t="shared" si="311"/>
        <v/>
      </c>
      <c r="CI256" s="151" t="str">
        <f t="shared" si="312"/>
        <v/>
      </c>
      <c r="CJ256" s="151">
        <f t="shared" si="313"/>
        <v>42153</v>
      </c>
      <c r="CK256" s="153">
        <f t="shared" si="314"/>
        <v>4</v>
      </c>
      <c r="CL256" s="153">
        <f t="shared" si="315"/>
        <v>2</v>
      </c>
      <c r="CM256" s="153">
        <f t="shared" si="316"/>
        <v>3</v>
      </c>
      <c r="CN256" s="153">
        <f t="shared" si="317"/>
        <v>1</v>
      </c>
      <c r="CO256" s="153">
        <f t="shared" si="318"/>
        <v>3</v>
      </c>
      <c r="CP256" s="153">
        <f t="shared" si="319"/>
        <v>1</v>
      </c>
      <c r="CQ256" s="153">
        <f t="shared" si="320"/>
        <v>1</v>
      </c>
      <c r="CR256" s="153">
        <f t="shared" si="321"/>
        <v>1</v>
      </c>
      <c r="CS256" s="153">
        <f t="shared" si="322"/>
        <v>1</v>
      </c>
      <c r="CT256" s="153">
        <f t="shared" si="323"/>
        <v>3</v>
      </c>
      <c r="CU256" s="153">
        <f t="shared" si="324"/>
        <v>1</v>
      </c>
      <c r="CV256" s="153">
        <f t="shared" si="325"/>
        <v>0</v>
      </c>
      <c r="CW256" s="153">
        <f t="shared" si="326"/>
        <v>0</v>
      </c>
      <c r="CX256" s="153">
        <f t="shared" si="327"/>
        <v>0</v>
      </c>
      <c r="CY256" s="153">
        <f t="shared" si="328"/>
        <v>9</v>
      </c>
    </row>
    <row r="257" spans="1:103" x14ac:dyDescent="0.25">
      <c r="A257" s="7">
        <v>195</v>
      </c>
      <c r="B257" s="16">
        <v>42128</v>
      </c>
      <c r="C257" s="1">
        <v>1082473</v>
      </c>
      <c r="D257" s="1" t="s">
        <v>2986</v>
      </c>
      <c r="E257" s="112" t="str">
        <f t="shared" si="329"/>
        <v xml:space="preserve">Waiver, 1905, </v>
      </c>
      <c r="F257" s="112" t="str">
        <f t="shared" si="330"/>
        <v xml:space="preserve">MDR, </v>
      </c>
      <c r="I257" s="16">
        <v>42130</v>
      </c>
      <c r="K257" s="152">
        <f t="shared" ca="1" si="303"/>
        <v>6</v>
      </c>
      <c r="N257" s="153" t="str">
        <f t="shared" si="331"/>
        <v>READY!</v>
      </c>
      <c r="O257" s="1">
        <v>3</v>
      </c>
      <c r="Q257" s="1" t="s">
        <v>2908</v>
      </c>
      <c r="R257" s="1">
        <v>9985382775</v>
      </c>
      <c r="S257" s="153">
        <f t="shared" si="332"/>
        <v>9985382775</v>
      </c>
      <c r="T257" s="153" t="str">
        <f t="shared" si="333"/>
        <v/>
      </c>
      <c r="U257" s="1" t="s">
        <v>3006</v>
      </c>
      <c r="V257" s="1" t="s">
        <v>2907</v>
      </c>
      <c r="W257" s="1" t="s">
        <v>2905</v>
      </c>
      <c r="X257" s="1" t="s">
        <v>2906</v>
      </c>
      <c r="Y257" s="1" t="s">
        <v>73</v>
      </c>
      <c r="Z257" s="1" t="s">
        <v>74</v>
      </c>
      <c r="AA257" s="1" t="s">
        <v>1232</v>
      </c>
      <c r="AC257" s="1" t="s">
        <v>741</v>
      </c>
      <c r="AD257" s="1" t="s">
        <v>1234</v>
      </c>
      <c r="AH257" s="1" t="s">
        <v>52</v>
      </c>
      <c r="AI257" s="1" t="s">
        <v>2909</v>
      </c>
      <c r="AJ257" s="153" t="s">
        <v>3005</v>
      </c>
      <c r="AL257" s="1" t="s">
        <v>254</v>
      </c>
      <c r="AM257" s="1" t="s">
        <v>854</v>
      </c>
      <c r="AN257" s="16">
        <v>30284</v>
      </c>
      <c r="AO257" s="1" t="s">
        <v>3115</v>
      </c>
      <c r="AP257" s="1" t="s">
        <v>3115</v>
      </c>
      <c r="AQ257" s="1" t="s">
        <v>53</v>
      </c>
      <c r="AR257" s="1" t="s">
        <v>973</v>
      </c>
      <c r="AS257" s="169">
        <v>42132</v>
      </c>
      <c r="AT257" s="170">
        <v>42130</v>
      </c>
      <c r="AU257" s="170">
        <v>42130</v>
      </c>
      <c r="AW257" s="169">
        <v>42130</v>
      </c>
      <c r="AX257" s="112" t="s">
        <v>3061</v>
      </c>
      <c r="BA257" s="170">
        <v>42132</v>
      </c>
      <c r="BC257" s="169">
        <v>42130</v>
      </c>
      <c r="BD257" s="172" t="s">
        <v>3054</v>
      </c>
      <c r="BE257" s="169">
        <v>42130</v>
      </c>
      <c r="BF257" s="172" t="s">
        <v>3055</v>
      </c>
      <c r="BG257" s="169">
        <v>42132</v>
      </c>
      <c r="BH257" s="188" t="s">
        <v>3114</v>
      </c>
      <c r="BJ257" s="169">
        <v>42132</v>
      </c>
      <c r="BM257" s="169">
        <v>42130</v>
      </c>
      <c r="BP257" s="169">
        <v>42130</v>
      </c>
      <c r="BQ257" s="170">
        <v>42130</v>
      </c>
      <c r="BR257" s="181">
        <v>42130</v>
      </c>
      <c r="BS257" s="169">
        <v>42128</v>
      </c>
      <c r="BT257" s="170">
        <v>42128</v>
      </c>
      <c r="BU257" s="181">
        <v>42128</v>
      </c>
      <c r="BV257" s="112" t="s">
        <v>3050</v>
      </c>
      <c r="BW257" s="152" t="str">
        <f t="shared" si="274"/>
        <v>2305 (for processing) 5/8/2015, 2316 (2014) - 5/6/2015</v>
      </c>
      <c r="BY257" s="275">
        <f t="shared" si="276"/>
        <v>11</v>
      </c>
      <c r="CA257" s="168" t="str">
        <f t="shared" si="304"/>
        <v/>
      </c>
      <c r="CB257" s="151" t="str">
        <f t="shared" si="305"/>
        <v/>
      </c>
      <c r="CC257" s="153" t="str">
        <f t="shared" ca="1" si="306"/>
        <v/>
      </c>
      <c r="CD257" s="153" t="str">
        <f t="shared" si="307"/>
        <v/>
      </c>
      <c r="CE257" s="153" t="str">
        <f t="shared" si="308"/>
        <v/>
      </c>
      <c r="CF257" s="396" t="str">
        <f t="shared" si="309"/>
        <v/>
      </c>
      <c r="CG257" s="397" t="str">
        <f t="shared" si="310"/>
        <v/>
      </c>
      <c r="CH257" s="153" t="str">
        <f t="shared" si="311"/>
        <v/>
      </c>
      <c r="CI257" s="151" t="str">
        <f t="shared" si="312"/>
        <v/>
      </c>
      <c r="CJ257" s="151">
        <f t="shared" si="313"/>
        <v>42153</v>
      </c>
      <c r="CK257" s="153">
        <f t="shared" si="314"/>
        <v>5</v>
      </c>
      <c r="CL257" s="153">
        <f t="shared" si="315"/>
        <v>3</v>
      </c>
      <c r="CM257" s="153">
        <f t="shared" si="316"/>
        <v>4</v>
      </c>
      <c r="CN257" s="153">
        <f t="shared" si="317"/>
        <v>2</v>
      </c>
      <c r="CO257" s="153">
        <f t="shared" si="318"/>
        <v>4</v>
      </c>
      <c r="CP257" s="153">
        <f t="shared" si="319"/>
        <v>2</v>
      </c>
      <c r="CQ257" s="153">
        <f t="shared" si="320"/>
        <v>2</v>
      </c>
      <c r="CR257" s="153">
        <f t="shared" si="321"/>
        <v>2</v>
      </c>
      <c r="CS257" s="153">
        <f t="shared" si="322"/>
        <v>1</v>
      </c>
      <c r="CT257" s="153">
        <f t="shared" si="323"/>
        <v>4</v>
      </c>
      <c r="CU257" s="153">
        <f t="shared" si="324"/>
        <v>1</v>
      </c>
      <c r="CV257" s="153">
        <f t="shared" si="325"/>
        <v>1</v>
      </c>
      <c r="CW257" s="153">
        <f t="shared" si="326"/>
        <v>0</v>
      </c>
      <c r="CX257" s="153">
        <f t="shared" si="327"/>
        <v>0</v>
      </c>
      <c r="CY257" s="153">
        <f t="shared" si="328"/>
        <v>10</v>
      </c>
    </row>
    <row r="258" spans="1:103" s="321" customFormat="1" x14ac:dyDescent="0.25">
      <c r="A258" s="382">
        <v>195</v>
      </c>
      <c r="B258" s="334">
        <v>42128</v>
      </c>
      <c r="C258" s="321">
        <v>1082474</v>
      </c>
      <c r="D258" s="321" t="s">
        <v>2987</v>
      </c>
      <c r="E258" s="317" t="str">
        <f t="shared" si="329"/>
        <v/>
      </c>
      <c r="F258" s="317" t="str">
        <f t="shared" si="330"/>
        <v xml:space="preserve">2x2, </v>
      </c>
      <c r="I258" s="334">
        <v>42130</v>
      </c>
      <c r="K258" s="384" t="str">
        <f t="shared" ca="1" si="303"/>
        <v/>
      </c>
      <c r="N258" s="317" t="str">
        <f t="shared" si="331"/>
        <v/>
      </c>
      <c r="O258" s="321" t="s">
        <v>302</v>
      </c>
      <c r="Q258" s="321" t="s">
        <v>2913</v>
      </c>
      <c r="R258" s="321">
        <v>9272625404</v>
      </c>
      <c r="S258" s="317">
        <f t="shared" si="332"/>
        <v>9272625404</v>
      </c>
      <c r="T258" s="317" t="str">
        <f t="shared" si="333"/>
        <v/>
      </c>
      <c r="U258" s="321" t="s">
        <v>3007</v>
      </c>
      <c r="V258" s="321" t="s">
        <v>2912</v>
      </c>
      <c r="W258" s="321" t="s">
        <v>2910</v>
      </c>
      <c r="X258" s="321" t="s">
        <v>2911</v>
      </c>
      <c r="Y258" s="321" t="s">
        <v>73</v>
      </c>
      <c r="Z258" s="321" t="s">
        <v>70</v>
      </c>
      <c r="AA258" s="321" t="s">
        <v>1233</v>
      </c>
      <c r="AC258" s="321" t="s">
        <v>741</v>
      </c>
      <c r="AD258" s="321" t="s">
        <v>1038</v>
      </c>
      <c r="AH258" s="321" t="s">
        <v>52</v>
      </c>
      <c r="AI258" s="321" t="s">
        <v>2914</v>
      </c>
      <c r="AJ258" s="317" t="str">
        <f t="shared" si="268"/>
        <v>Kris Benjamin Hona</v>
      </c>
      <c r="AL258" s="321" t="s">
        <v>259</v>
      </c>
      <c r="AM258" s="321" t="s">
        <v>854</v>
      </c>
      <c r="AN258" s="334">
        <v>32877</v>
      </c>
      <c r="AO258" s="321" t="s">
        <v>3045</v>
      </c>
      <c r="AP258" s="321" t="s">
        <v>3045</v>
      </c>
      <c r="AQ258" s="321" t="s">
        <v>53</v>
      </c>
      <c r="AR258" s="321" t="s">
        <v>378</v>
      </c>
      <c r="AS258" s="332">
        <v>42130</v>
      </c>
      <c r="AT258" s="318">
        <v>42130</v>
      </c>
      <c r="AU258" s="318">
        <v>42130</v>
      </c>
      <c r="AV258" s="329">
        <v>42135</v>
      </c>
      <c r="AW258" s="332">
        <v>42130</v>
      </c>
      <c r="AX258" s="317" t="s">
        <v>3044</v>
      </c>
      <c r="AY258" s="317"/>
      <c r="AZ258" s="318">
        <v>42130</v>
      </c>
      <c r="BA258" s="318">
        <v>42130</v>
      </c>
      <c r="BB258" s="326"/>
      <c r="BC258" s="332">
        <v>42133</v>
      </c>
      <c r="BD258" s="326" t="s">
        <v>3123</v>
      </c>
      <c r="BE258" s="332">
        <v>42135</v>
      </c>
      <c r="BF258" s="326" t="s">
        <v>3133</v>
      </c>
      <c r="BG258" s="332">
        <v>42130</v>
      </c>
      <c r="BH258" s="385" t="s">
        <v>3043</v>
      </c>
      <c r="BI258" s="329">
        <v>42133</v>
      </c>
      <c r="BJ258" s="332">
        <v>42130</v>
      </c>
      <c r="BK258" s="317"/>
      <c r="BL258" s="326"/>
      <c r="BM258" s="332">
        <v>42130</v>
      </c>
      <c r="BN258" s="317"/>
      <c r="BO258" s="326"/>
      <c r="BP258" s="337"/>
      <c r="BQ258" s="318">
        <v>42130</v>
      </c>
      <c r="BR258" s="329">
        <v>42130</v>
      </c>
      <c r="BS258" s="332">
        <v>42128</v>
      </c>
      <c r="BT258" s="318">
        <v>42128</v>
      </c>
      <c r="BU258" s="329">
        <v>42128</v>
      </c>
      <c r="BV258" s="317"/>
      <c r="BW258" s="384" t="str">
        <f t="shared" si="274"/>
        <v xml:space="preserve">1905 (for processing) 5/6/2015, 2305 (for processing) 5/6/2015, MDR 5/9/2015, </v>
      </c>
      <c r="BX258" s="566"/>
      <c r="BY258" s="566">
        <f t="shared" si="276"/>
        <v>11</v>
      </c>
      <c r="BZ258" s="567"/>
      <c r="CA258" s="337" t="str">
        <f t="shared" si="304"/>
        <v/>
      </c>
      <c r="CB258" s="318" t="str">
        <f t="shared" si="305"/>
        <v/>
      </c>
      <c r="CC258" s="317" t="str">
        <f t="shared" ca="1" si="306"/>
        <v/>
      </c>
      <c r="CD258" s="317" t="str">
        <f t="shared" si="307"/>
        <v/>
      </c>
      <c r="CE258" s="317" t="str">
        <f t="shared" si="308"/>
        <v/>
      </c>
      <c r="CF258" s="538" t="str">
        <f t="shared" si="309"/>
        <v/>
      </c>
      <c r="CG258" s="539" t="str">
        <f t="shared" si="310"/>
        <v/>
      </c>
      <c r="CH258" s="317" t="str">
        <f t="shared" si="311"/>
        <v/>
      </c>
      <c r="CI258" s="318" t="str">
        <f t="shared" si="312"/>
        <v/>
      </c>
      <c r="CJ258" s="318">
        <f t="shared" si="313"/>
        <v>42153</v>
      </c>
      <c r="CK258" s="317">
        <f t="shared" si="314"/>
        <v>6</v>
      </c>
      <c r="CL258" s="317">
        <f t="shared" si="315"/>
        <v>4</v>
      </c>
      <c r="CM258" s="317">
        <f t="shared" si="316"/>
        <v>5</v>
      </c>
      <c r="CN258" s="317">
        <f t="shared" si="317"/>
        <v>3</v>
      </c>
      <c r="CO258" s="317">
        <f t="shared" si="318"/>
        <v>5</v>
      </c>
      <c r="CP258" s="317">
        <f t="shared" si="319"/>
        <v>3</v>
      </c>
      <c r="CQ258" s="317">
        <f t="shared" si="320"/>
        <v>3</v>
      </c>
      <c r="CR258" s="317">
        <f t="shared" si="321"/>
        <v>3</v>
      </c>
      <c r="CS258" s="317">
        <f t="shared" si="322"/>
        <v>2</v>
      </c>
      <c r="CT258" s="317">
        <f t="shared" si="323"/>
        <v>5</v>
      </c>
      <c r="CU258" s="317">
        <f t="shared" si="324"/>
        <v>2</v>
      </c>
      <c r="CV258" s="317">
        <f t="shared" si="325"/>
        <v>2</v>
      </c>
      <c r="CW258" s="317">
        <f t="shared" si="326"/>
        <v>1</v>
      </c>
      <c r="CX258" s="317">
        <f t="shared" si="327"/>
        <v>0</v>
      </c>
      <c r="CY258" s="317">
        <f t="shared" si="328"/>
        <v>11</v>
      </c>
    </row>
    <row r="259" spans="1:103" x14ac:dyDescent="0.25">
      <c r="A259" s="7">
        <v>195</v>
      </c>
      <c r="B259" s="16">
        <v>42128</v>
      </c>
      <c r="C259" s="1">
        <v>1082475</v>
      </c>
      <c r="D259" s="1" t="s">
        <v>2988</v>
      </c>
      <c r="E259" s="112" t="str">
        <f t="shared" si="329"/>
        <v xml:space="preserve">HDMF, PHIC, Info, AWOL, Hand, Waiver, TIN, 1905, 2305, </v>
      </c>
      <c r="F259" s="112" t="str">
        <f t="shared" si="330"/>
        <v xml:space="preserve">MDR, 2x2, </v>
      </c>
      <c r="I259" s="16">
        <v>42130</v>
      </c>
      <c r="K259" s="152">
        <f t="shared" ca="1" si="303"/>
        <v>6</v>
      </c>
      <c r="N259" s="153" t="str">
        <f t="shared" si="331"/>
        <v>READY!</v>
      </c>
      <c r="O259" s="1">
        <v>3</v>
      </c>
      <c r="Q259" s="1" t="s">
        <v>2918</v>
      </c>
      <c r="R259" s="1">
        <v>9354192782</v>
      </c>
      <c r="S259" s="153">
        <f t="shared" si="332"/>
        <v>9354192782</v>
      </c>
      <c r="T259" s="153" t="str">
        <f t="shared" si="333"/>
        <v/>
      </c>
      <c r="U259" s="1" t="s">
        <v>3008</v>
      </c>
      <c r="V259" s="1" t="s">
        <v>2917</v>
      </c>
      <c r="W259" s="1" t="s">
        <v>2915</v>
      </c>
      <c r="X259" s="1" t="s">
        <v>2916</v>
      </c>
      <c r="Y259" s="1" t="s">
        <v>73</v>
      </c>
      <c r="Z259" s="1" t="s">
        <v>70</v>
      </c>
      <c r="AA259" s="1" t="s">
        <v>1233</v>
      </c>
      <c r="AC259" s="1" t="s">
        <v>741</v>
      </c>
      <c r="AD259" s="1" t="s">
        <v>1038</v>
      </c>
      <c r="AH259" s="1" t="s">
        <v>52</v>
      </c>
      <c r="AI259" s="1" t="s">
        <v>253</v>
      </c>
      <c r="AJ259" s="153" t="str">
        <f t="shared" si="268"/>
        <v/>
      </c>
      <c r="AL259" s="1" t="s">
        <v>1475</v>
      </c>
      <c r="AM259" s="1" t="s">
        <v>854</v>
      </c>
      <c r="AN259" s="16">
        <v>32919</v>
      </c>
      <c r="BC259" s="169">
        <v>42130</v>
      </c>
      <c r="BD259" s="172" t="s">
        <v>3073</v>
      </c>
      <c r="BJ259" s="169">
        <v>42136</v>
      </c>
      <c r="BM259" s="169">
        <v>42130</v>
      </c>
      <c r="BO259" s="181">
        <v>42130</v>
      </c>
      <c r="BQ259" s="170">
        <v>42130</v>
      </c>
      <c r="BR259" s="181">
        <v>42130</v>
      </c>
      <c r="BS259" s="169">
        <v>42128</v>
      </c>
      <c r="BT259" s="170">
        <v>42128</v>
      </c>
      <c r="BU259" s="181">
        <v>42128</v>
      </c>
      <c r="BV259" s="112"/>
      <c r="BW259" s="152" t="str">
        <f t="shared" si="274"/>
        <v/>
      </c>
      <c r="BY259" s="275">
        <f t="shared" si="276"/>
        <v>11</v>
      </c>
      <c r="CA259" s="168" t="str">
        <f t="shared" si="304"/>
        <v/>
      </c>
      <c r="CB259" s="151" t="str">
        <f t="shared" si="305"/>
        <v/>
      </c>
      <c r="CC259" s="153" t="str">
        <f t="shared" ca="1" si="306"/>
        <v/>
      </c>
      <c r="CD259" s="153" t="str">
        <f t="shared" si="307"/>
        <v/>
      </c>
      <c r="CE259" s="153" t="str">
        <f t="shared" si="308"/>
        <v/>
      </c>
      <c r="CF259" s="396" t="str">
        <f t="shared" si="309"/>
        <v/>
      </c>
      <c r="CG259" s="397" t="str">
        <f t="shared" si="310"/>
        <v/>
      </c>
      <c r="CH259" s="153" t="str">
        <f t="shared" si="311"/>
        <v/>
      </c>
      <c r="CI259" s="151" t="str">
        <f t="shared" si="312"/>
        <v/>
      </c>
      <c r="CJ259" s="151">
        <f t="shared" si="313"/>
        <v>42153</v>
      </c>
      <c r="CK259" s="153">
        <f t="shared" si="314"/>
        <v>7</v>
      </c>
      <c r="CL259" s="153">
        <f t="shared" si="315"/>
        <v>4</v>
      </c>
      <c r="CM259" s="153">
        <f t="shared" si="316"/>
        <v>5</v>
      </c>
      <c r="CN259" s="153">
        <f t="shared" si="317"/>
        <v>4</v>
      </c>
      <c r="CO259" s="153">
        <f t="shared" si="318"/>
        <v>6</v>
      </c>
      <c r="CP259" s="153">
        <f t="shared" si="319"/>
        <v>3</v>
      </c>
      <c r="CQ259" s="153">
        <f t="shared" si="320"/>
        <v>3</v>
      </c>
      <c r="CR259" s="153">
        <f t="shared" si="321"/>
        <v>3</v>
      </c>
      <c r="CS259" s="153">
        <f t="shared" si="322"/>
        <v>2</v>
      </c>
      <c r="CT259" s="153">
        <f t="shared" si="323"/>
        <v>5</v>
      </c>
      <c r="CU259" s="153">
        <f t="shared" si="324"/>
        <v>2</v>
      </c>
      <c r="CV259" s="153">
        <f t="shared" si="325"/>
        <v>2</v>
      </c>
      <c r="CW259" s="153">
        <f t="shared" si="326"/>
        <v>1</v>
      </c>
      <c r="CX259" s="153">
        <f t="shared" si="327"/>
        <v>0</v>
      </c>
      <c r="CY259" s="153">
        <f t="shared" si="328"/>
        <v>12</v>
      </c>
    </row>
    <row r="260" spans="1:103" s="321" customFormat="1" x14ac:dyDescent="0.25">
      <c r="A260" s="382">
        <v>195</v>
      </c>
      <c r="B260" s="334">
        <v>42128</v>
      </c>
      <c r="C260" s="321">
        <v>1082476</v>
      </c>
      <c r="D260" s="321" t="s">
        <v>2989</v>
      </c>
      <c r="E260" s="317" t="str">
        <f t="shared" si="329"/>
        <v/>
      </c>
      <c r="F260" s="317" t="str">
        <f t="shared" si="330"/>
        <v xml:space="preserve">MDR, COE, 2x2, </v>
      </c>
      <c r="I260" s="334">
        <v>42130</v>
      </c>
      <c r="K260" s="384" t="str">
        <f t="shared" ca="1" si="303"/>
        <v/>
      </c>
      <c r="N260" s="317" t="str">
        <f t="shared" si="331"/>
        <v>READY!</v>
      </c>
      <c r="O260" s="321" t="s">
        <v>302</v>
      </c>
      <c r="Q260" s="1" t="s">
        <v>2922</v>
      </c>
      <c r="R260" s="1">
        <v>9068041656</v>
      </c>
      <c r="S260" s="153">
        <f t="shared" si="332"/>
        <v>9068041656</v>
      </c>
      <c r="T260" s="153" t="str">
        <f t="shared" si="333"/>
        <v/>
      </c>
      <c r="U260" s="1" t="s">
        <v>3009</v>
      </c>
      <c r="V260" s="1" t="s">
        <v>2921</v>
      </c>
      <c r="W260" s="1" t="s">
        <v>2919</v>
      </c>
      <c r="X260" s="1" t="s">
        <v>2920</v>
      </c>
      <c r="Y260" s="1" t="s">
        <v>73</v>
      </c>
      <c r="Z260" s="1" t="s">
        <v>74</v>
      </c>
      <c r="AA260" s="1" t="s">
        <v>1232</v>
      </c>
      <c r="AB260" s="1"/>
      <c r="AC260" s="1" t="s">
        <v>741</v>
      </c>
      <c r="AD260" s="1" t="s">
        <v>1234</v>
      </c>
      <c r="AE260" s="1"/>
      <c r="AF260" s="1"/>
      <c r="AG260" s="1"/>
      <c r="AH260" s="1" t="s">
        <v>52</v>
      </c>
      <c r="AI260" s="1" t="s">
        <v>2923</v>
      </c>
      <c r="AJ260" s="153" t="str">
        <f t="shared" si="268"/>
        <v>Enif Tarronas</v>
      </c>
      <c r="AK260" s="1"/>
      <c r="AL260" s="1" t="s">
        <v>254</v>
      </c>
      <c r="AM260" s="1" t="s">
        <v>854</v>
      </c>
      <c r="AN260" s="16">
        <v>32066</v>
      </c>
      <c r="AO260" s="1" t="s">
        <v>3214</v>
      </c>
      <c r="AP260" s="1" t="s">
        <v>3214</v>
      </c>
      <c r="AQ260" s="1" t="s">
        <v>53</v>
      </c>
      <c r="AR260" s="1" t="s">
        <v>378</v>
      </c>
      <c r="AS260" s="169">
        <v>42139</v>
      </c>
      <c r="AT260" s="170">
        <v>42139</v>
      </c>
      <c r="AU260" s="170">
        <v>42139</v>
      </c>
      <c r="AV260" s="181">
        <v>42139</v>
      </c>
      <c r="AW260" s="169">
        <v>42139</v>
      </c>
      <c r="AX260" s="112" t="s">
        <v>3215</v>
      </c>
      <c r="AY260" s="112"/>
      <c r="AZ260" s="170">
        <v>42139</v>
      </c>
      <c r="BA260" s="170">
        <v>42139</v>
      </c>
      <c r="BB260" s="172"/>
      <c r="BC260" s="169">
        <v>42139</v>
      </c>
      <c r="BD260" s="172" t="s">
        <v>3216</v>
      </c>
      <c r="BE260" s="169">
        <v>42139</v>
      </c>
      <c r="BF260" s="172" t="s">
        <v>3218</v>
      </c>
      <c r="BG260" s="169">
        <v>42139</v>
      </c>
      <c r="BH260" s="188" t="s">
        <v>3217</v>
      </c>
      <c r="BI260" s="172"/>
      <c r="BJ260" s="169">
        <v>42139</v>
      </c>
      <c r="BK260" s="112"/>
      <c r="BL260" s="172"/>
      <c r="BM260" s="169">
        <v>42139</v>
      </c>
      <c r="BN260" s="112"/>
      <c r="BO260" s="172"/>
      <c r="BP260" s="159"/>
      <c r="BQ260" s="170">
        <v>42139</v>
      </c>
      <c r="BR260" s="172"/>
      <c r="BS260" s="169">
        <v>42128</v>
      </c>
      <c r="BT260" s="170">
        <v>42128</v>
      </c>
      <c r="BU260" s="181">
        <v>42128</v>
      </c>
      <c r="BV260" s="112"/>
      <c r="BW260" s="152" t="str">
        <f t="shared" si="274"/>
        <v xml:space="preserve">1905 (for processing) 5/15/2015, 2305 (for processing) 5/15/2015, </v>
      </c>
      <c r="BX260" s="275"/>
      <c r="BY260" s="275">
        <f t="shared" si="276"/>
        <v>11</v>
      </c>
      <c r="BZ260" s="277"/>
      <c r="CA260" s="168" t="str">
        <f t="shared" si="304"/>
        <v/>
      </c>
      <c r="CB260" s="151" t="str">
        <f t="shared" si="305"/>
        <v/>
      </c>
      <c r="CC260" s="153" t="str">
        <f t="shared" ca="1" si="306"/>
        <v/>
      </c>
      <c r="CD260" s="153" t="str">
        <f t="shared" si="307"/>
        <v/>
      </c>
      <c r="CE260" s="153" t="str">
        <f t="shared" si="308"/>
        <v/>
      </c>
      <c r="CF260" s="396" t="str">
        <f t="shared" si="309"/>
        <v/>
      </c>
      <c r="CG260" s="397" t="str">
        <f t="shared" si="310"/>
        <v/>
      </c>
      <c r="CH260" s="153" t="str">
        <f t="shared" si="311"/>
        <v/>
      </c>
      <c r="CI260" s="151" t="str">
        <f t="shared" si="312"/>
        <v/>
      </c>
      <c r="CJ260" s="151">
        <f t="shared" si="313"/>
        <v>42153</v>
      </c>
      <c r="CK260" s="153">
        <f t="shared" si="314"/>
        <v>8</v>
      </c>
      <c r="CL260" s="153">
        <f t="shared" si="315"/>
        <v>5</v>
      </c>
      <c r="CM260" s="153">
        <f t="shared" si="316"/>
        <v>6</v>
      </c>
      <c r="CN260" s="153">
        <f t="shared" si="317"/>
        <v>5</v>
      </c>
      <c r="CO260" s="153">
        <f t="shared" si="318"/>
        <v>7</v>
      </c>
      <c r="CP260" s="153">
        <f t="shared" si="319"/>
        <v>4</v>
      </c>
      <c r="CQ260" s="153">
        <f t="shared" si="320"/>
        <v>4</v>
      </c>
      <c r="CR260" s="153">
        <f t="shared" si="321"/>
        <v>4</v>
      </c>
      <c r="CS260" s="153">
        <f t="shared" si="322"/>
        <v>3</v>
      </c>
      <c r="CT260" s="153">
        <f t="shared" si="323"/>
        <v>6</v>
      </c>
      <c r="CU260" s="153">
        <f t="shared" si="324"/>
        <v>3</v>
      </c>
      <c r="CV260" s="153">
        <f t="shared" si="325"/>
        <v>3</v>
      </c>
      <c r="CW260" s="153">
        <f t="shared" si="326"/>
        <v>2</v>
      </c>
      <c r="CX260" s="153">
        <f t="shared" si="327"/>
        <v>0</v>
      </c>
      <c r="CY260" s="153">
        <f t="shared" si="328"/>
        <v>13</v>
      </c>
    </row>
    <row r="261" spans="1:103" x14ac:dyDescent="0.25">
      <c r="A261" s="7">
        <v>195</v>
      </c>
      <c r="B261" s="16">
        <v>42128</v>
      </c>
      <c r="C261" s="1">
        <v>1082477</v>
      </c>
      <c r="D261" s="1" t="s">
        <v>2990</v>
      </c>
      <c r="E261" s="112" t="str">
        <f t="shared" si="329"/>
        <v xml:space="preserve">SSS, HDMF, PHIC, NBI, NSO, Info, AWOL, Hand, Waiver, TIN, 1905, 2305, </v>
      </c>
      <c r="F261" s="112" t="str">
        <f t="shared" si="330"/>
        <v xml:space="preserve">MDR, TOR, COE, 2x2, </v>
      </c>
      <c r="I261" s="16">
        <v>42130</v>
      </c>
      <c r="K261" s="152">
        <f t="shared" ca="1" si="303"/>
        <v>6</v>
      </c>
      <c r="N261" s="153" t="str">
        <f t="shared" si="331"/>
        <v/>
      </c>
      <c r="O261" s="1">
        <v>3</v>
      </c>
      <c r="Q261" s="1" t="s">
        <v>2927</v>
      </c>
      <c r="R261" s="1">
        <v>9355149014</v>
      </c>
      <c r="S261" s="153">
        <f t="shared" si="332"/>
        <v>9355149014</v>
      </c>
      <c r="T261" s="153" t="str">
        <f t="shared" si="333"/>
        <v/>
      </c>
      <c r="U261" s="1" t="s">
        <v>3010</v>
      </c>
      <c r="V261" s="1" t="s">
        <v>2926</v>
      </c>
      <c r="W261" s="1" t="s">
        <v>2924</v>
      </c>
      <c r="X261" s="1" t="s">
        <v>2925</v>
      </c>
      <c r="Y261" s="1" t="s">
        <v>73</v>
      </c>
      <c r="Z261" s="1" t="s">
        <v>70</v>
      </c>
      <c r="AA261" s="1" t="s">
        <v>1233</v>
      </c>
      <c r="AC261" s="1" t="s">
        <v>741</v>
      </c>
      <c r="AD261" s="1" t="s">
        <v>1038</v>
      </c>
      <c r="AH261" s="1" t="s">
        <v>52</v>
      </c>
      <c r="AI261" s="1" t="s">
        <v>253</v>
      </c>
      <c r="AJ261" s="153" t="str">
        <f t="shared" si="268"/>
        <v/>
      </c>
      <c r="AL261" s="1" t="s">
        <v>259</v>
      </c>
      <c r="AM261" s="1" t="s">
        <v>854</v>
      </c>
      <c r="AN261" s="16">
        <v>33717</v>
      </c>
      <c r="BS261" s="169">
        <v>42128</v>
      </c>
      <c r="BT261" s="170">
        <v>42128</v>
      </c>
      <c r="BU261" s="181">
        <v>42128</v>
      </c>
      <c r="BV261" s="112"/>
      <c r="BW261" s="152" t="str">
        <f t="shared" si="274"/>
        <v/>
      </c>
      <c r="BY261" s="275">
        <f t="shared" si="276"/>
        <v>11</v>
      </c>
      <c r="CA261" s="168" t="str">
        <f t="shared" si="304"/>
        <v/>
      </c>
      <c r="CB261" s="151" t="str">
        <f t="shared" si="305"/>
        <v/>
      </c>
      <c r="CC261" s="153" t="str">
        <f t="shared" ca="1" si="306"/>
        <v/>
      </c>
      <c r="CD261" s="153" t="str">
        <f t="shared" si="307"/>
        <v/>
      </c>
      <c r="CE261" s="153" t="str">
        <f t="shared" si="308"/>
        <v/>
      </c>
      <c r="CF261" s="396" t="str">
        <f t="shared" si="309"/>
        <v/>
      </c>
      <c r="CG261" s="397" t="str">
        <f t="shared" si="310"/>
        <v/>
      </c>
      <c r="CH261" s="153" t="str">
        <f t="shared" si="311"/>
        <v/>
      </c>
      <c r="CI261" s="151" t="str">
        <f t="shared" si="312"/>
        <v/>
      </c>
      <c r="CJ261" s="151">
        <f t="shared" si="313"/>
        <v>42153</v>
      </c>
      <c r="CK261" s="153">
        <f t="shared" si="314"/>
        <v>8</v>
      </c>
      <c r="CL261" s="153">
        <f t="shared" si="315"/>
        <v>5</v>
      </c>
      <c r="CM261" s="153">
        <f t="shared" si="316"/>
        <v>6</v>
      </c>
      <c r="CN261" s="153">
        <f t="shared" si="317"/>
        <v>5</v>
      </c>
      <c r="CO261" s="153">
        <f t="shared" si="318"/>
        <v>7</v>
      </c>
      <c r="CP261" s="153">
        <f t="shared" si="319"/>
        <v>4</v>
      </c>
      <c r="CQ261" s="153">
        <f t="shared" si="320"/>
        <v>4</v>
      </c>
      <c r="CR261" s="153">
        <f t="shared" si="321"/>
        <v>4</v>
      </c>
      <c r="CS261" s="153">
        <f t="shared" si="322"/>
        <v>3</v>
      </c>
      <c r="CT261" s="153">
        <f t="shared" si="323"/>
        <v>6</v>
      </c>
      <c r="CU261" s="153">
        <f t="shared" si="324"/>
        <v>3</v>
      </c>
      <c r="CV261" s="153">
        <f t="shared" si="325"/>
        <v>3</v>
      </c>
      <c r="CW261" s="153">
        <f t="shared" si="326"/>
        <v>2</v>
      </c>
      <c r="CX261" s="153">
        <f t="shared" si="327"/>
        <v>0</v>
      </c>
      <c r="CY261" s="153">
        <f t="shared" si="328"/>
        <v>14</v>
      </c>
    </row>
    <row r="262" spans="1:103" s="321" customFormat="1" x14ac:dyDescent="0.25">
      <c r="A262" s="382">
        <v>195</v>
      </c>
      <c r="B262" s="334">
        <v>42128</v>
      </c>
      <c r="C262" s="321">
        <v>1082478</v>
      </c>
      <c r="D262" s="321" t="s">
        <v>2991</v>
      </c>
      <c r="E262" s="317" t="str">
        <f t="shared" si="329"/>
        <v/>
      </c>
      <c r="F262" s="317" t="str">
        <f t="shared" si="330"/>
        <v xml:space="preserve">TOR, 2x2, </v>
      </c>
      <c r="I262" s="334">
        <v>42130</v>
      </c>
      <c r="K262" s="384" t="str">
        <f t="shared" ca="1" si="303"/>
        <v/>
      </c>
      <c r="N262" s="317" t="str">
        <f t="shared" si="331"/>
        <v>READY!</v>
      </c>
      <c r="O262" s="321" t="s">
        <v>302</v>
      </c>
      <c r="Q262" s="321" t="s">
        <v>2930</v>
      </c>
      <c r="R262" s="321">
        <v>9067740256</v>
      </c>
      <c r="S262" s="317">
        <f t="shared" si="332"/>
        <v>9067740256</v>
      </c>
      <c r="T262" s="317" t="str">
        <f t="shared" si="333"/>
        <v/>
      </c>
      <c r="U262" s="321" t="s">
        <v>3011</v>
      </c>
      <c r="V262" s="321" t="s">
        <v>1030</v>
      </c>
      <c r="W262" s="321" t="s">
        <v>558</v>
      </c>
      <c r="X262" s="321" t="s">
        <v>2928</v>
      </c>
      <c r="Y262" s="321" t="s">
        <v>73</v>
      </c>
      <c r="Z262" s="321" t="s">
        <v>70</v>
      </c>
      <c r="AA262" s="321" t="s">
        <v>1233</v>
      </c>
      <c r="AC262" s="321" t="s">
        <v>741</v>
      </c>
      <c r="AD262" s="321" t="s">
        <v>1038</v>
      </c>
      <c r="AH262" s="321" t="s">
        <v>52</v>
      </c>
      <c r="AI262" s="321" t="s">
        <v>253</v>
      </c>
      <c r="AJ262" s="317" t="str">
        <f t="shared" si="268"/>
        <v/>
      </c>
      <c r="AL262" s="321" t="s">
        <v>265</v>
      </c>
      <c r="AM262" s="321" t="s">
        <v>854</v>
      </c>
      <c r="AN262" s="334" t="s">
        <v>2929</v>
      </c>
      <c r="AO262" s="321" t="s">
        <v>3110</v>
      </c>
      <c r="AP262" s="321" t="s">
        <v>3110</v>
      </c>
      <c r="AQ262" s="321" t="s">
        <v>53</v>
      </c>
      <c r="AR262" s="321" t="s">
        <v>378</v>
      </c>
      <c r="AS262" s="332">
        <v>42132</v>
      </c>
      <c r="AT262" s="318">
        <v>42132</v>
      </c>
      <c r="AU262" s="318">
        <v>42132</v>
      </c>
      <c r="AV262" s="329">
        <v>42135</v>
      </c>
      <c r="AW262" s="332">
        <v>42132</v>
      </c>
      <c r="AX262" s="317" t="s">
        <v>3112</v>
      </c>
      <c r="AY262" s="317"/>
      <c r="AZ262" s="318">
        <v>42132</v>
      </c>
      <c r="BA262" s="318">
        <v>42132</v>
      </c>
      <c r="BB262" s="326"/>
      <c r="BC262" s="332">
        <v>42132</v>
      </c>
      <c r="BD262" s="326" t="s">
        <v>3111</v>
      </c>
      <c r="BE262" s="332">
        <v>42133</v>
      </c>
      <c r="BF262" s="326" t="s">
        <v>3124</v>
      </c>
      <c r="BG262" s="332">
        <v>42133</v>
      </c>
      <c r="BH262" s="385" t="s">
        <v>3125</v>
      </c>
      <c r="BI262" s="329">
        <v>42133</v>
      </c>
      <c r="BJ262" s="332">
        <v>42132</v>
      </c>
      <c r="BK262" s="317"/>
      <c r="BL262" s="326"/>
      <c r="BM262" s="332">
        <v>42132</v>
      </c>
      <c r="BN262" s="317"/>
      <c r="BO262" s="326"/>
      <c r="BP262" s="337"/>
      <c r="BQ262" s="317"/>
      <c r="BR262" s="329">
        <v>42132</v>
      </c>
      <c r="BS262" s="332">
        <v>42128</v>
      </c>
      <c r="BT262" s="318">
        <v>42128</v>
      </c>
      <c r="BU262" s="329">
        <v>42128</v>
      </c>
      <c r="BV262" s="317"/>
      <c r="BW262" s="384" t="str">
        <f t="shared" si="274"/>
        <v xml:space="preserve">1905 (for processing) 5/8/2015, 2305 (for processing) 5/8/2015, MDR 5/9/2015, </v>
      </c>
      <c r="BX262" s="566"/>
      <c r="BY262" s="566">
        <f t="shared" si="276"/>
        <v>11</v>
      </c>
      <c r="BZ262" s="567"/>
      <c r="CA262" s="337" t="str">
        <f t="shared" si="304"/>
        <v/>
      </c>
      <c r="CB262" s="318" t="str">
        <f t="shared" si="305"/>
        <v/>
      </c>
      <c r="CC262" s="317" t="str">
        <f t="shared" ca="1" si="306"/>
        <v/>
      </c>
      <c r="CD262" s="317" t="str">
        <f t="shared" si="307"/>
        <v/>
      </c>
      <c r="CE262" s="317" t="str">
        <f t="shared" si="308"/>
        <v/>
      </c>
      <c r="CF262" s="538" t="str">
        <f t="shared" si="309"/>
        <v/>
      </c>
      <c r="CG262" s="539" t="str">
        <f t="shared" si="310"/>
        <v/>
      </c>
      <c r="CH262" s="317" t="str">
        <f t="shared" si="311"/>
        <v/>
      </c>
      <c r="CI262" s="318" t="str">
        <f t="shared" si="312"/>
        <v/>
      </c>
      <c r="CJ262" s="318">
        <f t="shared" si="313"/>
        <v>42153</v>
      </c>
      <c r="CK262" s="317">
        <f t="shared" si="314"/>
        <v>9</v>
      </c>
      <c r="CL262" s="317">
        <f t="shared" si="315"/>
        <v>6</v>
      </c>
      <c r="CM262" s="317">
        <f t="shared" si="316"/>
        <v>7</v>
      </c>
      <c r="CN262" s="317">
        <f t="shared" si="317"/>
        <v>6</v>
      </c>
      <c r="CO262" s="317">
        <f t="shared" si="318"/>
        <v>8</v>
      </c>
      <c r="CP262" s="317">
        <f t="shared" si="319"/>
        <v>5</v>
      </c>
      <c r="CQ262" s="317">
        <f t="shared" si="320"/>
        <v>5</v>
      </c>
      <c r="CR262" s="317">
        <f t="shared" si="321"/>
        <v>5</v>
      </c>
      <c r="CS262" s="317">
        <f t="shared" si="322"/>
        <v>4</v>
      </c>
      <c r="CT262" s="317">
        <f t="shared" si="323"/>
        <v>7</v>
      </c>
      <c r="CU262" s="317">
        <f t="shared" si="324"/>
        <v>4</v>
      </c>
      <c r="CV262" s="317">
        <f t="shared" si="325"/>
        <v>4</v>
      </c>
      <c r="CW262" s="317">
        <f t="shared" si="326"/>
        <v>3</v>
      </c>
      <c r="CX262" s="317">
        <f t="shared" si="327"/>
        <v>0</v>
      </c>
      <c r="CY262" s="317">
        <f t="shared" si="328"/>
        <v>15</v>
      </c>
    </row>
    <row r="263" spans="1:103" x14ac:dyDescent="0.25">
      <c r="A263" s="7">
        <v>195</v>
      </c>
      <c r="B263" s="16">
        <v>42128</v>
      </c>
      <c r="C263" s="1">
        <v>1082479</v>
      </c>
      <c r="D263" s="1" t="s">
        <v>2992</v>
      </c>
      <c r="E263" s="112" t="str">
        <f t="shared" si="329"/>
        <v xml:space="preserve">NBI, Waiver, TIN, 1905, 2305, </v>
      </c>
      <c r="F263" s="112" t="str">
        <f t="shared" si="330"/>
        <v xml:space="preserve">MDR, COE, 2x2, </v>
      </c>
      <c r="I263" s="16">
        <v>42130</v>
      </c>
      <c r="K263" s="152">
        <f t="shared" ca="1" si="303"/>
        <v>6</v>
      </c>
      <c r="N263" s="153" t="str">
        <f t="shared" si="331"/>
        <v>READY!</v>
      </c>
      <c r="O263" s="1">
        <v>3</v>
      </c>
      <c r="Q263" s="1" t="s">
        <v>2933</v>
      </c>
      <c r="R263" s="1">
        <v>9158855985</v>
      </c>
      <c r="S263" s="153">
        <f t="shared" si="332"/>
        <v>9158855985</v>
      </c>
      <c r="T263" s="153" t="str">
        <f t="shared" si="333"/>
        <v/>
      </c>
      <c r="U263" s="1" t="s">
        <v>3012</v>
      </c>
      <c r="V263" s="1" t="s">
        <v>2932</v>
      </c>
      <c r="W263" s="1" t="s">
        <v>2931</v>
      </c>
      <c r="X263" s="1" t="s">
        <v>620</v>
      </c>
      <c r="Y263" s="1" t="s">
        <v>73</v>
      </c>
      <c r="Z263" s="1" t="s">
        <v>70</v>
      </c>
      <c r="AA263" s="1" t="s">
        <v>1233</v>
      </c>
      <c r="AC263" s="1" t="s">
        <v>741</v>
      </c>
      <c r="AD263" s="1" t="s">
        <v>1038</v>
      </c>
      <c r="AH263" s="1" t="s">
        <v>52</v>
      </c>
      <c r="AI263" s="1" t="s">
        <v>2934</v>
      </c>
      <c r="AJ263" s="153" t="str">
        <f t="shared" si="268"/>
        <v>Justine Rogano</v>
      </c>
      <c r="AL263" s="1" t="s">
        <v>265</v>
      </c>
      <c r="AM263" s="1" t="s">
        <v>854</v>
      </c>
      <c r="AN263" s="16">
        <v>32206</v>
      </c>
      <c r="AO263" s="1" t="s">
        <v>3038</v>
      </c>
      <c r="AQ263" s="1" t="s">
        <v>50</v>
      </c>
      <c r="AR263" s="1" t="s">
        <v>378</v>
      </c>
      <c r="AS263" s="169">
        <v>42130</v>
      </c>
      <c r="AT263" s="170">
        <v>42130</v>
      </c>
      <c r="AU263" s="170">
        <v>42130</v>
      </c>
      <c r="BC263" s="169">
        <v>42130</v>
      </c>
      <c r="BD263" s="172" t="s">
        <v>3041</v>
      </c>
      <c r="BE263" s="169">
        <v>42130</v>
      </c>
      <c r="BF263" s="172" t="s">
        <v>3039</v>
      </c>
      <c r="BG263" s="169">
        <v>42130</v>
      </c>
      <c r="BH263" s="188" t="s">
        <v>3040</v>
      </c>
      <c r="BM263" s="169">
        <v>42130</v>
      </c>
      <c r="BQ263" s="170">
        <v>42130</v>
      </c>
      <c r="BS263" s="169">
        <v>42128</v>
      </c>
      <c r="BT263" s="170">
        <v>42128</v>
      </c>
      <c r="BU263" s="181">
        <v>42128</v>
      </c>
      <c r="BV263" s="112"/>
      <c r="BW263" s="152" t="str">
        <f t="shared" si="274"/>
        <v/>
      </c>
      <c r="BY263" s="275">
        <f t="shared" si="276"/>
        <v>11</v>
      </c>
      <c r="CA263" s="168" t="str">
        <f t="shared" si="304"/>
        <v/>
      </c>
      <c r="CB263" s="151" t="str">
        <f t="shared" si="305"/>
        <v/>
      </c>
      <c r="CC263" s="153" t="str">
        <f t="shared" ca="1" si="306"/>
        <v/>
      </c>
      <c r="CD263" s="153" t="str">
        <f t="shared" si="307"/>
        <v/>
      </c>
      <c r="CE263" s="153" t="str">
        <f t="shared" si="308"/>
        <v/>
      </c>
      <c r="CF263" s="396" t="str">
        <f t="shared" si="309"/>
        <v/>
      </c>
      <c r="CG263" s="397" t="str">
        <f t="shared" si="310"/>
        <v/>
      </c>
      <c r="CH263" s="153" t="str">
        <f t="shared" si="311"/>
        <v/>
      </c>
      <c r="CI263" s="151" t="str">
        <f t="shared" si="312"/>
        <v/>
      </c>
      <c r="CJ263" s="151">
        <f t="shared" si="313"/>
        <v>42153</v>
      </c>
      <c r="CK263" s="153">
        <f t="shared" si="314"/>
        <v>10</v>
      </c>
      <c r="CL263" s="153">
        <f t="shared" si="315"/>
        <v>7</v>
      </c>
      <c r="CM263" s="153">
        <f t="shared" si="316"/>
        <v>8</v>
      </c>
      <c r="CN263" s="153">
        <f t="shared" si="317"/>
        <v>6</v>
      </c>
      <c r="CO263" s="153">
        <f t="shared" si="318"/>
        <v>9</v>
      </c>
      <c r="CP263" s="153">
        <f t="shared" si="319"/>
        <v>6</v>
      </c>
      <c r="CQ263" s="153">
        <f t="shared" si="320"/>
        <v>6</v>
      </c>
      <c r="CR263" s="153">
        <f t="shared" si="321"/>
        <v>6</v>
      </c>
      <c r="CS263" s="153">
        <f t="shared" si="322"/>
        <v>4</v>
      </c>
      <c r="CT263" s="153">
        <f t="shared" si="323"/>
        <v>7</v>
      </c>
      <c r="CU263" s="153">
        <f t="shared" si="324"/>
        <v>4</v>
      </c>
      <c r="CV263" s="153">
        <f t="shared" si="325"/>
        <v>4</v>
      </c>
      <c r="CW263" s="153">
        <f t="shared" si="326"/>
        <v>3</v>
      </c>
      <c r="CX263" s="153">
        <f t="shared" si="327"/>
        <v>0</v>
      </c>
      <c r="CY263" s="153">
        <f t="shared" si="328"/>
        <v>16</v>
      </c>
    </row>
    <row r="264" spans="1:103" s="321" customFormat="1" x14ac:dyDescent="0.25">
      <c r="A264" s="382">
        <v>195</v>
      </c>
      <c r="B264" s="334">
        <v>42128</v>
      </c>
      <c r="C264" s="321">
        <v>1082480</v>
      </c>
      <c r="D264" s="321" t="s">
        <v>2993</v>
      </c>
      <c r="E264" s="317" t="str">
        <f t="shared" si="329"/>
        <v/>
      </c>
      <c r="F264" s="317" t="str">
        <f t="shared" si="330"/>
        <v xml:space="preserve">2x2, </v>
      </c>
      <c r="I264" s="334">
        <v>42130</v>
      </c>
      <c r="K264" s="384" t="str">
        <f t="shared" ca="1" si="303"/>
        <v/>
      </c>
      <c r="N264" s="317" t="str">
        <f t="shared" si="331"/>
        <v>READY!</v>
      </c>
      <c r="O264" s="321" t="s">
        <v>302</v>
      </c>
      <c r="Q264" s="1" t="s">
        <v>2938</v>
      </c>
      <c r="R264" s="1">
        <v>9433349452</v>
      </c>
      <c r="S264" s="153">
        <f t="shared" si="332"/>
        <v>9433349452</v>
      </c>
      <c r="T264" s="153" t="str">
        <f t="shared" si="333"/>
        <v/>
      </c>
      <c r="U264" s="1" t="s">
        <v>3013</v>
      </c>
      <c r="V264" s="1" t="s">
        <v>2937</v>
      </c>
      <c r="W264" s="1" t="s">
        <v>2935</v>
      </c>
      <c r="X264" s="1" t="s">
        <v>2936</v>
      </c>
      <c r="Y264" s="1" t="s">
        <v>73</v>
      </c>
      <c r="Z264" s="1" t="s">
        <v>74</v>
      </c>
      <c r="AA264" s="1" t="s">
        <v>1232</v>
      </c>
      <c r="AB264" s="1"/>
      <c r="AC264" s="1" t="s">
        <v>741</v>
      </c>
      <c r="AD264" s="1" t="s">
        <v>1234</v>
      </c>
      <c r="AE264" s="1"/>
      <c r="AF264" s="1"/>
      <c r="AG264" s="1"/>
      <c r="AH264" s="1" t="s">
        <v>52</v>
      </c>
      <c r="AI264" s="1" t="s">
        <v>2939</v>
      </c>
      <c r="AJ264" s="153" t="str">
        <f t="shared" si="268"/>
        <v/>
      </c>
      <c r="AK264" s="1"/>
      <c r="AL264" s="1" t="s">
        <v>259</v>
      </c>
      <c r="AM264" s="1" t="s">
        <v>854</v>
      </c>
      <c r="AN264" s="16">
        <v>28779</v>
      </c>
      <c r="AO264" s="1" t="s">
        <v>3031</v>
      </c>
      <c r="AP264" s="1" t="s">
        <v>3031</v>
      </c>
      <c r="AQ264" s="1" t="s">
        <v>50</v>
      </c>
      <c r="AR264" s="1" t="s">
        <v>495</v>
      </c>
      <c r="AS264" s="169">
        <v>42130</v>
      </c>
      <c r="AT264" s="170">
        <v>42129</v>
      </c>
      <c r="AU264" s="170">
        <v>42129</v>
      </c>
      <c r="AV264" s="181">
        <v>42140</v>
      </c>
      <c r="AW264" s="169">
        <v>42132</v>
      </c>
      <c r="AX264" s="112" t="s">
        <v>3118</v>
      </c>
      <c r="AY264" s="112"/>
      <c r="AZ264" s="170">
        <v>42132</v>
      </c>
      <c r="BA264" s="170">
        <v>42132</v>
      </c>
      <c r="BB264" s="172"/>
      <c r="BC264" s="169">
        <v>42130</v>
      </c>
      <c r="BD264" s="172" t="s">
        <v>3065</v>
      </c>
      <c r="BE264" s="169">
        <v>42130</v>
      </c>
      <c r="BF264" s="172" t="s">
        <v>3066</v>
      </c>
      <c r="BG264" s="169">
        <v>42130</v>
      </c>
      <c r="BH264" s="188" t="s">
        <v>3067</v>
      </c>
      <c r="BI264" s="181">
        <v>42136</v>
      </c>
      <c r="BJ264" s="169">
        <v>42136</v>
      </c>
      <c r="BK264" s="112"/>
      <c r="BL264" s="172"/>
      <c r="BM264" s="169">
        <v>42130</v>
      </c>
      <c r="BN264" s="170">
        <v>42130</v>
      </c>
      <c r="BO264" s="181">
        <v>42132</v>
      </c>
      <c r="BP264" s="159"/>
      <c r="BQ264" s="170">
        <v>42130</v>
      </c>
      <c r="BR264" s="181">
        <v>42130</v>
      </c>
      <c r="BS264" s="169">
        <v>42128</v>
      </c>
      <c r="BT264" s="170">
        <v>42128</v>
      </c>
      <c r="BU264" s="181">
        <v>42128</v>
      </c>
      <c r="BV264" s="112"/>
      <c r="BW264" s="152" t="str">
        <f t="shared" si="274"/>
        <v xml:space="preserve">1905 (for processing) 5/8/2015, 2305 (for processing) 5/8/2015, MDR 5/12/2015, </v>
      </c>
      <c r="BX264" s="275"/>
      <c r="BY264" s="275">
        <f t="shared" si="276"/>
        <v>11</v>
      </c>
      <c r="BZ264" s="277"/>
      <c r="CA264" s="168" t="str">
        <f t="shared" si="304"/>
        <v/>
      </c>
      <c r="CB264" s="151" t="str">
        <f t="shared" si="305"/>
        <v/>
      </c>
      <c r="CC264" s="153" t="str">
        <f t="shared" ca="1" si="306"/>
        <v/>
      </c>
      <c r="CD264" s="153" t="str">
        <f t="shared" si="307"/>
        <v/>
      </c>
      <c r="CE264" s="153" t="str">
        <f t="shared" si="308"/>
        <v/>
      </c>
      <c r="CF264" s="396" t="str">
        <f t="shared" si="309"/>
        <v/>
      </c>
      <c r="CG264" s="397" t="str">
        <f t="shared" si="310"/>
        <v/>
      </c>
      <c r="CH264" s="153" t="str">
        <f t="shared" si="311"/>
        <v/>
      </c>
      <c r="CI264" s="151" t="str">
        <f t="shared" si="312"/>
        <v/>
      </c>
      <c r="CJ264" s="151">
        <f t="shared" si="313"/>
        <v>42153</v>
      </c>
      <c r="CK264" s="153">
        <f t="shared" si="314"/>
        <v>11</v>
      </c>
      <c r="CL264" s="153">
        <f t="shared" si="315"/>
        <v>8</v>
      </c>
      <c r="CM264" s="153">
        <f t="shared" si="316"/>
        <v>9</v>
      </c>
      <c r="CN264" s="153">
        <f t="shared" si="317"/>
        <v>7</v>
      </c>
      <c r="CO264" s="153">
        <f t="shared" si="318"/>
        <v>10</v>
      </c>
      <c r="CP264" s="153">
        <f t="shared" si="319"/>
        <v>7</v>
      </c>
      <c r="CQ264" s="153">
        <f t="shared" si="320"/>
        <v>7</v>
      </c>
      <c r="CR264" s="153">
        <f t="shared" si="321"/>
        <v>7</v>
      </c>
      <c r="CS264" s="153">
        <f t="shared" si="322"/>
        <v>5</v>
      </c>
      <c r="CT264" s="153">
        <f t="shared" si="323"/>
        <v>8</v>
      </c>
      <c r="CU264" s="153">
        <f t="shared" si="324"/>
        <v>5</v>
      </c>
      <c r="CV264" s="153">
        <f t="shared" si="325"/>
        <v>5</v>
      </c>
      <c r="CW264" s="153">
        <f t="shared" si="326"/>
        <v>4</v>
      </c>
      <c r="CX264" s="153">
        <f t="shared" si="327"/>
        <v>0</v>
      </c>
      <c r="CY264" s="153">
        <f t="shared" si="328"/>
        <v>17</v>
      </c>
    </row>
    <row r="265" spans="1:103" x14ac:dyDescent="0.25">
      <c r="A265" s="7">
        <v>195</v>
      </c>
      <c r="B265" s="16">
        <v>42128</v>
      </c>
      <c r="C265" s="1">
        <v>1082481</v>
      </c>
      <c r="D265" s="1" t="s">
        <v>2994</v>
      </c>
      <c r="E265" s="112" t="str">
        <f t="shared" si="329"/>
        <v xml:space="preserve">SSS, HDMF, PHIC, Info, AWOL, Hand, Waiver, 1905, 2305, </v>
      </c>
      <c r="F265" s="112" t="str">
        <f t="shared" si="330"/>
        <v xml:space="preserve">MDR, 2x2, </v>
      </c>
      <c r="I265" s="16">
        <v>42130</v>
      </c>
      <c r="K265" s="152">
        <f t="shared" ca="1" si="303"/>
        <v>6</v>
      </c>
      <c r="N265" s="153" t="str">
        <f t="shared" si="331"/>
        <v>READY!</v>
      </c>
      <c r="O265" s="1">
        <v>3</v>
      </c>
      <c r="Q265" s="1" t="s">
        <v>2943</v>
      </c>
      <c r="R265" s="1">
        <v>9151332381</v>
      </c>
      <c r="S265" s="153">
        <f t="shared" si="332"/>
        <v>9151332381</v>
      </c>
      <c r="T265" s="153" t="str">
        <f t="shared" si="333"/>
        <v/>
      </c>
      <c r="U265" s="1" t="s">
        <v>3014</v>
      </c>
      <c r="V265" s="1" t="s">
        <v>2942</v>
      </c>
      <c r="W265" s="1" t="s">
        <v>2940</v>
      </c>
      <c r="X265" s="1" t="s">
        <v>2941</v>
      </c>
      <c r="Y265" s="1" t="s">
        <v>73</v>
      </c>
      <c r="Z265" s="1" t="s">
        <v>70</v>
      </c>
      <c r="AA265" s="1" t="s">
        <v>1233</v>
      </c>
      <c r="AC265" s="1" t="s">
        <v>741</v>
      </c>
      <c r="AD265" s="1" t="s">
        <v>1038</v>
      </c>
      <c r="AH265" s="1" t="s">
        <v>52</v>
      </c>
      <c r="AI265" s="1" t="s">
        <v>253</v>
      </c>
      <c r="AJ265" s="153" t="str">
        <f t="shared" si="268"/>
        <v/>
      </c>
      <c r="AL265" s="1" t="s">
        <v>1703</v>
      </c>
      <c r="AM265" s="1" t="s">
        <v>854</v>
      </c>
      <c r="AN265" s="16">
        <v>34087</v>
      </c>
      <c r="AW265" s="169">
        <v>42130</v>
      </c>
      <c r="AX265" s="112" t="s">
        <v>3034</v>
      </c>
      <c r="BJ265" s="169">
        <v>42130</v>
      </c>
      <c r="BM265" s="169">
        <v>42130</v>
      </c>
      <c r="BQ265" s="170">
        <v>42130</v>
      </c>
      <c r="BR265" s="181">
        <v>42130</v>
      </c>
      <c r="BS265" s="169">
        <v>42128</v>
      </c>
      <c r="BT265" s="170">
        <v>42128</v>
      </c>
      <c r="BU265" s="181">
        <v>42128</v>
      </c>
      <c r="BV265" s="112"/>
      <c r="BW265" s="152" t="str">
        <f t="shared" si="274"/>
        <v/>
      </c>
      <c r="BY265" s="275">
        <f t="shared" si="276"/>
        <v>11</v>
      </c>
      <c r="CA265" s="168" t="str">
        <f t="shared" si="304"/>
        <v/>
      </c>
      <c r="CB265" s="151" t="str">
        <f t="shared" si="305"/>
        <v/>
      </c>
      <c r="CC265" s="153" t="str">
        <f t="shared" ca="1" si="306"/>
        <v/>
      </c>
      <c r="CD265" s="153" t="str">
        <f t="shared" si="307"/>
        <v/>
      </c>
      <c r="CE265" s="153" t="str">
        <f t="shared" si="308"/>
        <v/>
      </c>
      <c r="CF265" s="396" t="str">
        <f t="shared" si="309"/>
        <v/>
      </c>
      <c r="CG265" s="397" t="str">
        <f t="shared" si="310"/>
        <v/>
      </c>
      <c r="CH265" s="153" t="str">
        <f t="shared" si="311"/>
        <v/>
      </c>
      <c r="CI265" s="151" t="str">
        <f t="shared" si="312"/>
        <v/>
      </c>
      <c r="CJ265" s="151">
        <f t="shared" si="313"/>
        <v>42153</v>
      </c>
      <c r="CK265" s="153">
        <f t="shared" si="314"/>
        <v>11</v>
      </c>
      <c r="CL265" s="153">
        <f t="shared" si="315"/>
        <v>8</v>
      </c>
      <c r="CM265" s="153">
        <f t="shared" si="316"/>
        <v>9</v>
      </c>
      <c r="CN265" s="153">
        <f t="shared" si="317"/>
        <v>8</v>
      </c>
      <c r="CO265" s="153">
        <f t="shared" si="318"/>
        <v>11</v>
      </c>
      <c r="CP265" s="153">
        <f t="shared" si="319"/>
        <v>7</v>
      </c>
      <c r="CQ265" s="153">
        <f t="shared" si="320"/>
        <v>7</v>
      </c>
      <c r="CR265" s="153">
        <f t="shared" si="321"/>
        <v>7</v>
      </c>
      <c r="CS265" s="153">
        <f t="shared" si="322"/>
        <v>5</v>
      </c>
      <c r="CT265" s="153">
        <f t="shared" si="323"/>
        <v>9</v>
      </c>
      <c r="CU265" s="153">
        <f t="shared" si="324"/>
        <v>5</v>
      </c>
      <c r="CV265" s="153">
        <f t="shared" si="325"/>
        <v>5</v>
      </c>
      <c r="CW265" s="153">
        <f t="shared" si="326"/>
        <v>4</v>
      </c>
      <c r="CX265" s="153">
        <f t="shared" si="327"/>
        <v>0</v>
      </c>
      <c r="CY265" s="153">
        <f t="shared" si="328"/>
        <v>18</v>
      </c>
    </row>
    <row r="266" spans="1:103" x14ac:dyDescent="0.25">
      <c r="A266" s="7">
        <v>195</v>
      </c>
      <c r="B266" s="16">
        <v>42128</v>
      </c>
      <c r="C266" s="1">
        <v>1082482</v>
      </c>
      <c r="D266" s="1" t="s">
        <v>2995</v>
      </c>
      <c r="E266" s="112" t="str">
        <f t="shared" si="329"/>
        <v xml:space="preserve">HDMF, Waiver, </v>
      </c>
      <c r="F266" s="112" t="str">
        <f t="shared" si="330"/>
        <v xml:space="preserve">COE, 2x2, </v>
      </c>
      <c r="I266" s="16">
        <v>42130</v>
      </c>
      <c r="K266" s="152">
        <f t="shared" ca="1" si="303"/>
        <v>6</v>
      </c>
      <c r="N266" s="153" t="str">
        <f t="shared" si="331"/>
        <v>READY!</v>
      </c>
      <c r="O266" s="1">
        <v>3</v>
      </c>
      <c r="Q266" s="1" t="s">
        <v>2948</v>
      </c>
      <c r="R266" s="1">
        <v>9277897845</v>
      </c>
      <c r="S266" s="153">
        <f t="shared" si="332"/>
        <v>9277897845</v>
      </c>
      <c r="T266" s="153" t="str">
        <f t="shared" si="333"/>
        <v/>
      </c>
      <c r="U266" s="1" t="s">
        <v>3015</v>
      </c>
      <c r="V266" s="1" t="s">
        <v>2946</v>
      </c>
      <c r="W266" s="1" t="s">
        <v>2944</v>
      </c>
      <c r="X266" s="1" t="s">
        <v>2945</v>
      </c>
      <c r="Y266" s="1" t="s">
        <v>73</v>
      </c>
      <c r="Z266" s="1" t="s">
        <v>70</v>
      </c>
      <c r="AA266" s="1" t="s">
        <v>1233</v>
      </c>
      <c r="AC266" s="1" t="s">
        <v>741</v>
      </c>
      <c r="AD266" s="1" t="s">
        <v>1038</v>
      </c>
      <c r="AH266" s="1" t="s">
        <v>52</v>
      </c>
      <c r="AI266" s="1" t="s">
        <v>2949</v>
      </c>
      <c r="AJ266" s="153" t="str">
        <f t="shared" si="268"/>
        <v>Gually Ong</v>
      </c>
      <c r="AL266" s="1" t="s">
        <v>265</v>
      </c>
      <c r="AM266" s="1" t="s">
        <v>854</v>
      </c>
      <c r="AN266" s="16" t="s">
        <v>2947</v>
      </c>
      <c r="AO266" s="1" t="s">
        <v>3070</v>
      </c>
      <c r="AP266" s="1" t="s">
        <v>3070</v>
      </c>
      <c r="AQ266" s="1" t="s">
        <v>50</v>
      </c>
      <c r="AR266" s="1" t="s">
        <v>378</v>
      </c>
      <c r="AS266" s="169">
        <v>42130</v>
      </c>
      <c r="AT266" s="170">
        <v>42130</v>
      </c>
      <c r="AU266" s="170">
        <v>42130</v>
      </c>
      <c r="AW266" s="169">
        <v>42139</v>
      </c>
      <c r="AX266" s="112" t="s">
        <v>3246</v>
      </c>
      <c r="AZ266" s="170">
        <v>42139</v>
      </c>
      <c r="BA266" s="170">
        <v>42139</v>
      </c>
      <c r="BC266" s="169">
        <v>42130</v>
      </c>
      <c r="BD266" s="172" t="s">
        <v>3069</v>
      </c>
      <c r="BG266" s="169">
        <v>42139</v>
      </c>
      <c r="BH266" s="188" t="s">
        <v>3245</v>
      </c>
      <c r="BI266" s="181">
        <v>42139</v>
      </c>
      <c r="BJ266" s="169">
        <v>42130</v>
      </c>
      <c r="BM266" s="169">
        <v>42130</v>
      </c>
      <c r="BQ266" s="170">
        <v>42130</v>
      </c>
      <c r="BS266" s="169">
        <v>42128</v>
      </c>
      <c r="BT266" s="170">
        <v>42128</v>
      </c>
      <c r="BU266" s="181">
        <v>42128</v>
      </c>
      <c r="BV266" s="112"/>
      <c r="BW266" s="152" t="str">
        <f t="shared" si="274"/>
        <v xml:space="preserve">1905 (for processing) 5/15/2015, 2305 (for processing) 5/15/2015, MDR 5/15/2015, </v>
      </c>
      <c r="BY266" s="275">
        <f t="shared" si="276"/>
        <v>11</v>
      </c>
      <c r="CA266" s="168" t="str">
        <f t="shared" si="304"/>
        <v/>
      </c>
      <c r="CB266" s="151" t="str">
        <f t="shared" si="305"/>
        <v/>
      </c>
      <c r="CC266" s="153" t="str">
        <f t="shared" ca="1" si="306"/>
        <v/>
      </c>
      <c r="CD266" s="153" t="str">
        <f t="shared" si="307"/>
        <v/>
      </c>
      <c r="CE266" s="153" t="str">
        <f t="shared" si="308"/>
        <v/>
      </c>
      <c r="CF266" s="396" t="str">
        <f t="shared" si="309"/>
        <v/>
      </c>
      <c r="CG266" s="397" t="str">
        <f t="shared" si="310"/>
        <v/>
      </c>
      <c r="CH266" s="153" t="str">
        <f t="shared" si="311"/>
        <v/>
      </c>
      <c r="CI266" s="151" t="str">
        <f t="shared" si="312"/>
        <v/>
      </c>
      <c r="CJ266" s="151">
        <f t="shared" si="313"/>
        <v>42153</v>
      </c>
      <c r="CK266" s="153">
        <f t="shared" si="314"/>
        <v>12</v>
      </c>
      <c r="CL266" s="153">
        <f t="shared" si="315"/>
        <v>8</v>
      </c>
      <c r="CM266" s="153">
        <f t="shared" si="316"/>
        <v>10</v>
      </c>
      <c r="CN266" s="153">
        <f t="shared" si="317"/>
        <v>9</v>
      </c>
      <c r="CO266" s="153">
        <f t="shared" si="318"/>
        <v>12</v>
      </c>
      <c r="CP266" s="153">
        <f t="shared" si="319"/>
        <v>8</v>
      </c>
      <c r="CQ266" s="153">
        <f t="shared" si="320"/>
        <v>8</v>
      </c>
      <c r="CR266" s="153">
        <f t="shared" si="321"/>
        <v>8</v>
      </c>
      <c r="CS266" s="153">
        <f t="shared" si="322"/>
        <v>5</v>
      </c>
      <c r="CT266" s="153">
        <f t="shared" si="323"/>
        <v>10</v>
      </c>
      <c r="CU266" s="153">
        <f t="shared" si="324"/>
        <v>6</v>
      </c>
      <c r="CV266" s="153">
        <f t="shared" si="325"/>
        <v>6</v>
      </c>
      <c r="CW266" s="153">
        <f t="shared" si="326"/>
        <v>4</v>
      </c>
      <c r="CX266" s="153">
        <f t="shared" si="327"/>
        <v>0</v>
      </c>
      <c r="CY266" s="153">
        <f t="shared" si="328"/>
        <v>19</v>
      </c>
    </row>
    <row r="267" spans="1:103" x14ac:dyDescent="0.25">
      <c r="A267" s="7">
        <v>195</v>
      </c>
      <c r="B267" s="16">
        <v>42128</v>
      </c>
      <c r="C267" s="1">
        <v>1082483</v>
      </c>
      <c r="D267" s="1" t="s">
        <v>2996</v>
      </c>
      <c r="E267" s="112" t="str">
        <f t="shared" si="329"/>
        <v xml:space="preserve">TIN, 1905, </v>
      </c>
      <c r="F267" s="112" t="str">
        <f t="shared" si="330"/>
        <v/>
      </c>
      <c r="I267" s="16">
        <v>42130</v>
      </c>
      <c r="K267" s="152">
        <f t="shared" ca="1" si="303"/>
        <v>6</v>
      </c>
      <c r="N267" s="153" t="str">
        <f t="shared" si="331"/>
        <v/>
      </c>
      <c r="O267" s="1">
        <v>3</v>
      </c>
      <c r="Q267" s="1" t="s">
        <v>2952</v>
      </c>
      <c r="R267" s="1">
        <v>9155551240</v>
      </c>
      <c r="S267" s="153">
        <f t="shared" si="332"/>
        <v>9155551240</v>
      </c>
      <c r="T267" s="153" t="str">
        <f t="shared" si="333"/>
        <v/>
      </c>
      <c r="U267" s="1" t="s">
        <v>3016</v>
      </c>
      <c r="V267" s="1" t="s">
        <v>2951</v>
      </c>
      <c r="W267" s="1" t="s">
        <v>2950</v>
      </c>
      <c r="X267" s="1" t="s">
        <v>607</v>
      </c>
      <c r="Y267" s="1" t="s">
        <v>73</v>
      </c>
      <c r="Z267" s="1" t="s">
        <v>74</v>
      </c>
      <c r="AA267" s="1" t="s">
        <v>1232</v>
      </c>
      <c r="AC267" s="1" t="s">
        <v>741</v>
      </c>
      <c r="AD267" s="1" t="s">
        <v>1234</v>
      </c>
      <c r="AH267" s="1" t="s">
        <v>52</v>
      </c>
      <c r="AI267" s="1" t="s">
        <v>2939</v>
      </c>
      <c r="AJ267" s="153" t="str">
        <f t="shared" si="268"/>
        <v/>
      </c>
      <c r="AL267" s="1" t="s">
        <v>1475</v>
      </c>
      <c r="AM267" s="1" t="s">
        <v>854</v>
      </c>
      <c r="AN267" s="16">
        <v>29611</v>
      </c>
      <c r="AO267" s="1" t="s">
        <v>3071</v>
      </c>
      <c r="AP267" s="1" t="s">
        <v>3071</v>
      </c>
      <c r="AQ267" s="1" t="s">
        <v>53</v>
      </c>
      <c r="AR267" s="1" t="s">
        <v>973</v>
      </c>
      <c r="AS267" s="169">
        <v>42130</v>
      </c>
      <c r="AT267" s="170">
        <v>42130</v>
      </c>
      <c r="AU267" s="170">
        <v>42130</v>
      </c>
      <c r="AV267" s="181">
        <v>42129</v>
      </c>
      <c r="BA267" s="170">
        <v>42130</v>
      </c>
      <c r="BC267" s="169">
        <v>42130</v>
      </c>
      <c r="BD267" s="172" t="s">
        <v>3063</v>
      </c>
      <c r="BE267" s="169">
        <v>42130</v>
      </c>
      <c r="BF267" s="172" t="s">
        <v>3062</v>
      </c>
      <c r="BG267" s="169">
        <v>42129</v>
      </c>
      <c r="BH267" s="188" t="s">
        <v>3022</v>
      </c>
      <c r="BI267" s="181">
        <v>42130</v>
      </c>
      <c r="BJ267" s="169">
        <v>42130</v>
      </c>
      <c r="BM267" s="169">
        <v>42130</v>
      </c>
      <c r="BP267" s="169">
        <v>42130</v>
      </c>
      <c r="BQ267" s="170">
        <v>42130</v>
      </c>
      <c r="BR267" s="181">
        <v>42130</v>
      </c>
      <c r="BS267" s="169">
        <v>42128</v>
      </c>
      <c r="BT267" s="170">
        <v>42128</v>
      </c>
      <c r="BU267" s="181">
        <v>42128</v>
      </c>
      <c r="BV267" s="112"/>
      <c r="BW267" s="152" t="str">
        <f t="shared" si="274"/>
        <v xml:space="preserve">2305 (for processing) 5/6/2015, MDR 5/6/2015, </v>
      </c>
      <c r="BY267" s="275">
        <f t="shared" si="276"/>
        <v>11</v>
      </c>
      <c r="CA267" s="168" t="str">
        <f t="shared" si="304"/>
        <v/>
      </c>
      <c r="CB267" s="151" t="str">
        <f t="shared" si="305"/>
        <v/>
      </c>
      <c r="CC267" s="153" t="str">
        <f t="shared" ca="1" si="306"/>
        <v/>
      </c>
      <c r="CD267" s="153" t="str">
        <f t="shared" si="307"/>
        <v/>
      </c>
      <c r="CE267" s="153" t="str">
        <f t="shared" si="308"/>
        <v/>
      </c>
      <c r="CF267" s="396" t="str">
        <f t="shared" si="309"/>
        <v/>
      </c>
      <c r="CG267" s="397" t="str">
        <f t="shared" si="310"/>
        <v/>
      </c>
      <c r="CH267" s="153" t="str">
        <f t="shared" si="311"/>
        <v/>
      </c>
      <c r="CI267" s="151" t="str">
        <f t="shared" si="312"/>
        <v/>
      </c>
      <c r="CJ267" s="151">
        <f t="shared" si="313"/>
        <v>42153</v>
      </c>
      <c r="CK267" s="153">
        <f t="shared" si="314"/>
        <v>13</v>
      </c>
      <c r="CL267" s="153">
        <f t="shared" si="315"/>
        <v>9</v>
      </c>
      <c r="CM267" s="153">
        <f t="shared" si="316"/>
        <v>11</v>
      </c>
      <c r="CN267" s="153">
        <f t="shared" si="317"/>
        <v>10</v>
      </c>
      <c r="CO267" s="153">
        <f t="shared" si="318"/>
        <v>13</v>
      </c>
      <c r="CP267" s="153">
        <f t="shared" si="319"/>
        <v>9</v>
      </c>
      <c r="CQ267" s="153">
        <f t="shared" si="320"/>
        <v>9</v>
      </c>
      <c r="CR267" s="153">
        <f t="shared" si="321"/>
        <v>9</v>
      </c>
      <c r="CS267" s="153">
        <f t="shared" si="322"/>
        <v>6</v>
      </c>
      <c r="CT267" s="153">
        <f t="shared" si="323"/>
        <v>10</v>
      </c>
      <c r="CU267" s="153">
        <f t="shared" si="324"/>
        <v>6</v>
      </c>
      <c r="CV267" s="153">
        <f t="shared" si="325"/>
        <v>7</v>
      </c>
      <c r="CW267" s="153">
        <f t="shared" si="326"/>
        <v>4</v>
      </c>
      <c r="CX267" s="153">
        <f t="shared" si="327"/>
        <v>0</v>
      </c>
      <c r="CY267" s="153">
        <f t="shared" si="328"/>
        <v>20</v>
      </c>
    </row>
    <row r="268" spans="1:103" x14ac:dyDescent="0.25">
      <c r="A268" s="7">
        <v>195</v>
      </c>
      <c r="B268" s="16">
        <v>42128</v>
      </c>
      <c r="C268" s="1">
        <v>1082484</v>
      </c>
      <c r="D268" s="1" t="s">
        <v>2997</v>
      </c>
      <c r="E268" s="112" t="str">
        <f t="shared" si="329"/>
        <v xml:space="preserve">NBI, Waiver, </v>
      </c>
      <c r="F268" s="112" t="str">
        <f t="shared" si="330"/>
        <v xml:space="preserve">MDR, TOR, 2x2, </v>
      </c>
      <c r="I268" s="16">
        <v>42130</v>
      </c>
      <c r="K268" s="152">
        <f t="shared" ca="1" si="303"/>
        <v>6</v>
      </c>
      <c r="N268" s="153" t="str">
        <f t="shared" si="331"/>
        <v>READY!</v>
      </c>
      <c r="O268" s="1">
        <v>3</v>
      </c>
      <c r="Q268" s="1" t="s">
        <v>2956</v>
      </c>
      <c r="R268" s="1">
        <v>9254833792</v>
      </c>
      <c r="S268" s="153">
        <f t="shared" si="332"/>
        <v>9254833792</v>
      </c>
      <c r="T268" s="153" t="str">
        <f t="shared" si="333"/>
        <v/>
      </c>
      <c r="U268" s="1" t="s">
        <v>3017</v>
      </c>
      <c r="V268" s="1" t="s">
        <v>2955</v>
      </c>
      <c r="W268" s="1" t="s">
        <v>2953</v>
      </c>
      <c r="X268" s="1" t="s">
        <v>2954</v>
      </c>
      <c r="Y268" s="1" t="s">
        <v>73</v>
      </c>
      <c r="Z268" s="1" t="s">
        <v>70</v>
      </c>
      <c r="AA268" s="1" t="s">
        <v>1233</v>
      </c>
      <c r="AC268" s="1" t="s">
        <v>741</v>
      </c>
      <c r="AD268" s="1" t="s">
        <v>1038</v>
      </c>
      <c r="AH268" s="1" t="s">
        <v>52</v>
      </c>
      <c r="AI268" s="1" t="s">
        <v>253</v>
      </c>
      <c r="AJ268" s="153" t="str">
        <f t="shared" si="268"/>
        <v/>
      </c>
      <c r="AL268" s="1" t="s">
        <v>1475</v>
      </c>
      <c r="AM268" s="1" t="s">
        <v>854</v>
      </c>
      <c r="AN268" s="16">
        <v>31328</v>
      </c>
      <c r="AO268" s="1" t="s">
        <v>3053</v>
      </c>
      <c r="AP268" s="1" t="s">
        <v>3053</v>
      </c>
      <c r="AQ268" s="1" t="s">
        <v>53</v>
      </c>
      <c r="AR268" s="1" t="s">
        <v>495</v>
      </c>
      <c r="AS268" s="169">
        <v>42130</v>
      </c>
      <c r="AT268" s="170">
        <v>42130</v>
      </c>
      <c r="AU268" s="170">
        <v>42130</v>
      </c>
      <c r="AW268" s="169">
        <v>42130</v>
      </c>
      <c r="AX268" s="112" t="s">
        <v>3049</v>
      </c>
      <c r="AZ268" s="170">
        <v>42132</v>
      </c>
      <c r="BA268" s="170">
        <v>42130</v>
      </c>
      <c r="BC268" s="169">
        <v>42130</v>
      </c>
      <c r="BD268" s="172" t="s">
        <v>3052</v>
      </c>
      <c r="BE268" s="169">
        <v>42130</v>
      </c>
      <c r="BF268" s="172" t="s">
        <v>3051</v>
      </c>
      <c r="BG268" s="169">
        <v>42132</v>
      </c>
      <c r="BH268" s="188" t="s">
        <v>3117</v>
      </c>
      <c r="BM268" s="169">
        <v>42130</v>
      </c>
      <c r="BR268" s="181">
        <v>42130</v>
      </c>
      <c r="BS268" s="169">
        <v>42128</v>
      </c>
      <c r="BT268" s="170">
        <v>42128</v>
      </c>
      <c r="BU268" s="181">
        <v>42128</v>
      </c>
      <c r="BV268" s="112" t="s">
        <v>3050</v>
      </c>
      <c r="BW268" s="152" t="str">
        <f t="shared" si="274"/>
        <v>1905 (for processing) 5/8/2015, 2305 (for processing) 5/6/2015, 2316 (2014) - 5/6/2015</v>
      </c>
      <c r="BY268" s="275">
        <f t="shared" si="276"/>
        <v>11</v>
      </c>
      <c r="CA268" s="168" t="str">
        <f t="shared" si="304"/>
        <v/>
      </c>
      <c r="CB268" s="151" t="str">
        <f t="shared" si="305"/>
        <v/>
      </c>
      <c r="CC268" s="153" t="str">
        <f t="shared" ca="1" si="306"/>
        <v/>
      </c>
      <c r="CD268" s="153" t="str">
        <f t="shared" si="307"/>
        <v/>
      </c>
      <c r="CE268" s="153" t="str">
        <f t="shared" si="308"/>
        <v/>
      </c>
      <c r="CF268" s="396" t="str">
        <f t="shared" si="309"/>
        <v/>
      </c>
      <c r="CG268" s="397" t="str">
        <f t="shared" si="310"/>
        <v/>
      </c>
      <c r="CH268" s="153" t="str">
        <f t="shared" si="311"/>
        <v/>
      </c>
      <c r="CI268" s="151" t="str">
        <f t="shared" si="312"/>
        <v/>
      </c>
      <c r="CJ268" s="151">
        <f t="shared" si="313"/>
        <v>42153</v>
      </c>
      <c r="CK268" s="153">
        <f t="shared" si="314"/>
        <v>14</v>
      </c>
      <c r="CL268" s="153">
        <f t="shared" si="315"/>
        <v>10</v>
      </c>
      <c r="CM268" s="153">
        <f t="shared" si="316"/>
        <v>12</v>
      </c>
      <c r="CN268" s="153">
        <f t="shared" si="317"/>
        <v>10</v>
      </c>
      <c r="CO268" s="153">
        <f t="shared" si="318"/>
        <v>14</v>
      </c>
      <c r="CP268" s="153">
        <f t="shared" si="319"/>
        <v>10</v>
      </c>
      <c r="CQ268" s="153">
        <f t="shared" si="320"/>
        <v>10</v>
      </c>
      <c r="CR268" s="153">
        <f t="shared" si="321"/>
        <v>10</v>
      </c>
      <c r="CS268" s="153">
        <f t="shared" si="322"/>
        <v>6</v>
      </c>
      <c r="CT268" s="153">
        <f t="shared" si="323"/>
        <v>11</v>
      </c>
      <c r="CU268" s="153">
        <f t="shared" si="324"/>
        <v>7</v>
      </c>
      <c r="CV268" s="153">
        <f t="shared" si="325"/>
        <v>8</v>
      </c>
      <c r="CW268" s="153">
        <f t="shared" si="326"/>
        <v>4</v>
      </c>
      <c r="CX268" s="153">
        <f t="shared" si="327"/>
        <v>0</v>
      </c>
      <c r="CY268" s="153">
        <f t="shared" si="328"/>
        <v>21</v>
      </c>
    </row>
    <row r="269" spans="1:103" s="321" customFormat="1" x14ac:dyDescent="0.25">
      <c r="A269" s="382">
        <v>195</v>
      </c>
      <c r="B269" s="334">
        <v>42128</v>
      </c>
      <c r="C269" s="321">
        <v>1082485</v>
      </c>
      <c r="D269" s="321" t="s">
        <v>2998</v>
      </c>
      <c r="E269" s="317" t="str">
        <f t="shared" si="329"/>
        <v/>
      </c>
      <c r="F269" s="317" t="str">
        <f t="shared" si="330"/>
        <v xml:space="preserve">2x2, </v>
      </c>
      <c r="I269" s="334">
        <v>42130</v>
      </c>
      <c r="K269" s="384" t="str">
        <f t="shared" ca="1" si="303"/>
        <v/>
      </c>
      <c r="N269" s="317" t="str">
        <f t="shared" si="331"/>
        <v/>
      </c>
      <c r="O269" s="321" t="s">
        <v>302</v>
      </c>
      <c r="Q269" s="1" t="s">
        <v>2960</v>
      </c>
      <c r="R269" s="1">
        <v>9062333736</v>
      </c>
      <c r="S269" s="153">
        <f t="shared" si="332"/>
        <v>9062333736</v>
      </c>
      <c r="T269" s="153" t="str">
        <f t="shared" si="333"/>
        <v/>
      </c>
      <c r="U269" s="1" t="s">
        <v>3018</v>
      </c>
      <c r="V269" s="1" t="s">
        <v>2959</v>
      </c>
      <c r="W269" s="1" t="s">
        <v>2957</v>
      </c>
      <c r="X269" s="1" t="s">
        <v>2958</v>
      </c>
      <c r="Y269" s="1" t="s">
        <v>73</v>
      </c>
      <c r="Z269" s="1" t="s">
        <v>74</v>
      </c>
      <c r="AA269" s="1" t="s">
        <v>1232</v>
      </c>
      <c r="AB269" s="1"/>
      <c r="AC269" s="1" t="s">
        <v>741</v>
      </c>
      <c r="AD269" s="1" t="s">
        <v>1234</v>
      </c>
      <c r="AE269" s="1"/>
      <c r="AF269" s="1"/>
      <c r="AG269" s="1"/>
      <c r="AH269" s="1" t="s">
        <v>52</v>
      </c>
      <c r="AI269" s="1" t="s">
        <v>2961</v>
      </c>
      <c r="AJ269" s="153" t="str">
        <f t="shared" si="268"/>
        <v>Ronel Autor</v>
      </c>
      <c r="AK269" s="1"/>
      <c r="AL269" s="1" t="s">
        <v>265</v>
      </c>
      <c r="AM269" s="1" t="s">
        <v>854</v>
      </c>
      <c r="AN269" s="16">
        <v>32185</v>
      </c>
      <c r="AO269" s="1" t="s">
        <v>3059</v>
      </c>
      <c r="AP269" s="1" t="s">
        <v>3059</v>
      </c>
      <c r="AQ269" s="1" t="s">
        <v>50</v>
      </c>
      <c r="AR269" s="1" t="s">
        <v>378</v>
      </c>
      <c r="AS269" s="169">
        <v>42130</v>
      </c>
      <c r="AT269" s="170">
        <v>42130</v>
      </c>
      <c r="AU269" s="170">
        <v>42130</v>
      </c>
      <c r="AV269" s="181">
        <v>42140</v>
      </c>
      <c r="AW269" s="169">
        <v>42130</v>
      </c>
      <c r="AX269" s="112" t="s">
        <v>3057</v>
      </c>
      <c r="AY269" s="112"/>
      <c r="AZ269" s="170">
        <v>42136</v>
      </c>
      <c r="BA269" s="170">
        <v>42132</v>
      </c>
      <c r="BB269" s="181">
        <v>42130</v>
      </c>
      <c r="BC269" s="169">
        <v>42136</v>
      </c>
      <c r="BD269" s="172" t="s">
        <v>3273</v>
      </c>
      <c r="BE269" s="169">
        <v>42130</v>
      </c>
      <c r="BF269" s="172" t="s">
        <v>3058</v>
      </c>
      <c r="BG269" s="169">
        <v>42136</v>
      </c>
      <c r="BH269" s="188" t="s">
        <v>3274</v>
      </c>
      <c r="BI269" s="181">
        <v>42136</v>
      </c>
      <c r="BJ269" s="169">
        <v>42136</v>
      </c>
      <c r="BK269" s="112"/>
      <c r="BL269" s="172"/>
      <c r="BM269" s="169">
        <v>42130</v>
      </c>
      <c r="BN269" s="112"/>
      <c r="BO269" s="172"/>
      <c r="BP269" s="159"/>
      <c r="BQ269" s="170">
        <v>42130</v>
      </c>
      <c r="BR269" s="181">
        <v>42130</v>
      </c>
      <c r="BS269" s="169">
        <v>42128</v>
      </c>
      <c r="BT269" s="170">
        <v>42128</v>
      </c>
      <c r="BU269" s="181">
        <v>42128</v>
      </c>
      <c r="BV269" s="112"/>
      <c r="BW269" s="152" t="str">
        <f t="shared" si="274"/>
        <v xml:space="preserve">1905 (for processing) 5/12/2015, 2305 (for processing) 5/8/2015, MDR 5/12/2015, </v>
      </c>
      <c r="BX269" s="275"/>
      <c r="BY269" s="275">
        <f t="shared" si="276"/>
        <v>11</v>
      </c>
      <c r="BZ269" s="277"/>
      <c r="CA269" s="168" t="str">
        <f t="shared" si="304"/>
        <v/>
      </c>
      <c r="CB269" s="151" t="str">
        <f t="shared" si="305"/>
        <v/>
      </c>
      <c r="CC269" s="153" t="str">
        <f t="shared" ca="1" si="306"/>
        <v/>
      </c>
      <c r="CD269" s="153" t="str">
        <f t="shared" si="307"/>
        <v/>
      </c>
      <c r="CE269" s="153" t="str">
        <f t="shared" si="308"/>
        <v/>
      </c>
      <c r="CF269" s="396" t="str">
        <f t="shared" si="309"/>
        <v/>
      </c>
      <c r="CG269" s="397" t="str">
        <f t="shared" si="310"/>
        <v/>
      </c>
      <c r="CH269" s="153" t="str">
        <f t="shared" si="311"/>
        <v/>
      </c>
      <c r="CI269" s="151" t="str">
        <f t="shared" si="312"/>
        <v/>
      </c>
      <c r="CJ269" s="151">
        <f t="shared" si="313"/>
        <v>42153</v>
      </c>
      <c r="CK269" s="153">
        <f t="shared" si="314"/>
        <v>15</v>
      </c>
      <c r="CL269" s="153">
        <f t="shared" si="315"/>
        <v>11</v>
      </c>
      <c r="CM269" s="153">
        <f t="shared" si="316"/>
        <v>13</v>
      </c>
      <c r="CN269" s="153">
        <f t="shared" si="317"/>
        <v>11</v>
      </c>
      <c r="CO269" s="153">
        <f t="shared" si="318"/>
        <v>15</v>
      </c>
      <c r="CP269" s="153">
        <f t="shared" si="319"/>
        <v>11</v>
      </c>
      <c r="CQ269" s="153">
        <f t="shared" si="320"/>
        <v>11</v>
      </c>
      <c r="CR269" s="153">
        <f t="shared" si="321"/>
        <v>11</v>
      </c>
      <c r="CS269" s="153">
        <f t="shared" si="322"/>
        <v>7</v>
      </c>
      <c r="CT269" s="153">
        <f t="shared" si="323"/>
        <v>12</v>
      </c>
      <c r="CU269" s="153">
        <f t="shared" si="324"/>
        <v>8</v>
      </c>
      <c r="CV269" s="153">
        <f t="shared" si="325"/>
        <v>9</v>
      </c>
      <c r="CW269" s="153">
        <f t="shared" si="326"/>
        <v>5</v>
      </c>
      <c r="CX269" s="153">
        <f t="shared" si="327"/>
        <v>0</v>
      </c>
      <c r="CY269" s="153">
        <f t="shared" si="328"/>
        <v>22</v>
      </c>
    </row>
    <row r="270" spans="1:103" x14ac:dyDescent="0.25">
      <c r="A270" s="7">
        <v>195</v>
      </c>
      <c r="B270" s="16">
        <v>42128</v>
      </c>
      <c r="C270" s="1">
        <v>1082486</v>
      </c>
      <c r="D270" s="1" t="s">
        <v>2999</v>
      </c>
      <c r="E270" s="112" t="str">
        <f t="shared" si="329"/>
        <v xml:space="preserve">Waiver, 1905, </v>
      </c>
      <c r="F270" s="112" t="str">
        <f t="shared" si="330"/>
        <v xml:space="preserve">COE, 2x2, </v>
      </c>
      <c r="I270" s="16">
        <v>42130</v>
      </c>
      <c r="K270" s="152">
        <f t="shared" ca="1" si="303"/>
        <v>6</v>
      </c>
      <c r="N270" s="153" t="str">
        <f t="shared" si="331"/>
        <v/>
      </c>
      <c r="O270" s="1">
        <v>3</v>
      </c>
      <c r="Q270" s="1" t="s">
        <v>2965</v>
      </c>
      <c r="R270" s="1">
        <v>9192082533</v>
      </c>
      <c r="S270" s="153">
        <f t="shared" si="332"/>
        <v>9192082533</v>
      </c>
      <c r="T270" s="153" t="str">
        <f t="shared" si="333"/>
        <v/>
      </c>
      <c r="U270" s="1" t="s">
        <v>3019</v>
      </c>
      <c r="V270" s="1" t="s">
        <v>2964</v>
      </c>
      <c r="W270" s="1" t="s">
        <v>2962</v>
      </c>
      <c r="X270" s="1" t="s">
        <v>2963</v>
      </c>
      <c r="Y270" s="1" t="s">
        <v>73</v>
      </c>
      <c r="Z270" s="1" t="s">
        <v>74</v>
      </c>
      <c r="AA270" s="1" t="s">
        <v>1232</v>
      </c>
      <c r="AC270" s="1" t="s">
        <v>741</v>
      </c>
      <c r="AD270" s="1" t="s">
        <v>1234</v>
      </c>
      <c r="AH270" s="1" t="s">
        <v>52</v>
      </c>
      <c r="AI270" s="1" t="s">
        <v>2939</v>
      </c>
      <c r="AJ270" s="153" t="str">
        <f t="shared" si="268"/>
        <v/>
      </c>
      <c r="AL270" s="1" t="s">
        <v>259</v>
      </c>
      <c r="AM270" s="1" t="s">
        <v>854</v>
      </c>
      <c r="AN270" s="16">
        <v>31122</v>
      </c>
      <c r="AO270" s="1" t="s">
        <v>3276</v>
      </c>
      <c r="AP270" s="1" t="s">
        <v>3276</v>
      </c>
      <c r="AQ270" s="1" t="s">
        <v>53</v>
      </c>
      <c r="AR270" s="1" t="s">
        <v>378</v>
      </c>
      <c r="AS270" s="169">
        <v>42136</v>
      </c>
      <c r="AT270" s="170">
        <v>42136</v>
      </c>
      <c r="AU270" s="170">
        <v>42129</v>
      </c>
      <c r="AW270" s="169">
        <v>42129</v>
      </c>
      <c r="AX270" s="112" t="s">
        <v>3024</v>
      </c>
      <c r="BA270" s="170">
        <v>42136</v>
      </c>
      <c r="BC270" s="169">
        <v>42136</v>
      </c>
      <c r="BD270" s="172" t="s">
        <v>3275</v>
      </c>
      <c r="BE270" s="169">
        <v>42129</v>
      </c>
      <c r="BF270" s="172" t="s">
        <v>3025</v>
      </c>
      <c r="BG270" s="169">
        <v>42129</v>
      </c>
      <c r="BH270" s="188" t="s">
        <v>3026</v>
      </c>
      <c r="BI270" s="181">
        <v>42136</v>
      </c>
      <c r="BJ270" s="169">
        <v>42136</v>
      </c>
      <c r="BK270" s="170">
        <v>42129</v>
      </c>
      <c r="BM270" s="169">
        <v>42129</v>
      </c>
      <c r="BQ270" s="170">
        <v>42129</v>
      </c>
      <c r="BS270" s="169">
        <v>42128</v>
      </c>
      <c r="BT270" s="170">
        <v>42128</v>
      </c>
      <c r="BU270" s="181">
        <v>42128</v>
      </c>
      <c r="BV270" s="112"/>
      <c r="BW270" s="152" t="str">
        <f t="shared" si="274"/>
        <v xml:space="preserve">2305 (for processing) 5/12/2015, MDR 5/12/2015, NBI receipt 5/5/2015, </v>
      </c>
      <c r="BY270" s="275">
        <f t="shared" si="276"/>
        <v>11</v>
      </c>
      <c r="CA270" s="168" t="str">
        <f t="shared" si="304"/>
        <v/>
      </c>
      <c r="CB270" s="151" t="str">
        <f t="shared" si="305"/>
        <v/>
      </c>
      <c r="CC270" s="153" t="str">
        <f t="shared" ca="1" si="306"/>
        <v/>
      </c>
      <c r="CD270" s="153" t="str">
        <f t="shared" si="307"/>
        <v/>
      </c>
      <c r="CE270" s="153" t="str">
        <f t="shared" si="308"/>
        <v/>
      </c>
      <c r="CF270" s="396" t="str">
        <f t="shared" si="309"/>
        <v/>
      </c>
      <c r="CG270" s="397" t="str">
        <f t="shared" si="310"/>
        <v/>
      </c>
      <c r="CH270" s="153" t="str">
        <f t="shared" si="311"/>
        <v/>
      </c>
      <c r="CI270" s="151" t="str">
        <f t="shared" si="312"/>
        <v/>
      </c>
      <c r="CJ270" s="151">
        <f t="shared" si="313"/>
        <v>42153</v>
      </c>
      <c r="CK270" s="153">
        <f t="shared" si="314"/>
        <v>16</v>
      </c>
      <c r="CL270" s="153">
        <f t="shared" si="315"/>
        <v>12</v>
      </c>
      <c r="CM270" s="153">
        <f t="shared" si="316"/>
        <v>14</v>
      </c>
      <c r="CN270" s="153">
        <f t="shared" si="317"/>
        <v>12</v>
      </c>
      <c r="CO270" s="153">
        <f t="shared" si="318"/>
        <v>16</v>
      </c>
      <c r="CP270" s="153">
        <f t="shared" si="319"/>
        <v>12</v>
      </c>
      <c r="CQ270" s="153">
        <f t="shared" si="320"/>
        <v>12</v>
      </c>
      <c r="CR270" s="153">
        <f t="shared" si="321"/>
        <v>12</v>
      </c>
      <c r="CS270" s="153">
        <f t="shared" si="322"/>
        <v>7</v>
      </c>
      <c r="CT270" s="153">
        <f t="shared" si="323"/>
        <v>13</v>
      </c>
      <c r="CU270" s="153">
        <f t="shared" si="324"/>
        <v>8</v>
      </c>
      <c r="CV270" s="153">
        <f t="shared" si="325"/>
        <v>10</v>
      </c>
      <c r="CW270" s="153">
        <f t="shared" si="326"/>
        <v>5</v>
      </c>
      <c r="CX270" s="153">
        <f t="shared" si="327"/>
        <v>0</v>
      </c>
      <c r="CY270" s="153">
        <f t="shared" si="328"/>
        <v>23</v>
      </c>
    </row>
    <row r="271" spans="1:103" x14ac:dyDescent="0.25">
      <c r="A271" s="7">
        <v>195</v>
      </c>
      <c r="B271" s="16">
        <v>42128</v>
      </c>
      <c r="C271" s="1">
        <v>1082487</v>
      </c>
      <c r="D271" s="1" t="s">
        <v>3000</v>
      </c>
      <c r="E271" s="112" t="str">
        <f t="shared" si="329"/>
        <v xml:space="preserve">Waiver, TIN, </v>
      </c>
      <c r="F271" s="112" t="str">
        <f t="shared" si="330"/>
        <v xml:space="preserve">MDR, 2x2, </v>
      </c>
      <c r="I271" s="16">
        <v>42130</v>
      </c>
      <c r="K271" s="152">
        <f t="shared" ca="1" si="303"/>
        <v>6</v>
      </c>
      <c r="N271" s="153" t="str">
        <f t="shared" si="331"/>
        <v>READY!</v>
      </c>
      <c r="O271" s="1">
        <v>3</v>
      </c>
      <c r="Q271" s="1" t="s">
        <v>2969</v>
      </c>
      <c r="R271" s="1">
        <v>9335894700</v>
      </c>
      <c r="S271" s="153">
        <f t="shared" si="332"/>
        <v>9335894700</v>
      </c>
      <c r="T271" s="153" t="str">
        <f t="shared" si="333"/>
        <v/>
      </c>
      <c r="U271" s="1" t="s">
        <v>3096</v>
      </c>
      <c r="V271" s="1" t="s">
        <v>2968</v>
      </c>
      <c r="W271" s="1" t="s">
        <v>2966</v>
      </c>
      <c r="X271" s="1" t="s">
        <v>2967</v>
      </c>
      <c r="Y271" s="1" t="s">
        <v>73</v>
      </c>
      <c r="Z271" s="1" t="s">
        <v>74</v>
      </c>
      <c r="AA271" s="1" t="s">
        <v>1232</v>
      </c>
      <c r="AC271" s="1" t="s">
        <v>741</v>
      </c>
      <c r="AD271" s="1" t="s">
        <v>1234</v>
      </c>
      <c r="AH271" s="1" t="s">
        <v>52</v>
      </c>
      <c r="AI271" s="1" t="s">
        <v>253</v>
      </c>
      <c r="AJ271" s="153" t="str">
        <f t="shared" si="268"/>
        <v/>
      </c>
      <c r="AL271" s="1" t="s">
        <v>254</v>
      </c>
      <c r="AM271" s="1" t="s">
        <v>854</v>
      </c>
      <c r="AN271" s="16">
        <v>31675</v>
      </c>
      <c r="AO271" s="1" t="s">
        <v>3035</v>
      </c>
      <c r="AP271" s="1" t="s">
        <v>3035</v>
      </c>
      <c r="AQ271" s="1" t="s">
        <v>53</v>
      </c>
      <c r="AR271" s="1" t="s">
        <v>378</v>
      </c>
      <c r="AS271" s="169">
        <v>42130</v>
      </c>
      <c r="AT271" s="170">
        <v>42130</v>
      </c>
      <c r="AU271" s="170">
        <v>42130</v>
      </c>
      <c r="AZ271" s="112">
        <v>1</v>
      </c>
      <c r="BA271" s="170">
        <v>42130</v>
      </c>
      <c r="BC271" s="169">
        <v>42130</v>
      </c>
      <c r="BD271" s="172" t="s">
        <v>3036</v>
      </c>
      <c r="BE271" s="169">
        <v>42130</v>
      </c>
      <c r="BF271" s="172" t="s">
        <v>3037</v>
      </c>
      <c r="BG271" s="169">
        <v>42130</v>
      </c>
      <c r="BH271" s="188" t="s">
        <v>3277</v>
      </c>
      <c r="BJ271" s="169">
        <v>42130</v>
      </c>
      <c r="BM271" s="169">
        <v>42130</v>
      </c>
      <c r="BQ271" s="170">
        <v>42130</v>
      </c>
      <c r="BR271" s="181">
        <v>42130</v>
      </c>
      <c r="BS271" s="169">
        <v>42128</v>
      </c>
      <c r="BT271" s="170">
        <v>42128</v>
      </c>
      <c r="BU271" s="181">
        <v>42128</v>
      </c>
      <c r="BV271" s="112"/>
      <c r="BW271" s="152" t="str">
        <f t="shared" si="274"/>
        <v xml:space="preserve">2305 (for processing) 5/6/2015, </v>
      </c>
      <c r="BY271" s="275">
        <f t="shared" si="276"/>
        <v>11</v>
      </c>
      <c r="CA271" s="168" t="str">
        <f t="shared" si="304"/>
        <v/>
      </c>
      <c r="CB271" s="151" t="str">
        <f t="shared" si="305"/>
        <v/>
      </c>
      <c r="CC271" s="153" t="str">
        <f t="shared" ca="1" si="306"/>
        <v/>
      </c>
      <c r="CD271" s="153" t="str">
        <f t="shared" si="307"/>
        <v/>
      </c>
      <c r="CE271" s="153" t="str">
        <f t="shared" si="308"/>
        <v/>
      </c>
      <c r="CF271" s="396" t="str">
        <f t="shared" si="309"/>
        <v/>
      </c>
      <c r="CG271" s="397" t="str">
        <f t="shared" si="310"/>
        <v/>
      </c>
      <c r="CH271" s="153" t="str">
        <f t="shared" si="311"/>
        <v/>
      </c>
      <c r="CI271" s="151" t="str">
        <f t="shared" si="312"/>
        <v/>
      </c>
      <c r="CJ271" s="151">
        <f t="shared" si="313"/>
        <v>42153</v>
      </c>
      <c r="CK271" s="153">
        <f t="shared" si="314"/>
        <v>17</v>
      </c>
      <c r="CL271" s="153">
        <f t="shared" si="315"/>
        <v>13</v>
      </c>
      <c r="CM271" s="153">
        <f t="shared" si="316"/>
        <v>15</v>
      </c>
      <c r="CN271" s="153">
        <f t="shared" si="317"/>
        <v>13</v>
      </c>
      <c r="CO271" s="153">
        <f t="shared" si="318"/>
        <v>17</v>
      </c>
      <c r="CP271" s="153">
        <f t="shared" si="319"/>
        <v>13</v>
      </c>
      <c r="CQ271" s="153">
        <f t="shared" si="320"/>
        <v>13</v>
      </c>
      <c r="CR271" s="153">
        <f t="shared" si="321"/>
        <v>13</v>
      </c>
      <c r="CS271" s="153">
        <f t="shared" si="322"/>
        <v>7</v>
      </c>
      <c r="CT271" s="153">
        <f t="shared" si="323"/>
        <v>13</v>
      </c>
      <c r="CU271" s="153">
        <f t="shared" si="324"/>
        <v>9</v>
      </c>
      <c r="CV271" s="153">
        <f t="shared" si="325"/>
        <v>11</v>
      </c>
      <c r="CW271" s="153">
        <f t="shared" si="326"/>
        <v>5</v>
      </c>
      <c r="CX271" s="153">
        <f t="shared" si="327"/>
        <v>0</v>
      </c>
      <c r="CY271" s="153">
        <f t="shared" si="328"/>
        <v>24</v>
      </c>
    </row>
    <row r="272" spans="1:103" x14ac:dyDescent="0.25">
      <c r="A272" s="7">
        <v>195</v>
      </c>
      <c r="B272" s="16">
        <v>42128</v>
      </c>
      <c r="C272" s="1">
        <v>1082488</v>
      </c>
      <c r="D272" s="1" t="s">
        <v>3001</v>
      </c>
      <c r="E272" s="112" t="str">
        <f t="shared" si="329"/>
        <v xml:space="preserve">NBI, Info, AWOL, Hand, Waiver, </v>
      </c>
      <c r="F272" s="112" t="str">
        <f t="shared" si="330"/>
        <v xml:space="preserve">MDR, TOR, 2x2, </v>
      </c>
      <c r="I272" s="16">
        <v>42130</v>
      </c>
      <c r="K272" s="152">
        <f t="shared" ca="1" si="303"/>
        <v>6</v>
      </c>
      <c r="N272" s="153" t="str">
        <f t="shared" si="331"/>
        <v/>
      </c>
      <c r="O272" s="1">
        <v>3</v>
      </c>
      <c r="Q272" s="1" t="s">
        <v>2971</v>
      </c>
      <c r="R272" s="1">
        <v>9175494989</v>
      </c>
      <c r="S272" s="153">
        <f t="shared" si="332"/>
        <v>9175494989</v>
      </c>
      <c r="T272" s="153" t="str">
        <f t="shared" si="333"/>
        <v/>
      </c>
      <c r="U272" s="1" t="s">
        <v>3020</v>
      </c>
      <c r="V272" s="1" t="s">
        <v>2425</v>
      </c>
      <c r="W272" s="1" t="s">
        <v>1207</v>
      </c>
      <c r="X272" s="1" t="s">
        <v>2970</v>
      </c>
      <c r="Y272" s="1" t="s">
        <v>73</v>
      </c>
      <c r="Z272" s="1" t="s">
        <v>74</v>
      </c>
      <c r="AA272" s="1" t="s">
        <v>1232</v>
      </c>
      <c r="AC272" s="1" t="s">
        <v>741</v>
      </c>
      <c r="AD272" s="1" t="s">
        <v>1234</v>
      </c>
      <c r="AH272" s="1" t="s">
        <v>52</v>
      </c>
      <c r="AI272" s="1" t="s">
        <v>2972</v>
      </c>
      <c r="AJ272" s="153" t="str">
        <f t="shared" si="268"/>
        <v>Cristina Tantoco</v>
      </c>
      <c r="AL272" s="1" t="s">
        <v>265</v>
      </c>
      <c r="AM272" s="1" t="s">
        <v>854</v>
      </c>
      <c r="AN272" s="16">
        <v>32711</v>
      </c>
      <c r="AW272" s="169">
        <v>42129</v>
      </c>
      <c r="AX272" s="112" t="s">
        <v>3027</v>
      </c>
      <c r="AZ272" s="170">
        <v>42129</v>
      </c>
      <c r="BA272" s="170">
        <v>42129</v>
      </c>
      <c r="BC272" s="169">
        <v>42129</v>
      </c>
      <c r="BD272" s="172" t="s">
        <v>3030</v>
      </c>
      <c r="BE272" s="169">
        <v>42129</v>
      </c>
      <c r="BF272" s="172" t="s">
        <v>3028</v>
      </c>
      <c r="BG272" s="169">
        <v>42129</v>
      </c>
      <c r="BH272" s="188" t="s">
        <v>3029</v>
      </c>
      <c r="BM272" s="169">
        <v>42129</v>
      </c>
      <c r="BR272" s="181">
        <v>42129</v>
      </c>
      <c r="BS272" s="169">
        <v>42128</v>
      </c>
      <c r="BT272" s="170">
        <v>42128</v>
      </c>
      <c r="BU272" s="181">
        <v>42128</v>
      </c>
      <c r="BV272" s="112"/>
      <c r="BW272" s="152" t="str">
        <f t="shared" si="274"/>
        <v xml:space="preserve">1905 (for processing) 5/5/2015, 2305 (for processing) 5/5/2015, </v>
      </c>
      <c r="BY272" s="275">
        <f t="shared" si="276"/>
        <v>11</v>
      </c>
      <c r="CA272" s="168" t="str">
        <f t="shared" si="304"/>
        <v/>
      </c>
      <c r="CB272" s="151" t="str">
        <f t="shared" si="305"/>
        <v/>
      </c>
      <c r="CC272" s="153" t="str">
        <f t="shared" ca="1" si="306"/>
        <v/>
      </c>
      <c r="CD272" s="153" t="str">
        <f t="shared" si="307"/>
        <v/>
      </c>
      <c r="CE272" s="153" t="str">
        <f t="shared" si="308"/>
        <v/>
      </c>
      <c r="CF272" s="396" t="str">
        <f t="shared" si="309"/>
        <v/>
      </c>
      <c r="CG272" s="397" t="str">
        <f t="shared" si="310"/>
        <v/>
      </c>
      <c r="CH272" s="153" t="str">
        <f t="shared" si="311"/>
        <v/>
      </c>
      <c r="CI272" s="151" t="str">
        <f t="shared" si="312"/>
        <v/>
      </c>
      <c r="CJ272" s="151">
        <f t="shared" si="313"/>
        <v>42153</v>
      </c>
      <c r="CK272" s="153">
        <f t="shared" si="314"/>
        <v>18</v>
      </c>
      <c r="CL272" s="153">
        <f t="shared" si="315"/>
        <v>14</v>
      </c>
      <c r="CM272" s="153">
        <f t="shared" si="316"/>
        <v>16</v>
      </c>
      <c r="CN272" s="153">
        <f t="shared" si="317"/>
        <v>13</v>
      </c>
      <c r="CO272" s="153">
        <f t="shared" si="318"/>
        <v>18</v>
      </c>
      <c r="CP272" s="153">
        <f t="shared" si="319"/>
        <v>13</v>
      </c>
      <c r="CQ272" s="153">
        <f t="shared" si="320"/>
        <v>13</v>
      </c>
      <c r="CR272" s="153">
        <f t="shared" si="321"/>
        <v>13</v>
      </c>
      <c r="CS272" s="153">
        <f t="shared" si="322"/>
        <v>7</v>
      </c>
      <c r="CT272" s="153">
        <f t="shared" si="323"/>
        <v>14</v>
      </c>
      <c r="CU272" s="153">
        <f t="shared" si="324"/>
        <v>10</v>
      </c>
      <c r="CV272" s="153">
        <f t="shared" si="325"/>
        <v>12</v>
      </c>
      <c r="CW272" s="153">
        <f t="shared" si="326"/>
        <v>5</v>
      </c>
      <c r="CX272" s="153">
        <f t="shared" si="327"/>
        <v>0</v>
      </c>
      <c r="CY272" s="153">
        <f t="shared" si="328"/>
        <v>25</v>
      </c>
    </row>
    <row r="273" spans="1:103" s="343" customFormat="1" ht="15.75" thickBot="1" x14ac:dyDescent="0.3">
      <c r="A273" s="391">
        <v>195</v>
      </c>
      <c r="B273" s="344">
        <v>42128</v>
      </c>
      <c r="C273" s="343">
        <v>1082489</v>
      </c>
      <c r="D273" s="343" t="s">
        <v>3002</v>
      </c>
      <c r="E273" s="343" t="str">
        <f t="shared" si="329"/>
        <v/>
      </c>
      <c r="F273" s="343" t="str">
        <f t="shared" si="330"/>
        <v xml:space="preserve">2x2, </v>
      </c>
      <c r="I273" s="344">
        <v>42130</v>
      </c>
      <c r="K273" s="491" t="str">
        <f t="shared" ca="1" si="303"/>
        <v/>
      </c>
      <c r="N273" s="487" t="str">
        <f t="shared" si="331"/>
        <v/>
      </c>
      <c r="O273" s="343" t="s">
        <v>302</v>
      </c>
      <c r="Q273" s="228" t="s">
        <v>2976</v>
      </c>
      <c r="R273" s="228">
        <v>9067852828</v>
      </c>
      <c r="S273" s="487">
        <f t="shared" si="332"/>
        <v>9067852828</v>
      </c>
      <c r="T273" s="487" t="str">
        <f t="shared" si="333"/>
        <v/>
      </c>
      <c r="U273" s="228" t="s">
        <v>3021</v>
      </c>
      <c r="V273" s="228" t="s">
        <v>2975</v>
      </c>
      <c r="W273" s="228" t="s">
        <v>2973</v>
      </c>
      <c r="X273" s="228" t="s">
        <v>2974</v>
      </c>
      <c r="Y273" s="228" t="s">
        <v>73</v>
      </c>
      <c r="Z273" s="228" t="s">
        <v>70</v>
      </c>
      <c r="AA273" s="228" t="s">
        <v>1233</v>
      </c>
      <c r="AB273" s="228"/>
      <c r="AC273" s="228" t="s">
        <v>741</v>
      </c>
      <c r="AD273" s="228" t="s">
        <v>1038</v>
      </c>
      <c r="AE273" s="228"/>
      <c r="AF273" s="228"/>
      <c r="AG273" s="228"/>
      <c r="AH273" s="228" t="s">
        <v>52</v>
      </c>
      <c r="AI273" s="228" t="s">
        <v>253</v>
      </c>
      <c r="AJ273" s="487" t="str">
        <f t="shared" si="268"/>
        <v/>
      </c>
      <c r="AK273" s="228"/>
      <c r="AL273" s="228" t="s">
        <v>265</v>
      </c>
      <c r="AM273" s="228" t="s">
        <v>854</v>
      </c>
      <c r="AN273" s="229">
        <v>34148</v>
      </c>
      <c r="AO273" s="228" t="s">
        <v>3074</v>
      </c>
      <c r="AP273" s="228" t="s">
        <v>3074</v>
      </c>
      <c r="AQ273" s="228" t="s">
        <v>53</v>
      </c>
      <c r="AR273" s="228" t="s">
        <v>378</v>
      </c>
      <c r="AS273" s="231">
        <v>42130</v>
      </c>
      <c r="AT273" s="229">
        <v>42130</v>
      </c>
      <c r="AU273" s="229">
        <v>42130</v>
      </c>
      <c r="AV273" s="466">
        <v>42131</v>
      </c>
      <c r="AW273" s="231">
        <v>42130</v>
      </c>
      <c r="AX273" s="228" t="s">
        <v>3056</v>
      </c>
      <c r="AY273" s="228"/>
      <c r="AZ273" s="229">
        <v>42130</v>
      </c>
      <c r="BA273" s="229">
        <v>42130</v>
      </c>
      <c r="BB273" s="232"/>
      <c r="BC273" s="231">
        <v>42130</v>
      </c>
      <c r="BD273" s="232" t="s">
        <v>3075</v>
      </c>
      <c r="BE273" s="231">
        <v>42130</v>
      </c>
      <c r="BF273" s="232" t="s">
        <v>3076</v>
      </c>
      <c r="BG273" s="231">
        <v>42130</v>
      </c>
      <c r="BH273" s="234" t="s">
        <v>3068</v>
      </c>
      <c r="BI273" s="466">
        <v>42130</v>
      </c>
      <c r="BJ273" s="231">
        <v>42130</v>
      </c>
      <c r="BK273" s="228"/>
      <c r="BL273" s="232"/>
      <c r="BM273" s="231">
        <v>42130</v>
      </c>
      <c r="BN273" s="228"/>
      <c r="BO273" s="232"/>
      <c r="BP273" s="233"/>
      <c r="BQ273" s="229">
        <v>42130</v>
      </c>
      <c r="BR273" s="466">
        <v>42130</v>
      </c>
      <c r="BS273" s="231">
        <v>42128</v>
      </c>
      <c r="BT273" s="229">
        <v>42128</v>
      </c>
      <c r="BU273" s="466">
        <v>42128</v>
      </c>
      <c r="BV273" s="228"/>
      <c r="BW273" s="491" t="str">
        <f t="shared" si="274"/>
        <v xml:space="preserve">1905 (for processing) 5/6/2015, 2305 (for processing) 5/6/2015, MDR 5/6/2015, </v>
      </c>
      <c r="BX273" s="518"/>
      <c r="BY273" s="518">
        <f t="shared" si="276"/>
        <v>11</v>
      </c>
      <c r="BZ273" s="519"/>
      <c r="CA273" s="524">
        <f t="shared" si="304"/>
        <v>195</v>
      </c>
      <c r="CB273" s="503">
        <f t="shared" si="305"/>
        <v>42128</v>
      </c>
      <c r="CC273" s="487">
        <f t="shared" ca="1" si="306"/>
        <v>3</v>
      </c>
      <c r="CD273" s="487">
        <f t="shared" si="307"/>
        <v>26</v>
      </c>
      <c r="CE273" s="487">
        <f t="shared" si="308"/>
        <v>6</v>
      </c>
      <c r="CF273" s="504">
        <f t="shared" si="309"/>
        <v>20</v>
      </c>
      <c r="CG273" s="505">
        <f t="shared" si="310"/>
        <v>0.55944055944055948</v>
      </c>
      <c r="CH273" s="487" t="str">
        <f t="shared" si="311"/>
        <v xml:space="preserve">Waiver (18) 1905 (15) </v>
      </c>
      <c r="CI273" s="503">
        <f t="shared" si="312"/>
        <v>42153</v>
      </c>
      <c r="CJ273" s="503">
        <f t="shared" si="313"/>
        <v>42153</v>
      </c>
      <c r="CK273" s="487">
        <f t="shared" si="314"/>
        <v>19</v>
      </c>
      <c r="CL273" s="487">
        <f t="shared" si="315"/>
        <v>15</v>
      </c>
      <c r="CM273" s="487">
        <f t="shared" si="316"/>
        <v>17</v>
      </c>
      <c r="CN273" s="487">
        <f t="shared" si="317"/>
        <v>14</v>
      </c>
      <c r="CO273" s="487">
        <f t="shared" si="318"/>
        <v>19</v>
      </c>
      <c r="CP273" s="487">
        <f t="shared" si="319"/>
        <v>14</v>
      </c>
      <c r="CQ273" s="487">
        <f t="shared" si="320"/>
        <v>14</v>
      </c>
      <c r="CR273" s="487">
        <f t="shared" si="321"/>
        <v>14</v>
      </c>
      <c r="CS273" s="487">
        <f t="shared" si="322"/>
        <v>8</v>
      </c>
      <c r="CT273" s="487">
        <f t="shared" si="323"/>
        <v>15</v>
      </c>
      <c r="CU273" s="487">
        <f t="shared" si="324"/>
        <v>11</v>
      </c>
      <c r="CV273" s="487">
        <f t="shared" si="325"/>
        <v>13</v>
      </c>
      <c r="CW273" s="487">
        <f t="shared" si="326"/>
        <v>6</v>
      </c>
      <c r="CX273" s="487">
        <f t="shared" si="327"/>
        <v>0</v>
      </c>
      <c r="CY273" s="487">
        <f t="shared" si="328"/>
        <v>26</v>
      </c>
    </row>
    <row r="274" spans="1:103" ht="15.75" thickTop="1" x14ac:dyDescent="0.25">
      <c r="A274" s="7">
        <v>196</v>
      </c>
      <c r="B274" s="16">
        <v>42135</v>
      </c>
      <c r="C274" s="1">
        <v>1082490</v>
      </c>
      <c r="D274" s="1" t="s">
        <v>3293</v>
      </c>
      <c r="E274" s="10" t="str">
        <f t="shared" si="329"/>
        <v xml:space="preserve">NBI, Waiver, </v>
      </c>
      <c r="F274" s="10" t="str">
        <f t="shared" si="330"/>
        <v xml:space="preserve">MDR, TOR, </v>
      </c>
      <c r="I274" s="16">
        <v>42137</v>
      </c>
      <c r="K274" s="152">
        <f t="shared" ca="1" si="303"/>
        <v>13</v>
      </c>
      <c r="N274" s="153" t="str">
        <f t="shared" si="331"/>
        <v/>
      </c>
      <c r="O274" s="1">
        <v>2</v>
      </c>
      <c r="R274" s="1">
        <v>9433884606</v>
      </c>
      <c r="S274" s="153">
        <f t="shared" ref="S274:S290" si="334">IFERROR(IF(SEARCH("/",R274)&gt;0,REPLACE(R274,11,11,""),R274),R274)</f>
        <v>9433884606</v>
      </c>
      <c r="T274" s="153" t="str">
        <f t="shared" ref="T274:T290" si="335">IFERROR(IF(SEARCH("/",R274)&gt;0,REPLACE(R274,1,11,""),""),"")</f>
        <v/>
      </c>
      <c r="U274" s="1" t="s">
        <v>3183</v>
      </c>
      <c r="V274" s="1" t="s">
        <v>3145</v>
      </c>
      <c r="W274" s="1" t="s">
        <v>3144</v>
      </c>
      <c r="X274" s="1" t="s">
        <v>3292</v>
      </c>
      <c r="Y274" s="1" t="s">
        <v>73</v>
      </c>
      <c r="Z274" s="1" t="s">
        <v>74</v>
      </c>
      <c r="AA274" s="1" t="s">
        <v>1232</v>
      </c>
      <c r="AC274" s="1" t="s">
        <v>741</v>
      </c>
      <c r="AD274" s="1" t="s">
        <v>1234</v>
      </c>
      <c r="AH274" s="1" t="s">
        <v>52</v>
      </c>
      <c r="AI274" s="1" t="s">
        <v>3146</v>
      </c>
      <c r="AJ274" s="153" t="str">
        <f t="shared" si="268"/>
        <v>Raymond Bunda</v>
      </c>
      <c r="AL274" s="1" t="s">
        <v>265</v>
      </c>
      <c r="AM274" s="1" t="s">
        <v>854</v>
      </c>
      <c r="AN274" s="16">
        <v>32351</v>
      </c>
      <c r="AO274" s="1" t="s">
        <v>3256</v>
      </c>
      <c r="AP274" s="1" t="s">
        <v>3256</v>
      </c>
      <c r="AQ274" s="1" t="s">
        <v>53</v>
      </c>
      <c r="AR274" s="1" t="s">
        <v>378</v>
      </c>
      <c r="AS274" s="169">
        <v>42137</v>
      </c>
      <c r="AT274" s="170">
        <v>42136</v>
      </c>
      <c r="AU274" s="170">
        <v>42136</v>
      </c>
      <c r="AW274" s="169">
        <v>42137</v>
      </c>
      <c r="AX274" s="112" t="s">
        <v>3258</v>
      </c>
      <c r="AZ274" s="170">
        <v>42137</v>
      </c>
      <c r="BA274" s="170">
        <v>42136</v>
      </c>
      <c r="BC274" s="169">
        <v>42137</v>
      </c>
      <c r="BD274" s="172" t="s">
        <v>3260</v>
      </c>
      <c r="BE274" s="169">
        <v>42137</v>
      </c>
      <c r="BF274" s="172" t="s">
        <v>3257</v>
      </c>
      <c r="BG274" s="169">
        <v>42137</v>
      </c>
      <c r="BH274" s="188" t="s">
        <v>3259</v>
      </c>
      <c r="BM274" s="169">
        <v>42137</v>
      </c>
      <c r="BP274" s="169">
        <v>42137</v>
      </c>
      <c r="BR274" s="181">
        <v>42137</v>
      </c>
      <c r="BS274" s="169">
        <v>42137</v>
      </c>
      <c r="BT274" s="170">
        <v>42137</v>
      </c>
      <c r="BU274" s="181">
        <v>42137</v>
      </c>
      <c r="BW274" s="152" t="str">
        <f t="shared" ref="BW274:BW289" si="336">IF(AZ274&gt;3,"1905 ","")&amp;IF(AND(M274="",AZ274&gt;3)=TRUE,"(for processing) ","")&amp;IF(AZ274&lt;4,"",MONTH(AZ274)&amp;"/"&amp;DAY(AZ274)&amp;"/"&amp;YEAR(AZ274)&amp;", ")&amp;IF(BA274&gt;3,"2305 ","")&amp;IF(AND(M274="",BA274&gt;3)=TRUE,"(for processing) ","")&amp;IF(BA274&lt;4,"",MONTH(BA274)&amp;"/"&amp;DAY(BA274)&amp;"/"&amp;YEAR(BA274)&amp;", ")&amp;IF(BI274&gt;0,"MDR ","")&amp;IF(BI274=0,"",MONTH(BI274)&amp;"/"&amp;DAY(BI274)&amp;"/"&amp;YEAR(BI274)&amp;", ")&amp;IF(BK274&gt;0,"NBI receipt "&amp;MONTH(BK274)&amp;"/"&amp;DAY(BK274)&amp;"/"&amp;YEAR(BK274)&amp;", ","") &amp;BV274</f>
        <v xml:space="preserve">1905 (for processing) 5/13/2015, 2305 (for processing) 5/12/2015, </v>
      </c>
      <c r="BY274" s="275">
        <f t="shared" ref="BY274:BY289" si="337">IF(O274="n","",11)</f>
        <v>11</v>
      </c>
      <c r="CA274" s="168" t="str">
        <f t="shared" ref="CA274:CA289" si="338">IF((A274-A275)=0,"",A274)</f>
        <v/>
      </c>
      <c r="CB274" s="151" t="str">
        <f t="shared" ref="CB274:CB289" si="339">IFERROR(CA274*7+40763,"")</f>
        <v/>
      </c>
      <c r="CC274" s="153" t="str">
        <f t="shared" ref="CC274:CC289" ca="1" si="340">IFERROR(ROUND(IF(CB274="","",(TODAY()-CB274)/7)+1,0),"")</f>
        <v/>
      </c>
      <c r="CD274" s="153" t="str">
        <f t="shared" ref="CD274:CD289" si="341">IF(CG274="","",CY274)</f>
        <v/>
      </c>
      <c r="CE274" s="153" t="str">
        <f t="shared" ref="CE274:CE289" si="342">IF(CG274="","",CW274)</f>
        <v/>
      </c>
      <c r="CF274" s="396" t="str">
        <f t="shared" ref="CF274:CF289" si="343">IF(CG274="","",CY274-CW274)</f>
        <v/>
      </c>
      <c r="CG274" s="397" t="str">
        <f t="shared" ref="CG274:CG289" si="344">IF(CB274="","",SUM(CK274:CU274)/((CY274)*11))</f>
        <v/>
      </c>
      <c r="CH274" s="153" t="str">
        <f t="shared" ref="CH274:CH289" si="345">IF(CB274="","",IF(MIN(CK274:CU274)&gt;CY274,"",CONCATENATE(IF(SUM(IF(CK274&lt;CL274,1,0),IF(CK274&lt;CM274,1,0),IF(CK274&lt;CN274,1,0),IF(CK274&lt;CO274,1,0),IF(CK274&lt;CP274,1,0),IF(CK274&lt;CQ274,1,0),IF(CK274&lt;CR274,1,0),IF(CK274&lt;CS274,1,0),IF(CK274&lt;CT274,1,0),IF(CK274&lt;CU274,1,0))&gt;7,"SSS ("&amp;CY274-CK274&amp;") ",""),IF(SUM(IF(CL274&lt;CK274,1,0),IF(CL274&lt;CM274,1,0),IF(CL274&lt;CN274,1,0),IF(CL274&lt;CO274,1,0),IF(CL274&lt;CP274,1,0),IF(CL274&lt;CQ274,1,0),IF(CL274&lt;CR274,1,0),IF(CL274&lt;CS274,1,0),IF(CL274&lt;CT274,1,0),IF(CL274&lt;CU274,1,0))&gt;7,"HDMF ("&amp;CY274-CL274&amp;") ",""),IF(SUM(IF(CM274&lt;CK274,1,0),IF(CM274&lt;CL274,1,0),IF(CM274&lt;CN274,1,0),IF(CM274&lt;CO274,1,0),IF(CM274&lt;CP274,1,0),IF(CM274&lt;CQ274,1,0),IF(CM274&lt;CR274,1,0),IF(CM274&lt;CS274,1,0),IF(CM274&lt;CT274,1,0),IF(CM274&lt;CU274,1,0))&gt;7,"PHIC ("&amp;CY274-CM274&amp;") ",""),IF(SUM(IF(CN274&lt;CK274,1,0),IF(CN274&lt;CL274,1,0),IF(CN274&lt;CM274,1,0),IF(CN274&lt;CO274,1,0),IF(CN274&lt;CP274,1,0),IF(CN274&lt;CQ274,1,0),IF(CN274&lt;CR274,1,0),IF(CN274&lt;CS274,1,0),IF(CN274&lt;CT274,1,0),IF(CN274&lt;CU274,1,0))&gt;7,"NBI ("&amp;CY274-CN274&amp;") ",""),IF(SUM(IF(CO274&lt;CK274,1,0),IF(CO274&lt;CL274,1,0),IF(CO274&lt;CN274,1,0),IF(CO274&lt;CM274,1,0),IF(CO274&lt;CP274,1,0),IF(CO274&lt;CQ274,1,0),IF(CO274&lt;CR274,1,0),IF(CO274&lt;CS274,1,0),IF(CO274&lt;CT274,1,0),IF(CO274&lt;CU274,1,0))&gt;7,"NSO ("&amp;CY274-CO274&amp;") ",""),IF(SUM(IF(CP274&lt;CK274,1,0),IF(CP274&lt;CL274,1,0),IF(CP274&lt;CN274,1,0),IF(CP274&lt;CO274,1,0),IF(CP274&lt;CM274,1,0),IF(CP274&lt;CQ274,1,0),IF(CP274&lt;CR274,1,0),IF(CP274&lt;CS274,1,0),IF(CP274&lt;CT274,1,0),IF(CP274&lt;CU274,1,0))&gt;7,"Info ("&amp;CY274-CP274&amp;") ",""),IF(SUM(IF(CQ274&lt;CK274,1,0),IF(CQ274&lt;CL274,1,0),IF(CQ274&lt;CN274,1,0),IF(CQ274&lt;CO274,1,0),IF(CQ274&lt;CP274,1,0),IF(CQ274&lt;CM274,1,0),IF(CQ274&lt;CR274,1,0),IF(CQ274&lt;CS274,1,0),IF(CQ274&lt;CT274,1,0),IF(CQ274&lt;CU274,1,0))&gt;7,"AWOL ("&amp;CY274-CQ274&amp;") ",""),IF(SUM(IF(CR274&lt;CK274,1,0),IF(CR274&lt;CL274,1,0),IF(CR274&lt;CN274,1,0),IF(CR274&lt;CO274,1,0),IF(CR274&lt;CP274,1,0),IF(CR274&lt;CQ274,1,0),IF(CR274&lt;CM274,1,0),IF(CR274&lt;CS274,1,0),IF(CR274&lt;CT274,1,0),IF(CR274&lt;CU274,1,0))&gt;7,"Hand ("&amp;CY274-CR274&amp;") ",""),IF(SUM(IF(CS274&lt;CK274,1,0),IF(CS274&lt;CL274,1,0),IF(CS274&lt;CN274,1,0),IF(CS274&lt;CO274,1,0),IF(CS274&lt;CP274,1,0),IF(CS274&lt;CQ274,1,0),IF(CS274&lt;CR274,1,0),IF(CS274&lt;CM274,1,0),IF(CS274&lt;CT274,1,0),IF(CS274&lt;CU274,1,0))&gt;7,"Waiver ("&amp;CY274-CS274&amp;") ",""),IF(SUM(IF(CT274&lt;CK274,1,0),IF(CT274&lt;CL274,1,0),IF(CT274&lt;CN274,1,0),IF(CT274&lt;CO274,1,0),IF(CT274&lt;CP274,1,0),IF(CT274&lt;CQ274,1,0),IF(CT274&lt;CR274,1,0),IF(CT274&lt;CS274,1,0),IF(CT274&lt;CM274,1,0),IF(CT274&lt;CU274,1,0))&gt;7,"TIN ("&amp;CY274-CT274&amp;") ",""),IF(SUM(IF(CU274&lt;CK274,1,0),IF(CU274&lt;CL274,1,0),IF(CU274&lt;CN274,1,0),IF(CU274&lt;CO274,1,0),IF(CU274&lt;CP274,1,0),IF(CU274&lt;CQ274,1,0),IF(CU274&lt;CR274,1,0),IF(CU274&lt;CS274,1,0),IF(CU274&lt;CT274,1,0),IF(CU274&lt;CM274,1,0))&gt;7,"1905 ("&amp;CY274-CU274&amp;") ",""))))</f>
        <v/>
      </c>
      <c r="CI274" s="151" t="str">
        <f t="shared" ref="CI274:CI289" si="346">IF(CA274="","",CJ274)</f>
        <v/>
      </c>
      <c r="CJ274" s="151" t="str">
        <f t="shared" ref="CJ274:CJ289" si="347">IF(CA273="",IF(IF(CJ273="",0,CJ273)&gt;L274,IF(CJ273="","",CJ273),IF(L274="","",L274)),IF(L274="","",L274))</f>
        <v/>
      </c>
      <c r="CK274" s="153">
        <f t="shared" ref="CK274:CK289" si="348">IF(CB273="",CK273+IF(IF(O274="n",0,COUNT(BC274))=1,1,0),IF(IF(O274="n",0,COUNT(BC274))=1,1,0))</f>
        <v>1</v>
      </c>
      <c r="CL274" s="153">
        <f t="shared" ref="CL274:CL289" si="349">IF(CB273="",CL273+IF(IF(O274="n",0,COUNT(BE274))=1,1,0),IF(IF(O274="n",0,COUNT(BE274))=1,1,0))</f>
        <v>1</v>
      </c>
      <c r="CM274" s="153">
        <f t="shared" ref="CM274:CM289" si="350">IF(CB273="",CM273+IF(IF(O274="n",0,COUNT(BG274))=1,1,0),IF(IF(O274="n",0,COUNT(BG274))=1,1,0))</f>
        <v>1</v>
      </c>
      <c r="CN274" s="153">
        <f t="shared" ref="CN274:CN289" si="351">IF(CB273="",CN273+IF(IF(O274="n",0,COUNT(BJ274))=1,1,0),IF(IF(O274="n",0,COUNT(BJ274))=1,1,0))</f>
        <v>0</v>
      </c>
      <c r="CO274" s="153">
        <f t="shared" ref="CO274:CO289" si="352">IF(CB273="",CO273+IF(IF(O274="n",0,COUNT(BM274))=1,1,0),IF(IF(O274="n",0,COUNT(BM274))=1,1,0))</f>
        <v>1</v>
      </c>
      <c r="CP274" s="153">
        <f t="shared" ref="CP274:CP289" si="353">IF(CB273="",CP273+IF(IF(O274="n",0,COUNT(AS274))=1,1,0),IF(IF(O274="n",0,COUNT(AS274))=1,1,0))</f>
        <v>1</v>
      </c>
      <c r="CQ274" s="153">
        <f t="shared" ref="CQ274:CQ289" si="354">IF(CB273="",CQ273+IF(IF(O274="n",0,COUNT(AT274))=1,1,0),IF(IF(O274="n",0,COUNT(AT274))=1,1,0))</f>
        <v>1</v>
      </c>
      <c r="CR274" s="153">
        <f t="shared" ref="CR274:CR289" si="355">IF(CB273="",CR273+IF(IF(O274="n",0,COUNT(AU274))=1,1,0),IF(IF(O274="n",0,COUNT(AU274))=1,1,0))</f>
        <v>1</v>
      </c>
      <c r="CS274" s="153">
        <f t="shared" ref="CS274:CS289" si="356">IF(CB273="",CS273+IF(IF(O274="n",0,COUNT(AV274))=1,1,0),IF(IF(O274="n",0,COUNT(AV274))=1,1,0))</f>
        <v>0</v>
      </c>
      <c r="CT274" s="153">
        <f t="shared" ref="CT274:CT289" si="357">IF(CB273="",CT273+IF(IF(O274="n",0,COUNT(AW274))=1,1,0),IF(IF(O274="n",0,COUNT(AW274))=1,1,0))</f>
        <v>1</v>
      </c>
      <c r="CU274" s="153">
        <f t="shared" ref="CU274:CU289" si="358">IF(CB273="",CU273+IF(IF(O274="n",0,COUNT(AZ274))=1,1,0),IF(IF(O274="n",0,COUNT(AZ274))=1,1,0))</f>
        <v>1</v>
      </c>
      <c r="CV274" s="153">
        <f t="shared" ref="CV274:CV289" si="359">IF(CB273="",CV273+IF(IF(O274="n",0,COUNT(BA274))=1,1,0),IF(IF(O274="n",0,COUNT(BA274))=1,1,0))</f>
        <v>1</v>
      </c>
      <c r="CW274" s="153">
        <f t="shared" ref="CW274:CW289" si="360">IF(CB273="",CW273+IF(O274="c",1,0),IF(O274="c",1,0))</f>
        <v>0</v>
      </c>
      <c r="CX274" s="153">
        <f t="shared" ref="CX274:CX289" si="361">IF(CB273="",CX273+IF(O274="n",1,0),IF(O274="n",1,0))</f>
        <v>0</v>
      </c>
      <c r="CY274" s="153">
        <f t="shared" ref="CY274:CY289" si="362">IF(CB273="",IF(O274="n",CY273,1+CY273),IF(O274="n",0,1))</f>
        <v>1</v>
      </c>
    </row>
    <row r="275" spans="1:103" x14ac:dyDescent="0.25">
      <c r="A275" s="7">
        <v>196</v>
      </c>
      <c r="B275" s="16">
        <v>42135</v>
      </c>
      <c r="C275" s="1">
        <v>1082491</v>
      </c>
      <c r="D275" s="1" t="s">
        <v>3210</v>
      </c>
      <c r="E275" s="10" t="str">
        <f t="shared" si="329"/>
        <v xml:space="preserve">NBI, Waiver, </v>
      </c>
      <c r="F275" s="10" t="str">
        <f t="shared" si="330"/>
        <v xml:space="preserve">MDR, COE, 2x2, </v>
      </c>
      <c r="I275" s="16">
        <v>42137</v>
      </c>
      <c r="K275" s="152">
        <f t="shared" ca="1" si="303"/>
        <v>13</v>
      </c>
      <c r="N275" s="153" t="str">
        <f t="shared" si="331"/>
        <v/>
      </c>
      <c r="O275" s="1">
        <v>2</v>
      </c>
      <c r="R275" s="1">
        <v>9368220115</v>
      </c>
      <c r="S275" s="153">
        <f t="shared" si="334"/>
        <v>9368220115</v>
      </c>
      <c r="T275" s="153" t="str">
        <f t="shared" si="335"/>
        <v/>
      </c>
      <c r="U275" s="1" t="s">
        <v>3184</v>
      </c>
      <c r="V275" s="1" t="s">
        <v>3148</v>
      </c>
      <c r="W275" s="1" t="s">
        <v>3147</v>
      </c>
      <c r="X275" s="1" t="s">
        <v>3291</v>
      </c>
      <c r="Y275" s="1" t="s">
        <v>73</v>
      </c>
      <c r="Z275" s="1" t="s">
        <v>74</v>
      </c>
      <c r="AA275" s="1" t="s">
        <v>1232</v>
      </c>
      <c r="AC275" s="1" t="s">
        <v>741</v>
      </c>
      <c r="AD275" s="1" t="s">
        <v>1234</v>
      </c>
      <c r="AH275" s="1" t="s">
        <v>52</v>
      </c>
      <c r="AI275" s="1" t="s">
        <v>253</v>
      </c>
      <c r="AJ275" s="153" t="str">
        <f t="shared" si="268"/>
        <v/>
      </c>
      <c r="AL275" s="1" t="s">
        <v>259</v>
      </c>
      <c r="AM275" s="1" t="s">
        <v>854</v>
      </c>
      <c r="AN275" s="16">
        <v>30888</v>
      </c>
      <c r="AO275" s="1" t="s">
        <v>3200</v>
      </c>
      <c r="AP275" s="1" t="s">
        <v>3200</v>
      </c>
      <c r="AQ275" s="1" t="s">
        <v>53</v>
      </c>
      <c r="AR275" s="1" t="s">
        <v>973</v>
      </c>
      <c r="AS275" s="169">
        <v>42139</v>
      </c>
      <c r="AT275" s="170">
        <v>42136</v>
      </c>
      <c r="AU275" s="170">
        <v>42136</v>
      </c>
      <c r="AW275" s="169">
        <v>42139</v>
      </c>
      <c r="AX275" s="112" t="s">
        <v>3202</v>
      </c>
      <c r="AZ275" s="170">
        <v>42139</v>
      </c>
      <c r="BA275" s="170">
        <v>42136</v>
      </c>
      <c r="BC275" s="169">
        <v>42140</v>
      </c>
      <c r="BD275" s="172" t="s">
        <v>3279</v>
      </c>
      <c r="BE275" s="169">
        <v>42140</v>
      </c>
      <c r="BF275" s="172" t="s">
        <v>3278</v>
      </c>
      <c r="BG275" s="169">
        <v>42139</v>
      </c>
      <c r="BH275" s="188" t="s">
        <v>3201</v>
      </c>
      <c r="BK275" s="170">
        <v>42140</v>
      </c>
      <c r="BM275" s="169">
        <v>42139</v>
      </c>
      <c r="BO275" s="181">
        <v>42139</v>
      </c>
      <c r="BQ275" s="170">
        <v>42140</v>
      </c>
      <c r="BS275" s="169">
        <v>42137</v>
      </c>
      <c r="BT275" s="170">
        <v>42137</v>
      </c>
      <c r="BU275" s="181">
        <v>42137</v>
      </c>
      <c r="BW275" s="152" t="str">
        <f t="shared" si="336"/>
        <v xml:space="preserve">1905 (for processing) 5/15/2015, 2305 (for processing) 5/12/2015, NBI receipt 5/16/2015, </v>
      </c>
      <c r="BY275" s="275">
        <f t="shared" si="337"/>
        <v>11</v>
      </c>
      <c r="CA275" s="168" t="str">
        <f t="shared" si="338"/>
        <v/>
      </c>
      <c r="CB275" s="151" t="str">
        <f t="shared" si="339"/>
        <v/>
      </c>
      <c r="CC275" s="153" t="str">
        <f t="shared" ca="1" si="340"/>
        <v/>
      </c>
      <c r="CD275" s="153" t="str">
        <f t="shared" si="341"/>
        <v/>
      </c>
      <c r="CE275" s="153" t="str">
        <f t="shared" si="342"/>
        <v/>
      </c>
      <c r="CF275" s="396" t="str">
        <f t="shared" si="343"/>
        <v/>
      </c>
      <c r="CG275" s="397" t="str">
        <f t="shared" si="344"/>
        <v/>
      </c>
      <c r="CH275" s="153" t="str">
        <f t="shared" si="345"/>
        <v/>
      </c>
      <c r="CI275" s="151" t="str">
        <f t="shared" si="346"/>
        <v/>
      </c>
      <c r="CJ275" s="151" t="str">
        <f t="shared" si="347"/>
        <v/>
      </c>
      <c r="CK275" s="153">
        <f t="shared" si="348"/>
        <v>2</v>
      </c>
      <c r="CL275" s="153">
        <f t="shared" si="349"/>
        <v>2</v>
      </c>
      <c r="CM275" s="153">
        <f t="shared" si="350"/>
        <v>2</v>
      </c>
      <c r="CN275" s="153">
        <f t="shared" si="351"/>
        <v>0</v>
      </c>
      <c r="CO275" s="153">
        <f t="shared" si="352"/>
        <v>2</v>
      </c>
      <c r="CP275" s="153">
        <f t="shared" si="353"/>
        <v>2</v>
      </c>
      <c r="CQ275" s="153">
        <f t="shared" si="354"/>
        <v>2</v>
      </c>
      <c r="CR275" s="153">
        <f t="shared" si="355"/>
        <v>2</v>
      </c>
      <c r="CS275" s="153">
        <f t="shared" si="356"/>
        <v>0</v>
      </c>
      <c r="CT275" s="153">
        <f t="shared" si="357"/>
        <v>2</v>
      </c>
      <c r="CU275" s="153">
        <f t="shared" si="358"/>
        <v>2</v>
      </c>
      <c r="CV275" s="153">
        <f t="shared" si="359"/>
        <v>2</v>
      </c>
      <c r="CW275" s="153">
        <f t="shared" si="360"/>
        <v>0</v>
      </c>
      <c r="CX275" s="153">
        <f t="shared" si="361"/>
        <v>0</v>
      </c>
      <c r="CY275" s="153">
        <f t="shared" si="362"/>
        <v>2</v>
      </c>
    </row>
    <row r="276" spans="1:103" x14ac:dyDescent="0.25">
      <c r="A276" s="7">
        <v>196</v>
      </c>
      <c r="B276" s="16">
        <v>42135</v>
      </c>
      <c r="C276" s="1">
        <v>1082492</v>
      </c>
      <c r="D276" s="1" t="s">
        <v>3237</v>
      </c>
      <c r="E276" s="10" t="str">
        <f t="shared" si="329"/>
        <v xml:space="preserve">HDMF, NBI, Info, Waiver, 1905, </v>
      </c>
      <c r="F276" s="10" t="str">
        <f t="shared" si="330"/>
        <v xml:space="preserve">MDR, COE, 2x2, </v>
      </c>
      <c r="I276" s="16">
        <v>42137</v>
      </c>
      <c r="K276" s="152">
        <f t="shared" ca="1" si="303"/>
        <v>13</v>
      </c>
      <c r="N276" s="153" t="str">
        <f t="shared" si="331"/>
        <v>READY!</v>
      </c>
      <c r="O276" s="1">
        <v>2</v>
      </c>
      <c r="R276" s="1">
        <v>9487098763</v>
      </c>
      <c r="S276" s="153">
        <f t="shared" si="334"/>
        <v>9487098763</v>
      </c>
      <c r="T276" s="153" t="str">
        <f t="shared" si="335"/>
        <v/>
      </c>
      <c r="U276" s="1" t="s">
        <v>3185</v>
      </c>
      <c r="V276" s="1" t="s">
        <v>3150</v>
      </c>
      <c r="W276" s="1" t="s">
        <v>3149</v>
      </c>
      <c r="X276" s="1" t="s">
        <v>3289</v>
      </c>
      <c r="Y276" s="1" t="s">
        <v>73</v>
      </c>
      <c r="Z276" s="1" t="s">
        <v>70</v>
      </c>
      <c r="AA276" s="1" t="s">
        <v>1233</v>
      </c>
      <c r="AC276" s="1" t="s">
        <v>741</v>
      </c>
      <c r="AD276" s="1" t="s">
        <v>1038</v>
      </c>
      <c r="AH276" s="1" t="s">
        <v>52</v>
      </c>
      <c r="AI276" s="1" t="s">
        <v>3151</v>
      </c>
      <c r="AJ276" s="153" t="str">
        <f t="shared" si="268"/>
        <v>Roxanne Verdera</v>
      </c>
      <c r="AL276" s="1" t="s">
        <v>1475</v>
      </c>
      <c r="AM276" s="1" t="s">
        <v>854</v>
      </c>
      <c r="AN276" s="16">
        <v>32716</v>
      </c>
      <c r="AT276" s="170">
        <v>42136</v>
      </c>
      <c r="AU276" s="170">
        <v>42136</v>
      </c>
      <c r="AW276" s="169">
        <v>42139</v>
      </c>
      <c r="AX276" s="112" t="s">
        <v>3239</v>
      </c>
      <c r="BA276" s="170">
        <v>42136</v>
      </c>
      <c r="BC276" s="169">
        <v>42139</v>
      </c>
      <c r="BD276" s="172" t="s">
        <v>3240</v>
      </c>
      <c r="BG276" s="169">
        <v>42139</v>
      </c>
      <c r="BH276" s="188" t="s">
        <v>3238</v>
      </c>
      <c r="BM276" s="169">
        <v>42139</v>
      </c>
      <c r="BQ276" s="170">
        <v>42139</v>
      </c>
      <c r="BR276" s="181"/>
      <c r="BS276" s="169">
        <v>42137</v>
      </c>
      <c r="BT276" s="170">
        <v>42137</v>
      </c>
      <c r="BU276" s="181">
        <v>42137</v>
      </c>
      <c r="BV276" s="172" t="s">
        <v>3204</v>
      </c>
      <c r="BW276" s="152" t="str">
        <f t="shared" si="336"/>
        <v>2305 (for processing) 5/12/2015, 2316 (2014) - 5/15/2015</v>
      </c>
      <c r="BY276" s="275">
        <f t="shared" si="337"/>
        <v>11</v>
      </c>
      <c r="CA276" s="168" t="str">
        <f t="shared" si="338"/>
        <v/>
      </c>
      <c r="CB276" s="151" t="str">
        <f t="shared" si="339"/>
        <v/>
      </c>
      <c r="CC276" s="153" t="str">
        <f t="shared" ca="1" si="340"/>
        <v/>
      </c>
      <c r="CD276" s="153" t="str">
        <f t="shared" si="341"/>
        <v/>
      </c>
      <c r="CE276" s="153" t="str">
        <f t="shared" si="342"/>
        <v/>
      </c>
      <c r="CF276" s="396" t="str">
        <f t="shared" si="343"/>
        <v/>
      </c>
      <c r="CG276" s="397" t="str">
        <f t="shared" si="344"/>
        <v/>
      </c>
      <c r="CH276" s="153" t="str">
        <f t="shared" si="345"/>
        <v/>
      </c>
      <c r="CI276" s="151" t="str">
        <f t="shared" si="346"/>
        <v/>
      </c>
      <c r="CJ276" s="151" t="str">
        <f t="shared" si="347"/>
        <v/>
      </c>
      <c r="CK276" s="153">
        <f t="shared" si="348"/>
        <v>3</v>
      </c>
      <c r="CL276" s="153">
        <f t="shared" si="349"/>
        <v>2</v>
      </c>
      <c r="CM276" s="153">
        <f t="shared" si="350"/>
        <v>3</v>
      </c>
      <c r="CN276" s="153">
        <f t="shared" si="351"/>
        <v>0</v>
      </c>
      <c r="CO276" s="153">
        <f t="shared" si="352"/>
        <v>3</v>
      </c>
      <c r="CP276" s="153">
        <f t="shared" si="353"/>
        <v>2</v>
      </c>
      <c r="CQ276" s="153">
        <f t="shared" si="354"/>
        <v>3</v>
      </c>
      <c r="CR276" s="153">
        <f t="shared" si="355"/>
        <v>3</v>
      </c>
      <c r="CS276" s="153">
        <f t="shared" si="356"/>
        <v>0</v>
      </c>
      <c r="CT276" s="153">
        <f t="shared" si="357"/>
        <v>3</v>
      </c>
      <c r="CU276" s="153">
        <f t="shared" si="358"/>
        <v>2</v>
      </c>
      <c r="CV276" s="153">
        <f t="shared" si="359"/>
        <v>3</v>
      </c>
      <c r="CW276" s="153">
        <f t="shared" si="360"/>
        <v>0</v>
      </c>
      <c r="CX276" s="153">
        <f t="shared" si="361"/>
        <v>0</v>
      </c>
      <c r="CY276" s="153">
        <f t="shared" si="362"/>
        <v>3</v>
      </c>
    </row>
    <row r="277" spans="1:103" x14ac:dyDescent="0.25">
      <c r="A277" s="7">
        <v>196</v>
      </c>
      <c r="B277" s="16">
        <v>42135</v>
      </c>
      <c r="C277" s="1">
        <v>1082493</v>
      </c>
      <c r="D277" s="1" t="s">
        <v>3211</v>
      </c>
      <c r="E277" s="10" t="str">
        <f t="shared" si="329"/>
        <v xml:space="preserve">NBI, Info, Waiver, </v>
      </c>
      <c r="F277" s="10" t="str">
        <f t="shared" si="330"/>
        <v xml:space="preserve">MDR, TOR, 2x2, </v>
      </c>
      <c r="I277" s="16">
        <v>42137</v>
      </c>
      <c r="K277" s="152">
        <f t="shared" ca="1" si="303"/>
        <v>13</v>
      </c>
      <c r="N277" s="153" t="str">
        <f t="shared" si="331"/>
        <v>READY!</v>
      </c>
      <c r="O277" s="1">
        <v>2</v>
      </c>
      <c r="R277" s="1">
        <v>9061991073</v>
      </c>
      <c r="S277" s="153">
        <f t="shared" si="334"/>
        <v>9061991073</v>
      </c>
      <c r="T277" s="153" t="str">
        <f t="shared" si="335"/>
        <v/>
      </c>
      <c r="U277" s="1" t="s">
        <v>3186</v>
      </c>
      <c r="V277" s="1" t="s">
        <v>3153</v>
      </c>
      <c r="W277" s="1" t="s">
        <v>3152</v>
      </c>
      <c r="X277" s="1" t="s">
        <v>3288</v>
      </c>
      <c r="Y277" s="1" t="s">
        <v>73</v>
      </c>
      <c r="Z277" s="1" t="s">
        <v>74</v>
      </c>
      <c r="AA277" s="1" t="s">
        <v>1232</v>
      </c>
      <c r="AC277" s="1" t="s">
        <v>741</v>
      </c>
      <c r="AD277" s="1" t="s">
        <v>1234</v>
      </c>
      <c r="AH277" s="1" t="s">
        <v>52</v>
      </c>
      <c r="AI277" s="1" t="s">
        <v>253</v>
      </c>
      <c r="AJ277" s="153" t="str">
        <f t="shared" si="268"/>
        <v/>
      </c>
      <c r="AL277" s="1" t="s">
        <v>259</v>
      </c>
      <c r="AM277" s="1" t="s">
        <v>854</v>
      </c>
      <c r="AN277" s="16">
        <v>33420</v>
      </c>
      <c r="AT277" s="170">
        <v>42136</v>
      </c>
      <c r="AU277" s="170">
        <v>42136</v>
      </c>
      <c r="AW277" s="169">
        <v>42139</v>
      </c>
      <c r="AX277" s="112" t="s">
        <v>3203</v>
      </c>
      <c r="AZ277" s="170">
        <v>42139</v>
      </c>
      <c r="BA277" s="170">
        <v>42139</v>
      </c>
      <c r="BC277" s="169">
        <v>42139</v>
      </c>
      <c r="BD277" s="172" t="s">
        <v>3206</v>
      </c>
      <c r="BE277" s="169">
        <v>42139</v>
      </c>
      <c r="BF277" s="172" t="s">
        <v>3205</v>
      </c>
      <c r="BG277" s="169">
        <v>42139</v>
      </c>
      <c r="BH277" s="188" t="s">
        <v>3207</v>
      </c>
      <c r="BM277" s="169">
        <v>42139</v>
      </c>
      <c r="BR277" s="181">
        <v>42139</v>
      </c>
      <c r="BS277" s="169">
        <v>42137</v>
      </c>
      <c r="BT277" s="170">
        <v>42137</v>
      </c>
      <c r="BU277" s="181">
        <v>42137</v>
      </c>
      <c r="BV277" s="172" t="s">
        <v>3204</v>
      </c>
      <c r="BW277" s="152" t="str">
        <f t="shared" si="336"/>
        <v>1905 (for processing) 5/15/2015, 2305 (for processing) 5/15/2015, 2316 (2014) - 5/15/2015</v>
      </c>
      <c r="BY277" s="275">
        <f t="shared" si="337"/>
        <v>11</v>
      </c>
      <c r="CA277" s="168" t="str">
        <f t="shared" si="338"/>
        <v/>
      </c>
      <c r="CB277" s="151" t="str">
        <f t="shared" si="339"/>
        <v/>
      </c>
      <c r="CC277" s="153" t="str">
        <f t="shared" ca="1" si="340"/>
        <v/>
      </c>
      <c r="CD277" s="153" t="str">
        <f t="shared" si="341"/>
        <v/>
      </c>
      <c r="CE277" s="153" t="str">
        <f t="shared" si="342"/>
        <v/>
      </c>
      <c r="CF277" s="396" t="str">
        <f t="shared" si="343"/>
        <v/>
      </c>
      <c r="CG277" s="397" t="str">
        <f t="shared" si="344"/>
        <v/>
      </c>
      <c r="CH277" s="153" t="str">
        <f t="shared" si="345"/>
        <v/>
      </c>
      <c r="CI277" s="151" t="str">
        <f t="shared" si="346"/>
        <v/>
      </c>
      <c r="CJ277" s="151" t="str">
        <f t="shared" si="347"/>
        <v/>
      </c>
      <c r="CK277" s="153">
        <f t="shared" si="348"/>
        <v>4</v>
      </c>
      <c r="CL277" s="153">
        <f t="shared" si="349"/>
        <v>3</v>
      </c>
      <c r="CM277" s="153">
        <f t="shared" si="350"/>
        <v>4</v>
      </c>
      <c r="CN277" s="153">
        <f t="shared" si="351"/>
        <v>0</v>
      </c>
      <c r="CO277" s="153">
        <f t="shared" si="352"/>
        <v>4</v>
      </c>
      <c r="CP277" s="153">
        <f t="shared" si="353"/>
        <v>2</v>
      </c>
      <c r="CQ277" s="153">
        <f t="shared" si="354"/>
        <v>4</v>
      </c>
      <c r="CR277" s="153">
        <f t="shared" si="355"/>
        <v>4</v>
      </c>
      <c r="CS277" s="153">
        <f t="shared" si="356"/>
        <v>0</v>
      </c>
      <c r="CT277" s="153">
        <f t="shared" si="357"/>
        <v>4</v>
      </c>
      <c r="CU277" s="153">
        <f t="shared" si="358"/>
        <v>3</v>
      </c>
      <c r="CV277" s="153">
        <f t="shared" si="359"/>
        <v>4</v>
      </c>
      <c r="CW277" s="153">
        <f t="shared" si="360"/>
        <v>0</v>
      </c>
      <c r="CX277" s="153">
        <f t="shared" si="361"/>
        <v>0</v>
      </c>
      <c r="CY277" s="153">
        <f t="shared" si="362"/>
        <v>4</v>
      </c>
    </row>
    <row r="278" spans="1:103" x14ac:dyDescent="0.25">
      <c r="A278" s="7">
        <v>196</v>
      </c>
      <c r="B278" s="16">
        <v>42135</v>
      </c>
      <c r="C278" s="1">
        <v>1082494</v>
      </c>
      <c r="D278" s="1" t="s">
        <v>3177</v>
      </c>
      <c r="E278" s="10" t="str">
        <f t="shared" si="329"/>
        <v xml:space="preserve">SSS, HDMF, PHIC, NBI, NSO, Info, Waiver, TIN, 1905, </v>
      </c>
      <c r="F278" s="10" t="str">
        <f t="shared" si="330"/>
        <v xml:space="preserve">MDR, TOR, COE, 2x2, </v>
      </c>
      <c r="I278" s="16">
        <v>42137</v>
      </c>
      <c r="K278" s="152">
        <f t="shared" ca="1" si="303"/>
        <v>13</v>
      </c>
      <c r="N278" s="153" t="str">
        <f t="shared" si="331"/>
        <v/>
      </c>
      <c r="O278" s="1">
        <v>2</v>
      </c>
      <c r="R278" s="1">
        <v>9771396486</v>
      </c>
      <c r="S278" s="153">
        <f t="shared" si="334"/>
        <v>9771396486</v>
      </c>
      <c r="T278" s="153" t="str">
        <f t="shared" si="335"/>
        <v/>
      </c>
      <c r="U278" s="1" t="s">
        <v>3187</v>
      </c>
      <c r="V278" s="1" t="s">
        <v>3154</v>
      </c>
      <c r="W278" s="1" t="s">
        <v>3176</v>
      </c>
      <c r="X278" s="1" t="s">
        <v>3294</v>
      </c>
      <c r="Y278" s="1" t="s">
        <v>73</v>
      </c>
      <c r="Z278" s="1" t="s">
        <v>70</v>
      </c>
      <c r="AA278" s="1" t="s">
        <v>1233</v>
      </c>
      <c r="AC278" s="1" t="s">
        <v>741</v>
      </c>
      <c r="AD278" s="1" t="s">
        <v>1038</v>
      </c>
      <c r="AH278" s="1" t="s">
        <v>52</v>
      </c>
      <c r="AI278" s="1" t="s">
        <v>253</v>
      </c>
      <c r="AJ278" s="153" t="str">
        <f t="shared" si="268"/>
        <v/>
      </c>
      <c r="AL278" s="1" t="s">
        <v>558</v>
      </c>
      <c r="AM278" s="1" t="s">
        <v>854</v>
      </c>
      <c r="AN278" s="16">
        <v>33830</v>
      </c>
      <c r="AT278" s="170">
        <v>42136</v>
      </c>
      <c r="AU278" s="170">
        <v>42136</v>
      </c>
      <c r="BA278" s="170">
        <v>42136</v>
      </c>
      <c r="BS278" s="169">
        <v>42137</v>
      </c>
      <c r="BT278" s="170">
        <v>42137</v>
      </c>
      <c r="BU278" s="181">
        <v>42137</v>
      </c>
      <c r="BW278" s="152" t="str">
        <f t="shared" si="336"/>
        <v xml:space="preserve">2305 (for processing) 5/12/2015, </v>
      </c>
      <c r="BY278" s="275">
        <f t="shared" si="337"/>
        <v>11</v>
      </c>
      <c r="CA278" s="168" t="str">
        <f t="shared" si="338"/>
        <v/>
      </c>
      <c r="CB278" s="151" t="str">
        <f t="shared" si="339"/>
        <v/>
      </c>
      <c r="CC278" s="153" t="str">
        <f t="shared" ca="1" si="340"/>
        <v/>
      </c>
      <c r="CD278" s="153" t="str">
        <f t="shared" si="341"/>
        <v/>
      </c>
      <c r="CE278" s="153" t="str">
        <f t="shared" si="342"/>
        <v/>
      </c>
      <c r="CF278" s="396" t="str">
        <f t="shared" si="343"/>
        <v/>
      </c>
      <c r="CG278" s="397" t="str">
        <f t="shared" si="344"/>
        <v/>
      </c>
      <c r="CH278" s="153" t="str">
        <f t="shared" si="345"/>
        <v/>
      </c>
      <c r="CI278" s="151" t="str">
        <f t="shared" si="346"/>
        <v/>
      </c>
      <c r="CJ278" s="151" t="str">
        <f t="shared" si="347"/>
        <v/>
      </c>
      <c r="CK278" s="153">
        <f t="shared" si="348"/>
        <v>4</v>
      </c>
      <c r="CL278" s="153">
        <f t="shared" si="349"/>
        <v>3</v>
      </c>
      <c r="CM278" s="153">
        <f t="shared" si="350"/>
        <v>4</v>
      </c>
      <c r="CN278" s="153">
        <f t="shared" si="351"/>
        <v>0</v>
      </c>
      <c r="CO278" s="153">
        <f t="shared" si="352"/>
        <v>4</v>
      </c>
      <c r="CP278" s="153">
        <f t="shared" si="353"/>
        <v>2</v>
      </c>
      <c r="CQ278" s="153">
        <f t="shared" si="354"/>
        <v>5</v>
      </c>
      <c r="CR278" s="153">
        <f t="shared" si="355"/>
        <v>5</v>
      </c>
      <c r="CS278" s="153">
        <f t="shared" si="356"/>
        <v>0</v>
      </c>
      <c r="CT278" s="153">
        <f t="shared" si="357"/>
        <v>4</v>
      </c>
      <c r="CU278" s="153">
        <f t="shared" si="358"/>
        <v>3</v>
      </c>
      <c r="CV278" s="153">
        <f t="shared" si="359"/>
        <v>5</v>
      </c>
      <c r="CW278" s="153">
        <f t="shared" si="360"/>
        <v>0</v>
      </c>
      <c r="CX278" s="153">
        <f t="shared" si="361"/>
        <v>0</v>
      </c>
      <c r="CY278" s="153">
        <f t="shared" si="362"/>
        <v>5</v>
      </c>
    </row>
    <row r="279" spans="1:103" x14ac:dyDescent="0.25">
      <c r="A279" s="7">
        <v>196</v>
      </c>
      <c r="B279" s="16">
        <v>42135</v>
      </c>
      <c r="C279" s="1">
        <v>1082495</v>
      </c>
      <c r="D279" s="1" t="s">
        <v>3178</v>
      </c>
      <c r="E279" s="10" t="str">
        <f t="shared" si="329"/>
        <v xml:space="preserve">SSS, HDMF, PHIC, NBI, NSO, Info, AWOL, Hand, Waiver, TIN, 1905, 2305, </v>
      </c>
      <c r="F279" s="10" t="str">
        <f t="shared" si="330"/>
        <v xml:space="preserve">MDR, TOR, COE, 2x2, </v>
      </c>
      <c r="I279" s="16">
        <v>42137</v>
      </c>
      <c r="K279" s="152">
        <f t="shared" ca="1" si="303"/>
        <v>13</v>
      </c>
      <c r="N279" s="153" t="str">
        <f t="shared" si="331"/>
        <v>READY!</v>
      </c>
      <c r="O279" s="1">
        <v>2</v>
      </c>
      <c r="R279" s="1">
        <v>9353105128</v>
      </c>
      <c r="S279" s="153">
        <f t="shared" si="334"/>
        <v>9353105128</v>
      </c>
      <c r="T279" s="153" t="str">
        <f t="shared" si="335"/>
        <v/>
      </c>
      <c r="U279" s="1" t="s">
        <v>3188</v>
      </c>
      <c r="V279" s="1" t="s">
        <v>3156</v>
      </c>
      <c r="W279" s="1" t="s">
        <v>3155</v>
      </c>
      <c r="X279" s="1" t="s">
        <v>3295</v>
      </c>
      <c r="Y279" s="1" t="s">
        <v>73</v>
      </c>
      <c r="Z279" s="1" t="s">
        <v>70</v>
      </c>
      <c r="AA279" s="1" t="s">
        <v>1233</v>
      </c>
      <c r="AC279" s="1" t="s">
        <v>741</v>
      </c>
      <c r="AD279" s="1" t="s">
        <v>1038</v>
      </c>
      <c r="AH279" s="1" t="s">
        <v>52</v>
      </c>
      <c r="AI279" s="1" t="s">
        <v>253</v>
      </c>
      <c r="AJ279" s="153" t="str">
        <f t="shared" si="268"/>
        <v/>
      </c>
      <c r="AL279" s="1" t="s">
        <v>1475</v>
      </c>
      <c r="AM279" s="1" t="s">
        <v>854</v>
      </c>
      <c r="AN279" s="16">
        <v>34686</v>
      </c>
      <c r="BS279" s="169">
        <v>42137</v>
      </c>
      <c r="BT279" s="170">
        <v>42137</v>
      </c>
      <c r="BU279" s="181">
        <v>42137</v>
      </c>
      <c r="BW279" s="152" t="str">
        <f t="shared" si="336"/>
        <v/>
      </c>
      <c r="BY279" s="275">
        <f t="shared" si="337"/>
        <v>11</v>
      </c>
      <c r="CA279" s="168" t="str">
        <f t="shared" si="338"/>
        <v/>
      </c>
      <c r="CB279" s="151" t="str">
        <f t="shared" si="339"/>
        <v/>
      </c>
      <c r="CC279" s="153" t="str">
        <f t="shared" ca="1" si="340"/>
        <v/>
      </c>
      <c r="CD279" s="153" t="str">
        <f t="shared" si="341"/>
        <v/>
      </c>
      <c r="CE279" s="153" t="str">
        <f t="shared" si="342"/>
        <v/>
      </c>
      <c r="CF279" s="396" t="str">
        <f t="shared" si="343"/>
        <v/>
      </c>
      <c r="CG279" s="397" t="str">
        <f t="shared" si="344"/>
        <v/>
      </c>
      <c r="CH279" s="153" t="str">
        <f t="shared" si="345"/>
        <v/>
      </c>
      <c r="CI279" s="151" t="str">
        <f t="shared" si="346"/>
        <v/>
      </c>
      <c r="CJ279" s="151" t="str">
        <f t="shared" si="347"/>
        <v/>
      </c>
      <c r="CK279" s="153">
        <f t="shared" si="348"/>
        <v>4</v>
      </c>
      <c r="CL279" s="153">
        <f t="shared" si="349"/>
        <v>3</v>
      </c>
      <c r="CM279" s="153">
        <f t="shared" si="350"/>
        <v>4</v>
      </c>
      <c r="CN279" s="153">
        <f t="shared" si="351"/>
        <v>0</v>
      </c>
      <c r="CO279" s="153">
        <f t="shared" si="352"/>
        <v>4</v>
      </c>
      <c r="CP279" s="153">
        <f t="shared" si="353"/>
        <v>2</v>
      </c>
      <c r="CQ279" s="153">
        <f t="shared" si="354"/>
        <v>5</v>
      </c>
      <c r="CR279" s="153">
        <f t="shared" si="355"/>
        <v>5</v>
      </c>
      <c r="CS279" s="153">
        <f t="shared" si="356"/>
        <v>0</v>
      </c>
      <c r="CT279" s="153">
        <f t="shared" si="357"/>
        <v>4</v>
      </c>
      <c r="CU279" s="153">
        <f t="shared" si="358"/>
        <v>3</v>
      </c>
      <c r="CV279" s="153">
        <f t="shared" si="359"/>
        <v>5</v>
      </c>
      <c r="CW279" s="153">
        <f t="shared" si="360"/>
        <v>0</v>
      </c>
      <c r="CX279" s="153">
        <f t="shared" si="361"/>
        <v>0</v>
      </c>
      <c r="CY279" s="153">
        <f t="shared" si="362"/>
        <v>6</v>
      </c>
    </row>
    <row r="280" spans="1:103" x14ac:dyDescent="0.25">
      <c r="A280" s="7">
        <v>196</v>
      </c>
      <c r="B280" s="16">
        <v>42135</v>
      </c>
      <c r="C280" s="1">
        <v>1082496</v>
      </c>
      <c r="D280" s="1" t="s">
        <v>3233</v>
      </c>
      <c r="E280" s="10" t="str">
        <f t="shared" si="329"/>
        <v xml:space="preserve">SSS, Waiver, </v>
      </c>
      <c r="F280" s="10" t="str">
        <f t="shared" si="330"/>
        <v xml:space="preserve">TOR, 2x2, </v>
      </c>
      <c r="I280" s="16">
        <v>42137</v>
      </c>
      <c r="K280" s="152">
        <f t="shared" ca="1" si="303"/>
        <v>13</v>
      </c>
      <c r="N280" s="153" t="str">
        <f t="shared" si="331"/>
        <v/>
      </c>
      <c r="O280" s="1">
        <v>2</v>
      </c>
      <c r="R280" s="1">
        <v>9205395601</v>
      </c>
      <c r="S280" s="153">
        <f t="shared" si="334"/>
        <v>9205395601</v>
      </c>
      <c r="T280" s="153" t="str">
        <f t="shared" si="335"/>
        <v/>
      </c>
      <c r="U280" s="1" t="s">
        <v>3189</v>
      </c>
      <c r="V280" s="1" t="s">
        <v>3158</v>
      </c>
      <c r="W280" s="1" t="s">
        <v>3157</v>
      </c>
      <c r="X280" s="1" t="s">
        <v>3287</v>
      </c>
      <c r="Y280" s="1" t="s">
        <v>73</v>
      </c>
      <c r="Z280" s="1" t="s">
        <v>70</v>
      </c>
      <c r="AA280" s="1" t="s">
        <v>1233</v>
      </c>
      <c r="AC280" s="1" t="s">
        <v>741</v>
      </c>
      <c r="AD280" s="1" t="s">
        <v>1038</v>
      </c>
      <c r="AH280" s="1" t="s">
        <v>52</v>
      </c>
      <c r="AI280" s="1" t="s">
        <v>253</v>
      </c>
      <c r="AJ280" s="153" t="str">
        <f t="shared" si="268"/>
        <v/>
      </c>
      <c r="AL280" s="1" t="s">
        <v>558</v>
      </c>
      <c r="AM280" s="1" t="s">
        <v>854</v>
      </c>
      <c r="AN280" s="16">
        <v>30909</v>
      </c>
      <c r="AO280" s="1" t="s">
        <v>3255</v>
      </c>
      <c r="AP280" s="1" t="s">
        <v>3255</v>
      </c>
      <c r="AQ280" s="1" t="s">
        <v>53</v>
      </c>
      <c r="AR280" s="1" t="s">
        <v>378</v>
      </c>
      <c r="AS280" s="169">
        <v>42137</v>
      </c>
      <c r="AT280" s="170">
        <v>42136</v>
      </c>
      <c r="AU280" s="170">
        <v>42136</v>
      </c>
      <c r="AW280" s="169">
        <v>42139</v>
      </c>
      <c r="AX280" s="112" t="s">
        <v>3235</v>
      </c>
      <c r="AZ280" s="170">
        <v>42139</v>
      </c>
      <c r="BA280" s="170">
        <v>42136</v>
      </c>
      <c r="BB280" s="181">
        <v>42137</v>
      </c>
      <c r="BC280" s="169"/>
      <c r="BE280" s="169">
        <v>42139</v>
      </c>
      <c r="BF280" s="172" t="s">
        <v>3236</v>
      </c>
      <c r="BG280" s="169">
        <v>42139</v>
      </c>
      <c r="BH280" s="188" t="s">
        <v>3234</v>
      </c>
      <c r="BI280" s="181">
        <v>42139</v>
      </c>
      <c r="BJ280" s="169">
        <v>42137</v>
      </c>
      <c r="BM280" s="169">
        <v>42137</v>
      </c>
      <c r="BR280" s="181">
        <v>42137</v>
      </c>
      <c r="BS280" s="169">
        <v>42137</v>
      </c>
      <c r="BT280" s="170">
        <v>42137</v>
      </c>
      <c r="BU280" s="181">
        <v>42137</v>
      </c>
      <c r="BW280" s="152" t="str">
        <f t="shared" si="336"/>
        <v xml:space="preserve">1905 (for processing) 5/15/2015, 2305 (for processing) 5/12/2015, MDR 5/15/2015, </v>
      </c>
      <c r="BY280" s="275">
        <f t="shared" si="337"/>
        <v>11</v>
      </c>
      <c r="CA280" s="168" t="str">
        <f t="shared" si="338"/>
        <v/>
      </c>
      <c r="CB280" s="151" t="str">
        <f t="shared" si="339"/>
        <v/>
      </c>
      <c r="CC280" s="153" t="str">
        <f t="shared" ca="1" si="340"/>
        <v/>
      </c>
      <c r="CD280" s="153" t="str">
        <f t="shared" si="341"/>
        <v/>
      </c>
      <c r="CE280" s="153" t="str">
        <f t="shared" si="342"/>
        <v/>
      </c>
      <c r="CF280" s="396" t="str">
        <f t="shared" si="343"/>
        <v/>
      </c>
      <c r="CG280" s="397" t="str">
        <f t="shared" si="344"/>
        <v/>
      </c>
      <c r="CH280" s="153" t="str">
        <f t="shared" si="345"/>
        <v/>
      </c>
      <c r="CI280" s="151" t="str">
        <f t="shared" si="346"/>
        <v/>
      </c>
      <c r="CJ280" s="151" t="str">
        <f t="shared" si="347"/>
        <v/>
      </c>
      <c r="CK280" s="153">
        <f t="shared" si="348"/>
        <v>4</v>
      </c>
      <c r="CL280" s="153">
        <f t="shared" si="349"/>
        <v>4</v>
      </c>
      <c r="CM280" s="153">
        <f t="shared" si="350"/>
        <v>5</v>
      </c>
      <c r="CN280" s="153">
        <f t="shared" si="351"/>
        <v>1</v>
      </c>
      <c r="CO280" s="153">
        <f t="shared" si="352"/>
        <v>5</v>
      </c>
      <c r="CP280" s="153">
        <f t="shared" si="353"/>
        <v>3</v>
      </c>
      <c r="CQ280" s="153">
        <f t="shared" si="354"/>
        <v>6</v>
      </c>
      <c r="CR280" s="153">
        <f t="shared" si="355"/>
        <v>6</v>
      </c>
      <c r="CS280" s="153">
        <f t="shared" si="356"/>
        <v>0</v>
      </c>
      <c r="CT280" s="153">
        <f t="shared" si="357"/>
        <v>5</v>
      </c>
      <c r="CU280" s="153">
        <f t="shared" si="358"/>
        <v>4</v>
      </c>
      <c r="CV280" s="153">
        <f t="shared" si="359"/>
        <v>6</v>
      </c>
      <c r="CW280" s="153">
        <f t="shared" si="360"/>
        <v>0</v>
      </c>
      <c r="CX280" s="153">
        <f t="shared" si="361"/>
        <v>0</v>
      </c>
      <c r="CY280" s="153">
        <f t="shared" si="362"/>
        <v>7</v>
      </c>
    </row>
    <row r="281" spans="1:103" x14ac:dyDescent="0.25">
      <c r="A281" s="7">
        <v>196</v>
      </c>
      <c r="B281" s="16">
        <v>42135</v>
      </c>
      <c r="C281" s="1">
        <v>1082497</v>
      </c>
      <c r="D281" s="1" t="s">
        <v>3286</v>
      </c>
      <c r="E281" s="10" t="str">
        <f t="shared" si="329"/>
        <v xml:space="preserve">SSS, HDMF, PHIC, NBI, NSO, Info, Waiver, TIN, 1905, 2305, </v>
      </c>
      <c r="F281" s="10" t="str">
        <f t="shared" si="330"/>
        <v xml:space="preserve">MDR, TOR, COE, 2x2, </v>
      </c>
      <c r="I281" s="16">
        <v>42137</v>
      </c>
      <c r="K281" s="152">
        <f t="shared" ca="1" si="303"/>
        <v>13</v>
      </c>
      <c r="N281" s="153" t="str">
        <f t="shared" si="331"/>
        <v/>
      </c>
      <c r="O281" s="1">
        <v>2</v>
      </c>
      <c r="R281" s="1">
        <v>9157649319</v>
      </c>
      <c r="S281" s="153">
        <f t="shared" si="334"/>
        <v>9157649319</v>
      </c>
      <c r="T281" s="153" t="str">
        <f t="shared" si="335"/>
        <v/>
      </c>
      <c r="U281" s="1" t="s">
        <v>3190</v>
      </c>
      <c r="V281" s="1" t="s">
        <v>3160</v>
      </c>
      <c r="W281" s="1" t="s">
        <v>3159</v>
      </c>
      <c r="X281" s="1" t="s">
        <v>3283</v>
      </c>
      <c r="Y281" s="1" t="s">
        <v>73</v>
      </c>
      <c r="Z281" s="1" t="s">
        <v>74</v>
      </c>
      <c r="AA281" s="1" t="s">
        <v>1232</v>
      </c>
      <c r="AC281" s="1" t="s">
        <v>741</v>
      </c>
      <c r="AD281" s="1" t="s">
        <v>1234</v>
      </c>
      <c r="AH281" s="1" t="s">
        <v>52</v>
      </c>
      <c r="AI281" s="1" t="s">
        <v>253</v>
      </c>
      <c r="AJ281" s="153" t="str">
        <f t="shared" si="268"/>
        <v/>
      </c>
      <c r="AL281" s="1" t="s">
        <v>265</v>
      </c>
      <c r="AM281" s="1" t="s">
        <v>854</v>
      </c>
      <c r="AN281" s="16">
        <v>33164</v>
      </c>
      <c r="AT281" s="170">
        <v>42136</v>
      </c>
      <c r="AU281" s="170">
        <v>42136</v>
      </c>
      <c r="BS281" s="169">
        <v>42137</v>
      </c>
      <c r="BT281" s="170">
        <v>42137</v>
      </c>
      <c r="BU281" s="181">
        <v>42137</v>
      </c>
      <c r="BW281" s="152" t="str">
        <f t="shared" si="336"/>
        <v/>
      </c>
      <c r="BY281" s="275">
        <f t="shared" si="337"/>
        <v>11</v>
      </c>
      <c r="CA281" s="168" t="str">
        <f t="shared" si="338"/>
        <v/>
      </c>
      <c r="CB281" s="151" t="str">
        <f t="shared" si="339"/>
        <v/>
      </c>
      <c r="CC281" s="153" t="str">
        <f t="shared" ca="1" si="340"/>
        <v/>
      </c>
      <c r="CD281" s="153" t="str">
        <f t="shared" si="341"/>
        <v/>
      </c>
      <c r="CE281" s="153" t="str">
        <f t="shared" si="342"/>
        <v/>
      </c>
      <c r="CF281" s="396" t="str">
        <f t="shared" si="343"/>
        <v/>
      </c>
      <c r="CG281" s="397" t="str">
        <f t="shared" si="344"/>
        <v/>
      </c>
      <c r="CH281" s="153" t="str">
        <f t="shared" si="345"/>
        <v/>
      </c>
      <c r="CI281" s="151" t="str">
        <f t="shared" si="346"/>
        <v/>
      </c>
      <c r="CJ281" s="151" t="str">
        <f t="shared" si="347"/>
        <v/>
      </c>
      <c r="CK281" s="153">
        <f t="shared" si="348"/>
        <v>4</v>
      </c>
      <c r="CL281" s="153">
        <f t="shared" si="349"/>
        <v>4</v>
      </c>
      <c r="CM281" s="153">
        <f t="shared" si="350"/>
        <v>5</v>
      </c>
      <c r="CN281" s="153">
        <f t="shared" si="351"/>
        <v>1</v>
      </c>
      <c r="CO281" s="153">
        <f t="shared" si="352"/>
        <v>5</v>
      </c>
      <c r="CP281" s="153">
        <f t="shared" si="353"/>
        <v>3</v>
      </c>
      <c r="CQ281" s="153">
        <f t="shared" si="354"/>
        <v>7</v>
      </c>
      <c r="CR281" s="153">
        <f t="shared" si="355"/>
        <v>7</v>
      </c>
      <c r="CS281" s="153">
        <f t="shared" si="356"/>
        <v>0</v>
      </c>
      <c r="CT281" s="153">
        <f t="shared" si="357"/>
        <v>5</v>
      </c>
      <c r="CU281" s="153">
        <f t="shared" si="358"/>
        <v>4</v>
      </c>
      <c r="CV281" s="153">
        <f t="shared" si="359"/>
        <v>6</v>
      </c>
      <c r="CW281" s="153">
        <f t="shared" si="360"/>
        <v>0</v>
      </c>
      <c r="CX281" s="153">
        <f t="shared" si="361"/>
        <v>0</v>
      </c>
      <c r="CY281" s="153">
        <f t="shared" si="362"/>
        <v>8</v>
      </c>
    </row>
    <row r="282" spans="1:103" x14ac:dyDescent="0.25">
      <c r="A282" s="7">
        <v>196</v>
      </c>
      <c r="B282" s="16">
        <v>42135</v>
      </c>
      <c r="C282" s="1">
        <v>1082498</v>
      </c>
      <c r="D282" s="1" t="s">
        <v>3179</v>
      </c>
      <c r="E282" s="10" t="str">
        <f t="shared" si="329"/>
        <v xml:space="preserve">SSS, HDMF, PHIC, NBI, NSO, Info, Waiver, TIN, 1905, </v>
      </c>
      <c r="F282" s="10" t="str">
        <f t="shared" si="330"/>
        <v xml:space="preserve">MDR, TOR, COE, 2x2, </v>
      </c>
      <c r="I282" s="16">
        <v>42137</v>
      </c>
      <c r="K282" s="152">
        <f t="shared" ca="1" si="303"/>
        <v>13</v>
      </c>
      <c r="N282" s="153" t="str">
        <f t="shared" si="331"/>
        <v/>
      </c>
      <c r="O282" s="1">
        <v>2</v>
      </c>
      <c r="R282" s="1">
        <v>9271287389</v>
      </c>
      <c r="S282" s="153">
        <f t="shared" si="334"/>
        <v>9271287389</v>
      </c>
      <c r="T282" s="153" t="str">
        <f t="shared" si="335"/>
        <v/>
      </c>
      <c r="U282" s="1" t="s">
        <v>3191</v>
      </c>
      <c r="V282" s="1" t="s">
        <v>3162</v>
      </c>
      <c r="W282" s="1" t="s">
        <v>3161</v>
      </c>
      <c r="X282" s="1" t="s">
        <v>3296</v>
      </c>
      <c r="Y282" s="1" t="s">
        <v>73</v>
      </c>
      <c r="Z282" s="1" t="s">
        <v>74</v>
      </c>
      <c r="AA282" s="1" t="s">
        <v>1232</v>
      </c>
      <c r="AC282" s="1" t="s">
        <v>741</v>
      </c>
      <c r="AD282" s="1" t="s">
        <v>1234</v>
      </c>
      <c r="AH282" s="1" t="s">
        <v>52</v>
      </c>
      <c r="AI282" s="1" t="s">
        <v>253</v>
      </c>
      <c r="AJ282" s="153" t="str">
        <f t="shared" si="268"/>
        <v/>
      </c>
      <c r="AL282" s="1" t="s">
        <v>254</v>
      </c>
      <c r="AM282" s="1" t="s">
        <v>854</v>
      </c>
      <c r="AN282" s="16">
        <v>32408</v>
      </c>
      <c r="AT282" s="170">
        <v>42136</v>
      </c>
      <c r="AU282" s="170">
        <v>42136</v>
      </c>
      <c r="BA282" s="170">
        <v>42136</v>
      </c>
      <c r="BS282" s="169">
        <v>42137</v>
      </c>
      <c r="BT282" s="170">
        <v>42137</v>
      </c>
      <c r="BU282" s="181">
        <v>42137</v>
      </c>
      <c r="BW282" s="152" t="str">
        <f t="shared" si="336"/>
        <v xml:space="preserve">2305 (for processing) 5/12/2015, </v>
      </c>
      <c r="BY282" s="275">
        <f t="shared" si="337"/>
        <v>11</v>
      </c>
      <c r="CA282" s="168" t="str">
        <f t="shared" si="338"/>
        <v/>
      </c>
      <c r="CB282" s="151" t="str">
        <f t="shared" si="339"/>
        <v/>
      </c>
      <c r="CC282" s="153" t="str">
        <f t="shared" ca="1" si="340"/>
        <v/>
      </c>
      <c r="CD282" s="153" t="str">
        <f t="shared" si="341"/>
        <v/>
      </c>
      <c r="CE282" s="153" t="str">
        <f t="shared" si="342"/>
        <v/>
      </c>
      <c r="CF282" s="396" t="str">
        <f t="shared" si="343"/>
        <v/>
      </c>
      <c r="CG282" s="397" t="str">
        <f t="shared" si="344"/>
        <v/>
      </c>
      <c r="CH282" s="153" t="str">
        <f t="shared" si="345"/>
        <v/>
      </c>
      <c r="CI282" s="151" t="str">
        <f t="shared" si="346"/>
        <v/>
      </c>
      <c r="CJ282" s="151" t="str">
        <f t="shared" si="347"/>
        <v/>
      </c>
      <c r="CK282" s="153">
        <f t="shared" si="348"/>
        <v>4</v>
      </c>
      <c r="CL282" s="153">
        <f t="shared" si="349"/>
        <v>4</v>
      </c>
      <c r="CM282" s="153">
        <f t="shared" si="350"/>
        <v>5</v>
      </c>
      <c r="CN282" s="153">
        <f t="shared" si="351"/>
        <v>1</v>
      </c>
      <c r="CO282" s="153">
        <f t="shared" si="352"/>
        <v>5</v>
      </c>
      <c r="CP282" s="153">
        <f t="shared" si="353"/>
        <v>3</v>
      </c>
      <c r="CQ282" s="153">
        <f t="shared" si="354"/>
        <v>8</v>
      </c>
      <c r="CR282" s="153">
        <f t="shared" si="355"/>
        <v>8</v>
      </c>
      <c r="CS282" s="153">
        <f t="shared" si="356"/>
        <v>0</v>
      </c>
      <c r="CT282" s="153">
        <f t="shared" si="357"/>
        <v>5</v>
      </c>
      <c r="CU282" s="153">
        <f t="shared" si="358"/>
        <v>4</v>
      </c>
      <c r="CV282" s="153">
        <f t="shared" si="359"/>
        <v>7</v>
      </c>
      <c r="CW282" s="153">
        <f t="shared" si="360"/>
        <v>0</v>
      </c>
      <c r="CX282" s="153">
        <f t="shared" si="361"/>
        <v>0</v>
      </c>
      <c r="CY282" s="153">
        <f t="shared" si="362"/>
        <v>9</v>
      </c>
    </row>
    <row r="283" spans="1:103" x14ac:dyDescent="0.25">
      <c r="A283" s="7">
        <v>196</v>
      </c>
      <c r="B283" s="16">
        <v>42135</v>
      </c>
      <c r="C283" s="1">
        <v>1082499</v>
      </c>
      <c r="D283" s="1" t="s">
        <v>3212</v>
      </c>
      <c r="E283" s="10" t="str">
        <f t="shared" si="329"/>
        <v xml:space="preserve">Waiver, 1905, 2305, </v>
      </c>
      <c r="F283" s="10" t="str">
        <f t="shared" si="330"/>
        <v xml:space="preserve">TOR, 2x2, </v>
      </c>
      <c r="I283" s="16">
        <v>42137</v>
      </c>
      <c r="K283" s="152">
        <f t="shared" ca="1" si="303"/>
        <v>13</v>
      </c>
      <c r="N283" s="153" t="str">
        <f t="shared" si="331"/>
        <v/>
      </c>
      <c r="O283" s="1">
        <v>2</v>
      </c>
      <c r="R283" s="1">
        <v>9052216710</v>
      </c>
      <c r="S283" s="153">
        <f t="shared" si="334"/>
        <v>9052216710</v>
      </c>
      <c r="T283" s="153" t="str">
        <f t="shared" si="335"/>
        <v/>
      </c>
      <c r="U283" s="1" t="s">
        <v>3192</v>
      </c>
      <c r="V283" s="1" t="s">
        <v>3164</v>
      </c>
      <c r="W283" s="1" t="s">
        <v>3163</v>
      </c>
      <c r="X283" s="1" t="s">
        <v>3284</v>
      </c>
      <c r="Y283" s="1" t="s">
        <v>73</v>
      </c>
      <c r="Z283" s="1" t="s">
        <v>70</v>
      </c>
      <c r="AA283" s="1" t="s">
        <v>1233</v>
      </c>
      <c r="AC283" s="1" t="s">
        <v>741</v>
      </c>
      <c r="AD283" s="1" t="s">
        <v>1038</v>
      </c>
      <c r="AH283" s="1" t="s">
        <v>52</v>
      </c>
      <c r="AI283" s="1" t="s">
        <v>1476</v>
      </c>
      <c r="AJ283" s="153" t="str">
        <f t="shared" si="268"/>
        <v/>
      </c>
      <c r="AL283" s="1" t="s">
        <v>259</v>
      </c>
      <c r="AM283" s="1" t="s">
        <v>854</v>
      </c>
      <c r="AN283" s="16">
        <v>33402</v>
      </c>
      <c r="AO283" s="1" t="s">
        <v>3208</v>
      </c>
      <c r="AP283" s="1" t="s">
        <v>3208</v>
      </c>
      <c r="AQ283" s="1" t="s">
        <v>53</v>
      </c>
      <c r="AR283" s="1" t="s">
        <v>378</v>
      </c>
      <c r="AS283" s="169">
        <v>42139</v>
      </c>
      <c r="AT283" s="170">
        <v>42136</v>
      </c>
      <c r="AU283" s="170">
        <v>42136</v>
      </c>
      <c r="AW283" s="169">
        <v>42137</v>
      </c>
      <c r="AX283" s="112" t="s">
        <v>3251</v>
      </c>
      <c r="BB283" s="181">
        <v>42137</v>
      </c>
      <c r="BC283" s="169">
        <v>42137</v>
      </c>
      <c r="BD283" s="172" t="s">
        <v>3254</v>
      </c>
      <c r="BE283" s="169">
        <v>42137</v>
      </c>
      <c r="BF283" s="172" t="s">
        <v>3253</v>
      </c>
      <c r="BG283" s="169">
        <v>42137</v>
      </c>
      <c r="BH283" s="188" t="s">
        <v>3252</v>
      </c>
      <c r="BI283" s="181">
        <v>42137</v>
      </c>
      <c r="BJ283" s="169">
        <v>42137</v>
      </c>
      <c r="BM283" s="169">
        <v>42137</v>
      </c>
      <c r="BR283" s="181">
        <v>42137</v>
      </c>
      <c r="BS283" s="169">
        <v>42137</v>
      </c>
      <c r="BT283" s="170">
        <v>42137</v>
      </c>
      <c r="BU283" s="181">
        <v>42137</v>
      </c>
      <c r="BW283" s="152" t="str">
        <f t="shared" si="336"/>
        <v xml:space="preserve">MDR 5/13/2015, </v>
      </c>
      <c r="BY283" s="275">
        <f t="shared" si="337"/>
        <v>11</v>
      </c>
      <c r="CA283" s="168" t="str">
        <f t="shared" si="338"/>
        <v/>
      </c>
      <c r="CB283" s="151" t="str">
        <f t="shared" si="339"/>
        <v/>
      </c>
      <c r="CC283" s="153" t="str">
        <f t="shared" ca="1" si="340"/>
        <v/>
      </c>
      <c r="CD283" s="153" t="str">
        <f t="shared" si="341"/>
        <v/>
      </c>
      <c r="CE283" s="153" t="str">
        <f t="shared" si="342"/>
        <v/>
      </c>
      <c r="CF283" s="396" t="str">
        <f t="shared" si="343"/>
        <v/>
      </c>
      <c r="CG283" s="397" t="str">
        <f t="shared" si="344"/>
        <v/>
      </c>
      <c r="CH283" s="153" t="str">
        <f t="shared" si="345"/>
        <v/>
      </c>
      <c r="CI283" s="151" t="str">
        <f t="shared" si="346"/>
        <v/>
      </c>
      <c r="CJ283" s="151" t="str">
        <f t="shared" si="347"/>
        <v/>
      </c>
      <c r="CK283" s="153">
        <f t="shared" si="348"/>
        <v>5</v>
      </c>
      <c r="CL283" s="153">
        <f t="shared" si="349"/>
        <v>5</v>
      </c>
      <c r="CM283" s="153">
        <f t="shared" si="350"/>
        <v>6</v>
      </c>
      <c r="CN283" s="153">
        <f t="shared" si="351"/>
        <v>2</v>
      </c>
      <c r="CO283" s="153">
        <f t="shared" si="352"/>
        <v>6</v>
      </c>
      <c r="CP283" s="153">
        <f t="shared" si="353"/>
        <v>4</v>
      </c>
      <c r="CQ283" s="153">
        <f t="shared" si="354"/>
        <v>9</v>
      </c>
      <c r="CR283" s="153">
        <f t="shared" si="355"/>
        <v>9</v>
      </c>
      <c r="CS283" s="153">
        <f t="shared" si="356"/>
        <v>0</v>
      </c>
      <c r="CT283" s="153">
        <f t="shared" si="357"/>
        <v>6</v>
      </c>
      <c r="CU283" s="153">
        <f t="shared" si="358"/>
        <v>4</v>
      </c>
      <c r="CV283" s="153">
        <f t="shared" si="359"/>
        <v>7</v>
      </c>
      <c r="CW283" s="153">
        <f t="shared" si="360"/>
        <v>0</v>
      </c>
      <c r="CX283" s="153">
        <f t="shared" si="361"/>
        <v>0</v>
      </c>
      <c r="CY283" s="153">
        <f t="shared" si="362"/>
        <v>10</v>
      </c>
    </row>
    <row r="284" spans="1:103" x14ac:dyDescent="0.25">
      <c r="A284" s="7">
        <v>196</v>
      </c>
      <c r="B284" s="16">
        <v>42135</v>
      </c>
      <c r="C284" s="1">
        <v>1082500</v>
      </c>
      <c r="D284" s="1" t="s">
        <v>3180</v>
      </c>
      <c r="E284" s="10" t="str">
        <f t="shared" si="329"/>
        <v xml:space="preserve">NBI, NSO, Info, Waiver, </v>
      </c>
      <c r="F284" s="10" t="str">
        <f t="shared" si="330"/>
        <v xml:space="preserve">TOR, COE, 2x2, </v>
      </c>
      <c r="I284" s="16">
        <v>42137</v>
      </c>
      <c r="K284" s="152">
        <f t="shared" ca="1" si="303"/>
        <v>13</v>
      </c>
      <c r="N284" s="153" t="str">
        <f t="shared" si="331"/>
        <v/>
      </c>
      <c r="O284" s="1">
        <v>2</v>
      </c>
      <c r="R284" s="1">
        <v>9235936596</v>
      </c>
      <c r="S284" s="153">
        <f t="shared" si="334"/>
        <v>9235936596</v>
      </c>
      <c r="T284" s="153" t="str">
        <f t="shared" si="335"/>
        <v/>
      </c>
      <c r="U284" s="1" t="s">
        <v>3193</v>
      </c>
      <c r="V284" s="1" t="s">
        <v>1505</v>
      </c>
      <c r="W284" s="1" t="s">
        <v>3165</v>
      </c>
      <c r="X284" s="1" t="s">
        <v>3297</v>
      </c>
      <c r="Y284" s="1" t="s">
        <v>73</v>
      </c>
      <c r="Z284" s="1" t="s">
        <v>74</v>
      </c>
      <c r="AA284" s="1" t="s">
        <v>1232</v>
      </c>
      <c r="AC284" s="1" t="s">
        <v>741</v>
      </c>
      <c r="AD284" s="1" t="s">
        <v>1234</v>
      </c>
      <c r="AH284" s="1" t="s">
        <v>52</v>
      </c>
      <c r="AI284" s="1" t="s">
        <v>253</v>
      </c>
      <c r="AJ284" s="153" t="str">
        <f t="shared" si="268"/>
        <v/>
      </c>
      <c r="AL284" s="1" t="s">
        <v>254</v>
      </c>
      <c r="AM284" s="1" t="s">
        <v>854</v>
      </c>
      <c r="AN284" s="16">
        <v>30997</v>
      </c>
      <c r="AT284" s="170">
        <v>42136</v>
      </c>
      <c r="AU284" s="170">
        <v>42136</v>
      </c>
      <c r="AW284" s="169">
        <v>42137</v>
      </c>
      <c r="AX284" s="112" t="s">
        <v>3248</v>
      </c>
      <c r="AZ284" s="170">
        <v>42137</v>
      </c>
      <c r="BA284" s="170">
        <v>42136</v>
      </c>
      <c r="BC284" s="169">
        <v>42137</v>
      </c>
      <c r="BD284" s="172" t="s">
        <v>3249</v>
      </c>
      <c r="BE284" s="169">
        <v>42137</v>
      </c>
      <c r="BF284" s="172" t="s">
        <v>3247</v>
      </c>
      <c r="BG284" s="169">
        <v>42137</v>
      </c>
      <c r="BH284" s="188" t="s">
        <v>3250</v>
      </c>
      <c r="BI284" s="181">
        <v>42137</v>
      </c>
      <c r="BS284" s="169">
        <v>42137</v>
      </c>
      <c r="BT284" s="170">
        <v>42137</v>
      </c>
      <c r="BU284" s="181">
        <v>42137</v>
      </c>
      <c r="BW284" s="152" t="str">
        <f t="shared" si="336"/>
        <v xml:space="preserve">1905 (for processing) 5/13/2015, 2305 (for processing) 5/12/2015, MDR 5/13/2015, </v>
      </c>
      <c r="BY284" s="275">
        <f t="shared" si="337"/>
        <v>11</v>
      </c>
      <c r="CA284" s="168" t="str">
        <f t="shared" si="338"/>
        <v/>
      </c>
      <c r="CB284" s="151" t="str">
        <f t="shared" si="339"/>
        <v/>
      </c>
      <c r="CC284" s="153" t="str">
        <f t="shared" ca="1" si="340"/>
        <v/>
      </c>
      <c r="CD284" s="153" t="str">
        <f t="shared" si="341"/>
        <v/>
      </c>
      <c r="CE284" s="153" t="str">
        <f t="shared" si="342"/>
        <v/>
      </c>
      <c r="CF284" s="396" t="str">
        <f t="shared" si="343"/>
        <v/>
      </c>
      <c r="CG284" s="397" t="str">
        <f t="shared" si="344"/>
        <v/>
      </c>
      <c r="CH284" s="153" t="str">
        <f t="shared" si="345"/>
        <v/>
      </c>
      <c r="CI284" s="151" t="str">
        <f t="shared" si="346"/>
        <v/>
      </c>
      <c r="CJ284" s="151" t="str">
        <f t="shared" si="347"/>
        <v/>
      </c>
      <c r="CK284" s="153">
        <f t="shared" si="348"/>
        <v>6</v>
      </c>
      <c r="CL284" s="153">
        <f t="shared" si="349"/>
        <v>6</v>
      </c>
      <c r="CM284" s="153">
        <f t="shared" si="350"/>
        <v>7</v>
      </c>
      <c r="CN284" s="153">
        <f t="shared" si="351"/>
        <v>2</v>
      </c>
      <c r="CO284" s="153">
        <f t="shared" si="352"/>
        <v>6</v>
      </c>
      <c r="CP284" s="153">
        <f t="shared" si="353"/>
        <v>4</v>
      </c>
      <c r="CQ284" s="153">
        <f t="shared" si="354"/>
        <v>10</v>
      </c>
      <c r="CR284" s="153">
        <f t="shared" si="355"/>
        <v>10</v>
      </c>
      <c r="CS284" s="153">
        <f t="shared" si="356"/>
        <v>0</v>
      </c>
      <c r="CT284" s="153">
        <f t="shared" si="357"/>
        <v>7</v>
      </c>
      <c r="CU284" s="153">
        <f t="shared" si="358"/>
        <v>5</v>
      </c>
      <c r="CV284" s="153">
        <f t="shared" si="359"/>
        <v>8</v>
      </c>
      <c r="CW284" s="153">
        <f t="shared" si="360"/>
        <v>0</v>
      </c>
      <c r="CX284" s="153">
        <f t="shared" si="361"/>
        <v>0</v>
      </c>
      <c r="CY284" s="153">
        <f t="shared" si="362"/>
        <v>11</v>
      </c>
    </row>
    <row r="285" spans="1:103" x14ac:dyDescent="0.25">
      <c r="A285" s="7">
        <v>196</v>
      </c>
      <c r="B285" s="16">
        <v>42135</v>
      </c>
      <c r="C285" s="1">
        <v>1082501</v>
      </c>
      <c r="D285" s="1" t="s">
        <v>3209</v>
      </c>
      <c r="E285" s="10" t="str">
        <f t="shared" si="329"/>
        <v xml:space="preserve">NBI, Waiver, </v>
      </c>
      <c r="F285" s="10" t="str">
        <f t="shared" si="330"/>
        <v xml:space="preserve">COE, 2x2, </v>
      </c>
      <c r="I285" s="16">
        <v>42137</v>
      </c>
      <c r="K285" s="152">
        <f t="shared" ca="1" si="303"/>
        <v>13</v>
      </c>
      <c r="N285" s="153" t="str">
        <f t="shared" si="331"/>
        <v/>
      </c>
      <c r="O285" s="1">
        <v>2</v>
      </c>
      <c r="R285" s="1">
        <v>9274225847</v>
      </c>
      <c r="S285" s="153">
        <f t="shared" si="334"/>
        <v>9274225847</v>
      </c>
      <c r="T285" s="153" t="str">
        <f t="shared" si="335"/>
        <v/>
      </c>
      <c r="U285" s="1" t="s">
        <v>3194</v>
      </c>
      <c r="V285" s="1" t="s">
        <v>537</v>
      </c>
      <c r="W285" s="1" t="s">
        <v>3166</v>
      </c>
      <c r="X285" s="1" t="s">
        <v>3290</v>
      </c>
      <c r="Y285" s="1" t="s">
        <v>73</v>
      </c>
      <c r="Z285" s="1" t="s">
        <v>74</v>
      </c>
      <c r="AA285" s="1" t="s">
        <v>1232</v>
      </c>
      <c r="AC285" s="1" t="s">
        <v>741</v>
      </c>
      <c r="AD285" s="1" t="s">
        <v>1234</v>
      </c>
      <c r="AH285" s="1" t="s">
        <v>52</v>
      </c>
      <c r="AI285" s="1" t="s">
        <v>878</v>
      </c>
      <c r="AJ285" s="153" t="str">
        <f t="shared" si="268"/>
        <v/>
      </c>
      <c r="AL285" s="1" t="s">
        <v>247</v>
      </c>
      <c r="AM285" s="1" t="s">
        <v>854</v>
      </c>
      <c r="AN285" s="16">
        <v>33870</v>
      </c>
      <c r="AO285" s="1" t="s">
        <v>3231</v>
      </c>
      <c r="AP285" s="1" t="s">
        <v>3231</v>
      </c>
      <c r="AQ285" s="1" t="s">
        <v>53</v>
      </c>
      <c r="AR285" s="1" t="s">
        <v>378</v>
      </c>
      <c r="AS285" s="169">
        <v>42139</v>
      </c>
      <c r="AT285" s="170">
        <v>42136</v>
      </c>
      <c r="AU285" s="170">
        <v>42136</v>
      </c>
      <c r="AW285" s="169">
        <v>42139</v>
      </c>
      <c r="AX285" s="112" t="s">
        <v>3232</v>
      </c>
      <c r="AZ285" s="170">
        <v>42139</v>
      </c>
      <c r="BA285" s="170">
        <v>42136</v>
      </c>
      <c r="BC285" s="169">
        <v>42139</v>
      </c>
      <c r="BD285" s="172" t="s">
        <v>3230</v>
      </c>
      <c r="BE285" s="169">
        <v>42139</v>
      </c>
      <c r="BF285" s="172" t="s">
        <v>3229</v>
      </c>
      <c r="BG285" s="169">
        <v>42139</v>
      </c>
      <c r="BH285" s="188" t="s">
        <v>3213</v>
      </c>
      <c r="BI285" s="181">
        <v>42139</v>
      </c>
      <c r="BK285" s="170">
        <v>42139</v>
      </c>
      <c r="BL285" s="181">
        <v>42143</v>
      </c>
      <c r="BM285" s="169">
        <v>42139</v>
      </c>
      <c r="BN285" s="170"/>
      <c r="BQ285" s="170">
        <v>42140</v>
      </c>
      <c r="BS285" s="169">
        <v>42137</v>
      </c>
      <c r="BT285" s="170">
        <v>42137</v>
      </c>
      <c r="BU285" s="181">
        <v>42137</v>
      </c>
      <c r="BW285" s="152" t="str">
        <f t="shared" si="336"/>
        <v xml:space="preserve">1905 (for processing) 5/15/2015, 2305 (for processing) 5/12/2015, MDR 5/15/2015, NBI receipt 5/15/2015, </v>
      </c>
      <c r="BY285" s="275">
        <f t="shared" si="337"/>
        <v>11</v>
      </c>
      <c r="CA285" s="168" t="str">
        <f t="shared" si="338"/>
        <v/>
      </c>
      <c r="CB285" s="151" t="str">
        <f t="shared" si="339"/>
        <v/>
      </c>
      <c r="CC285" s="153" t="str">
        <f t="shared" ca="1" si="340"/>
        <v/>
      </c>
      <c r="CD285" s="153" t="str">
        <f t="shared" si="341"/>
        <v/>
      </c>
      <c r="CE285" s="153" t="str">
        <f t="shared" si="342"/>
        <v/>
      </c>
      <c r="CF285" s="396" t="str">
        <f t="shared" si="343"/>
        <v/>
      </c>
      <c r="CG285" s="397" t="str">
        <f t="shared" si="344"/>
        <v/>
      </c>
      <c r="CH285" s="153" t="str">
        <f t="shared" si="345"/>
        <v/>
      </c>
      <c r="CI285" s="151" t="str">
        <f t="shared" si="346"/>
        <v/>
      </c>
      <c r="CJ285" s="151" t="str">
        <f t="shared" si="347"/>
        <v/>
      </c>
      <c r="CK285" s="153">
        <f t="shared" si="348"/>
        <v>7</v>
      </c>
      <c r="CL285" s="153">
        <f t="shared" si="349"/>
        <v>7</v>
      </c>
      <c r="CM285" s="153">
        <f t="shared" si="350"/>
        <v>8</v>
      </c>
      <c r="CN285" s="153">
        <f t="shared" si="351"/>
        <v>2</v>
      </c>
      <c r="CO285" s="153">
        <f t="shared" si="352"/>
        <v>7</v>
      </c>
      <c r="CP285" s="153">
        <f t="shared" si="353"/>
        <v>5</v>
      </c>
      <c r="CQ285" s="153">
        <f t="shared" si="354"/>
        <v>11</v>
      </c>
      <c r="CR285" s="153">
        <f t="shared" si="355"/>
        <v>11</v>
      </c>
      <c r="CS285" s="153">
        <f t="shared" si="356"/>
        <v>0</v>
      </c>
      <c r="CT285" s="153">
        <f t="shared" si="357"/>
        <v>8</v>
      </c>
      <c r="CU285" s="153">
        <f t="shared" si="358"/>
        <v>6</v>
      </c>
      <c r="CV285" s="153">
        <f t="shared" si="359"/>
        <v>9</v>
      </c>
      <c r="CW285" s="153">
        <f t="shared" si="360"/>
        <v>0</v>
      </c>
      <c r="CX285" s="153">
        <f t="shared" si="361"/>
        <v>0</v>
      </c>
      <c r="CY285" s="153">
        <f t="shared" si="362"/>
        <v>12</v>
      </c>
    </row>
    <row r="286" spans="1:103" x14ac:dyDescent="0.25">
      <c r="A286" s="7">
        <v>196</v>
      </c>
      <c r="B286" s="16">
        <v>42135</v>
      </c>
      <c r="C286" s="1">
        <v>1082502</v>
      </c>
      <c r="D286" s="1" t="s">
        <v>3181</v>
      </c>
      <c r="E286" s="10" t="str">
        <f t="shared" si="329"/>
        <v xml:space="preserve">NBI, Waiver, </v>
      </c>
      <c r="F286" s="10" t="str">
        <f t="shared" si="330"/>
        <v xml:space="preserve">COE, 2x2, </v>
      </c>
      <c r="I286" s="16">
        <v>42137</v>
      </c>
      <c r="K286" s="152">
        <f t="shared" ca="1" si="303"/>
        <v>13</v>
      </c>
      <c r="N286" s="153" t="str">
        <f t="shared" si="331"/>
        <v/>
      </c>
      <c r="O286" s="1">
        <v>2</v>
      </c>
      <c r="R286" s="1">
        <v>9166507439</v>
      </c>
      <c r="S286" s="153">
        <f t="shared" si="334"/>
        <v>9166507439</v>
      </c>
      <c r="T286" s="153" t="str">
        <f t="shared" si="335"/>
        <v/>
      </c>
      <c r="U286" s="1" t="s">
        <v>3195</v>
      </c>
      <c r="V286" s="1" t="s">
        <v>3168</v>
      </c>
      <c r="W286" s="1" t="s">
        <v>3167</v>
      </c>
      <c r="X286" s="1" t="s">
        <v>3299</v>
      </c>
      <c r="Y286" s="1" t="s">
        <v>3300</v>
      </c>
      <c r="Z286" s="1" t="s">
        <v>70</v>
      </c>
      <c r="AA286" s="1" t="s">
        <v>1232</v>
      </c>
      <c r="AC286" s="1" t="s">
        <v>741</v>
      </c>
      <c r="AD286" s="1" t="s">
        <v>1038</v>
      </c>
      <c r="AH286" s="1" t="s">
        <v>52</v>
      </c>
      <c r="AI286" s="1" t="s">
        <v>878</v>
      </c>
      <c r="AJ286" s="153" t="str">
        <f t="shared" si="268"/>
        <v/>
      </c>
      <c r="AL286" s="1" t="s">
        <v>653</v>
      </c>
      <c r="AM286" s="1" t="s">
        <v>854</v>
      </c>
      <c r="AO286" s="1" t="s">
        <v>3261</v>
      </c>
      <c r="AP286" s="1" t="s">
        <v>3261</v>
      </c>
      <c r="AQ286" s="1" t="s">
        <v>50</v>
      </c>
      <c r="AR286" s="1" t="s">
        <v>378</v>
      </c>
      <c r="AS286" s="169">
        <v>42137</v>
      </c>
      <c r="AT286" s="170">
        <v>42136</v>
      </c>
      <c r="AU286" s="170">
        <v>42136</v>
      </c>
      <c r="AW286" s="169">
        <v>42137</v>
      </c>
      <c r="AX286" s="112" t="s">
        <v>3265</v>
      </c>
      <c r="AZ286" s="112">
        <v>1</v>
      </c>
      <c r="BA286" s="170">
        <v>42136</v>
      </c>
      <c r="BC286" s="169">
        <v>42137</v>
      </c>
      <c r="BD286" s="172" t="s">
        <v>3262</v>
      </c>
      <c r="BE286" s="169">
        <v>42137</v>
      </c>
      <c r="BF286" s="172" t="s">
        <v>3264</v>
      </c>
      <c r="BG286" s="169">
        <v>42137</v>
      </c>
      <c r="BH286" s="188" t="s">
        <v>3263</v>
      </c>
      <c r="BI286" s="181">
        <v>42137</v>
      </c>
      <c r="BM286" s="169">
        <v>42137</v>
      </c>
      <c r="BQ286" s="170">
        <v>42137</v>
      </c>
      <c r="BS286" s="169">
        <v>42137</v>
      </c>
      <c r="BT286" s="170">
        <v>42137</v>
      </c>
      <c r="BU286" s="181">
        <v>42137</v>
      </c>
      <c r="BV286" s="172" t="s">
        <v>3266</v>
      </c>
      <c r="BW286" s="152" t="str">
        <f t="shared" si="336"/>
        <v>2305 (for processing) 5/12/2015, MDR 5/13/2015, 2316 (2014) - 5/13/2015</v>
      </c>
      <c r="BY286" s="275">
        <f t="shared" si="337"/>
        <v>11</v>
      </c>
      <c r="CA286" s="168" t="str">
        <f t="shared" si="338"/>
        <v/>
      </c>
      <c r="CB286" s="151" t="str">
        <f t="shared" si="339"/>
        <v/>
      </c>
      <c r="CC286" s="153" t="str">
        <f t="shared" ca="1" si="340"/>
        <v/>
      </c>
      <c r="CD286" s="153" t="str">
        <f t="shared" si="341"/>
        <v/>
      </c>
      <c r="CE286" s="153" t="str">
        <f t="shared" si="342"/>
        <v/>
      </c>
      <c r="CF286" s="396" t="str">
        <f t="shared" si="343"/>
        <v/>
      </c>
      <c r="CG286" s="397" t="str">
        <f t="shared" si="344"/>
        <v/>
      </c>
      <c r="CH286" s="153" t="str">
        <f t="shared" si="345"/>
        <v/>
      </c>
      <c r="CI286" s="151" t="str">
        <f t="shared" si="346"/>
        <v/>
      </c>
      <c r="CJ286" s="151" t="str">
        <f t="shared" si="347"/>
        <v/>
      </c>
      <c r="CK286" s="153">
        <f t="shared" si="348"/>
        <v>8</v>
      </c>
      <c r="CL286" s="153">
        <f t="shared" si="349"/>
        <v>8</v>
      </c>
      <c r="CM286" s="153">
        <f t="shared" si="350"/>
        <v>9</v>
      </c>
      <c r="CN286" s="153">
        <f t="shared" si="351"/>
        <v>2</v>
      </c>
      <c r="CO286" s="153">
        <f t="shared" si="352"/>
        <v>8</v>
      </c>
      <c r="CP286" s="153">
        <f t="shared" si="353"/>
        <v>6</v>
      </c>
      <c r="CQ286" s="153">
        <f t="shared" si="354"/>
        <v>12</v>
      </c>
      <c r="CR286" s="153">
        <f t="shared" si="355"/>
        <v>12</v>
      </c>
      <c r="CS286" s="153">
        <f t="shared" si="356"/>
        <v>0</v>
      </c>
      <c r="CT286" s="153">
        <f t="shared" si="357"/>
        <v>9</v>
      </c>
      <c r="CU286" s="153">
        <f t="shared" si="358"/>
        <v>7</v>
      </c>
      <c r="CV286" s="153">
        <f t="shared" si="359"/>
        <v>10</v>
      </c>
      <c r="CW286" s="153">
        <f t="shared" si="360"/>
        <v>0</v>
      </c>
      <c r="CX286" s="153">
        <f t="shared" si="361"/>
        <v>0</v>
      </c>
      <c r="CY286" s="153">
        <f t="shared" si="362"/>
        <v>13</v>
      </c>
    </row>
    <row r="287" spans="1:103" x14ac:dyDescent="0.25">
      <c r="A287" s="7">
        <v>196</v>
      </c>
      <c r="B287" s="16">
        <v>42135</v>
      </c>
      <c r="C287" s="1">
        <v>1082503</v>
      </c>
      <c r="D287" s="1" t="s">
        <v>3219</v>
      </c>
      <c r="E287" s="10" t="str">
        <f t="shared" si="329"/>
        <v xml:space="preserve">NBI, NSO, Info, AWOL, Hand, Waiver, </v>
      </c>
      <c r="F287" s="10" t="str">
        <f t="shared" si="330"/>
        <v xml:space="preserve">MDR, TOR, COE, 2x2, </v>
      </c>
      <c r="I287" s="16">
        <v>42137</v>
      </c>
      <c r="K287" s="152">
        <f t="shared" ca="1" si="303"/>
        <v>13</v>
      </c>
      <c r="N287" s="153" t="str">
        <f t="shared" si="331"/>
        <v/>
      </c>
      <c r="O287" s="1">
        <v>2</v>
      </c>
      <c r="R287" s="1">
        <v>9168275201</v>
      </c>
      <c r="S287" s="153">
        <f t="shared" si="334"/>
        <v>9168275201</v>
      </c>
      <c r="T287" s="153" t="str">
        <f t="shared" si="335"/>
        <v/>
      </c>
      <c r="U287" s="1" t="s">
        <v>3196</v>
      </c>
      <c r="V287" s="1" t="s">
        <v>3170</v>
      </c>
      <c r="W287" s="1" t="s">
        <v>3169</v>
      </c>
      <c r="X287" s="1" t="s">
        <v>1170</v>
      </c>
      <c r="Y287" s="1" t="s">
        <v>73</v>
      </c>
      <c r="Z287" s="1" t="s">
        <v>74</v>
      </c>
      <c r="AA287" s="1" t="s">
        <v>1232</v>
      </c>
      <c r="AC287" s="1" t="s">
        <v>741</v>
      </c>
      <c r="AD287" s="1" t="s">
        <v>1234</v>
      </c>
      <c r="AH287" s="1" t="s">
        <v>52</v>
      </c>
      <c r="AI287" s="1" t="s">
        <v>253</v>
      </c>
      <c r="AJ287" s="153" t="str">
        <f t="shared" si="268"/>
        <v/>
      </c>
      <c r="AL287" s="1" t="s">
        <v>558</v>
      </c>
      <c r="AM287" s="1" t="s">
        <v>854</v>
      </c>
      <c r="AN287" s="16">
        <v>34489</v>
      </c>
      <c r="AW287" s="169">
        <v>42139</v>
      </c>
      <c r="AX287" s="112" t="s">
        <v>3222</v>
      </c>
      <c r="AZ287" s="170">
        <v>42139</v>
      </c>
      <c r="BA287" s="170">
        <v>42139</v>
      </c>
      <c r="BC287" s="169">
        <v>42139</v>
      </c>
      <c r="BD287" s="172" t="s">
        <v>3220</v>
      </c>
      <c r="BE287" s="169">
        <v>42139</v>
      </c>
      <c r="BF287" s="172" t="s">
        <v>3223</v>
      </c>
      <c r="BG287" s="169">
        <v>42139</v>
      </c>
      <c r="BH287" s="188" t="s">
        <v>3221</v>
      </c>
      <c r="BS287" s="169">
        <v>42137</v>
      </c>
      <c r="BT287" s="170">
        <v>42137</v>
      </c>
      <c r="BU287" s="181">
        <v>42137</v>
      </c>
      <c r="BW287" s="152" t="str">
        <f t="shared" si="336"/>
        <v xml:space="preserve">1905 (for processing) 5/15/2015, 2305 (for processing) 5/15/2015, </v>
      </c>
      <c r="BY287" s="275">
        <f t="shared" si="337"/>
        <v>11</v>
      </c>
      <c r="CA287" s="168" t="str">
        <f t="shared" si="338"/>
        <v/>
      </c>
      <c r="CB287" s="151" t="str">
        <f t="shared" si="339"/>
        <v/>
      </c>
      <c r="CC287" s="153" t="str">
        <f t="shared" ca="1" si="340"/>
        <v/>
      </c>
      <c r="CD287" s="153" t="str">
        <f t="shared" si="341"/>
        <v/>
      </c>
      <c r="CE287" s="153" t="str">
        <f t="shared" si="342"/>
        <v/>
      </c>
      <c r="CF287" s="396" t="str">
        <f t="shared" si="343"/>
        <v/>
      </c>
      <c r="CG287" s="397" t="str">
        <f t="shared" si="344"/>
        <v/>
      </c>
      <c r="CH287" s="153" t="str">
        <f t="shared" si="345"/>
        <v/>
      </c>
      <c r="CI287" s="151" t="str">
        <f t="shared" si="346"/>
        <v/>
      </c>
      <c r="CJ287" s="151" t="str">
        <f t="shared" si="347"/>
        <v/>
      </c>
      <c r="CK287" s="153">
        <f t="shared" si="348"/>
        <v>9</v>
      </c>
      <c r="CL287" s="153">
        <f t="shared" si="349"/>
        <v>9</v>
      </c>
      <c r="CM287" s="153">
        <f t="shared" si="350"/>
        <v>10</v>
      </c>
      <c r="CN287" s="153">
        <f t="shared" si="351"/>
        <v>2</v>
      </c>
      <c r="CO287" s="153">
        <f t="shared" si="352"/>
        <v>8</v>
      </c>
      <c r="CP287" s="153">
        <f t="shared" si="353"/>
        <v>6</v>
      </c>
      <c r="CQ287" s="153">
        <f t="shared" si="354"/>
        <v>12</v>
      </c>
      <c r="CR287" s="153">
        <f t="shared" si="355"/>
        <v>12</v>
      </c>
      <c r="CS287" s="153">
        <f t="shared" si="356"/>
        <v>0</v>
      </c>
      <c r="CT287" s="153">
        <f t="shared" si="357"/>
        <v>10</v>
      </c>
      <c r="CU287" s="153">
        <f t="shared" si="358"/>
        <v>8</v>
      </c>
      <c r="CV287" s="153">
        <f t="shared" si="359"/>
        <v>11</v>
      </c>
      <c r="CW287" s="153">
        <f t="shared" si="360"/>
        <v>0</v>
      </c>
      <c r="CX287" s="153">
        <f t="shared" si="361"/>
        <v>0</v>
      </c>
      <c r="CY287" s="153">
        <f t="shared" si="362"/>
        <v>14</v>
      </c>
    </row>
    <row r="288" spans="1:103" x14ac:dyDescent="0.25">
      <c r="A288" s="7">
        <v>196</v>
      </c>
      <c r="B288" s="16">
        <v>42135</v>
      </c>
      <c r="C288" s="1">
        <v>1082504</v>
      </c>
      <c r="D288" s="1" t="s">
        <v>3224</v>
      </c>
      <c r="E288" s="10" t="str">
        <f t="shared" si="329"/>
        <v xml:space="preserve">NBI, Info, Waiver, </v>
      </c>
      <c r="F288" s="10" t="str">
        <f t="shared" si="330"/>
        <v xml:space="preserve">MDR, TOR, 2x2, </v>
      </c>
      <c r="I288" s="16">
        <v>42137</v>
      </c>
      <c r="K288" s="152">
        <f t="shared" ca="1" si="303"/>
        <v>13</v>
      </c>
      <c r="N288" s="153" t="str">
        <f t="shared" si="331"/>
        <v/>
      </c>
      <c r="O288" s="1">
        <v>2</v>
      </c>
      <c r="R288" s="1">
        <v>9276411009</v>
      </c>
      <c r="S288" s="153">
        <f t="shared" si="334"/>
        <v>9276411009</v>
      </c>
      <c r="T288" s="153" t="str">
        <f t="shared" si="335"/>
        <v/>
      </c>
      <c r="U288" s="1" t="s">
        <v>3197</v>
      </c>
      <c r="V288" s="1" t="s">
        <v>3172</v>
      </c>
      <c r="W288" s="1" t="s">
        <v>3171</v>
      </c>
      <c r="X288" s="1" t="s">
        <v>3285</v>
      </c>
      <c r="Y288" s="1" t="s">
        <v>73</v>
      </c>
      <c r="Z288" s="1" t="s">
        <v>74</v>
      </c>
      <c r="AA288" s="1" t="s">
        <v>1232</v>
      </c>
      <c r="AC288" s="1" t="s">
        <v>741</v>
      </c>
      <c r="AD288" s="1" t="s">
        <v>1234</v>
      </c>
      <c r="AH288" s="1" t="s">
        <v>52</v>
      </c>
      <c r="AI288" s="1" t="s">
        <v>3146</v>
      </c>
      <c r="AJ288" s="153" t="str">
        <f t="shared" si="268"/>
        <v>Raymond Bunda</v>
      </c>
      <c r="AL288" s="1" t="s">
        <v>254</v>
      </c>
      <c r="AM288" s="1" t="s">
        <v>854</v>
      </c>
      <c r="AN288" s="16">
        <v>29962</v>
      </c>
      <c r="AT288" s="170">
        <v>42136</v>
      </c>
      <c r="AU288" s="170">
        <v>42136</v>
      </c>
      <c r="AW288" s="169">
        <v>42139</v>
      </c>
      <c r="AX288" s="112" t="s">
        <v>3228</v>
      </c>
      <c r="AZ288" s="170">
        <v>42139</v>
      </c>
      <c r="BA288" s="170">
        <v>42136</v>
      </c>
      <c r="BC288" s="169">
        <v>42139</v>
      </c>
      <c r="BD288" s="172" t="s">
        <v>3226</v>
      </c>
      <c r="BE288" s="169">
        <v>42139</v>
      </c>
      <c r="BF288" s="172" t="s">
        <v>3225</v>
      </c>
      <c r="BG288" s="169">
        <v>42139</v>
      </c>
      <c r="BH288" s="188" t="s">
        <v>3227</v>
      </c>
      <c r="BM288" s="169">
        <v>42139</v>
      </c>
      <c r="BR288" s="181">
        <v>42139</v>
      </c>
      <c r="BS288" s="169">
        <v>42137</v>
      </c>
      <c r="BT288" s="170">
        <v>42137</v>
      </c>
      <c r="BU288" s="181">
        <v>42137</v>
      </c>
      <c r="BW288" s="152" t="str">
        <f t="shared" si="336"/>
        <v xml:space="preserve">1905 (for processing) 5/15/2015, 2305 (for processing) 5/12/2015, </v>
      </c>
      <c r="BY288" s="275">
        <f t="shared" si="337"/>
        <v>11</v>
      </c>
      <c r="CA288" s="168" t="str">
        <f t="shared" si="338"/>
        <v/>
      </c>
      <c r="CB288" s="151" t="str">
        <f t="shared" si="339"/>
        <v/>
      </c>
      <c r="CC288" s="153" t="str">
        <f t="shared" ca="1" si="340"/>
        <v/>
      </c>
      <c r="CD288" s="153" t="str">
        <f t="shared" si="341"/>
        <v/>
      </c>
      <c r="CE288" s="153" t="str">
        <f t="shared" si="342"/>
        <v/>
      </c>
      <c r="CF288" s="396" t="str">
        <f t="shared" si="343"/>
        <v/>
      </c>
      <c r="CG288" s="397" t="str">
        <f t="shared" si="344"/>
        <v/>
      </c>
      <c r="CH288" s="153" t="str">
        <f t="shared" si="345"/>
        <v/>
      </c>
      <c r="CI288" s="151" t="str">
        <f t="shared" si="346"/>
        <v/>
      </c>
      <c r="CJ288" s="151" t="str">
        <f t="shared" si="347"/>
        <v/>
      </c>
      <c r="CK288" s="153">
        <f t="shared" si="348"/>
        <v>10</v>
      </c>
      <c r="CL288" s="153">
        <f t="shared" si="349"/>
        <v>10</v>
      </c>
      <c r="CM288" s="153">
        <f t="shared" si="350"/>
        <v>11</v>
      </c>
      <c r="CN288" s="153">
        <f t="shared" si="351"/>
        <v>2</v>
      </c>
      <c r="CO288" s="153">
        <f t="shared" si="352"/>
        <v>9</v>
      </c>
      <c r="CP288" s="153">
        <f t="shared" si="353"/>
        <v>6</v>
      </c>
      <c r="CQ288" s="153">
        <f t="shared" si="354"/>
        <v>13</v>
      </c>
      <c r="CR288" s="153">
        <f t="shared" si="355"/>
        <v>13</v>
      </c>
      <c r="CS288" s="153">
        <f t="shared" si="356"/>
        <v>0</v>
      </c>
      <c r="CT288" s="153">
        <f t="shared" si="357"/>
        <v>11</v>
      </c>
      <c r="CU288" s="153">
        <f t="shared" si="358"/>
        <v>9</v>
      </c>
      <c r="CV288" s="153">
        <f t="shared" si="359"/>
        <v>12</v>
      </c>
      <c r="CW288" s="153">
        <f t="shared" si="360"/>
        <v>0</v>
      </c>
      <c r="CX288" s="153">
        <f t="shared" si="361"/>
        <v>0</v>
      </c>
      <c r="CY288" s="153">
        <f t="shared" si="362"/>
        <v>15</v>
      </c>
    </row>
    <row r="289" spans="1:103" x14ac:dyDescent="0.25">
      <c r="A289" s="7">
        <v>196</v>
      </c>
      <c r="B289" s="16">
        <v>42135</v>
      </c>
      <c r="C289" s="1">
        <v>1082505</v>
      </c>
      <c r="D289" s="1" t="s">
        <v>3182</v>
      </c>
      <c r="E289" s="10" t="str">
        <f t="shared" si="329"/>
        <v xml:space="preserve">SSS, HDMF, PHIC, NBI, NSO, Info, Waiver, TIN, 1905, 2305, </v>
      </c>
      <c r="F289" s="10" t="str">
        <f t="shared" si="330"/>
        <v xml:space="preserve">MDR, TOR, COE, 2x2, </v>
      </c>
      <c r="I289" s="16">
        <v>42137</v>
      </c>
      <c r="K289" s="152">
        <f t="shared" ca="1" si="303"/>
        <v>13</v>
      </c>
      <c r="N289" s="153" t="str">
        <f t="shared" si="331"/>
        <v/>
      </c>
      <c r="O289" s="1">
        <v>2</v>
      </c>
      <c r="R289" s="1">
        <v>9063166439</v>
      </c>
      <c r="S289" s="153">
        <f t="shared" si="334"/>
        <v>9063166439</v>
      </c>
      <c r="T289" s="153" t="str">
        <f t="shared" si="335"/>
        <v/>
      </c>
      <c r="V289" s="1" t="s">
        <v>3174</v>
      </c>
      <c r="W289" s="1" t="s">
        <v>3173</v>
      </c>
      <c r="X289" s="1" t="s">
        <v>581</v>
      </c>
      <c r="Y289" s="1" t="s">
        <v>73</v>
      </c>
      <c r="Z289" s="1" t="s">
        <v>3282</v>
      </c>
      <c r="AA289" s="1" t="s">
        <v>3298</v>
      </c>
      <c r="AH289" s="1" t="s">
        <v>52</v>
      </c>
      <c r="AI289" s="1" t="s">
        <v>253</v>
      </c>
      <c r="AJ289" s="153" t="str">
        <f t="shared" si="268"/>
        <v/>
      </c>
      <c r="AL289" s="1" t="s">
        <v>259</v>
      </c>
      <c r="AM289" s="1" t="s">
        <v>854</v>
      </c>
      <c r="AN289" s="16" t="s">
        <v>3175</v>
      </c>
      <c r="AT289" s="170">
        <v>42136</v>
      </c>
      <c r="AU289" s="170">
        <v>42136</v>
      </c>
      <c r="BS289" s="169">
        <v>42137</v>
      </c>
      <c r="BT289" s="170">
        <v>42137</v>
      </c>
      <c r="BU289" s="181">
        <v>42137</v>
      </c>
      <c r="BW289" s="152" t="str">
        <f t="shared" si="336"/>
        <v/>
      </c>
      <c r="BY289" s="275">
        <f t="shared" si="337"/>
        <v>11</v>
      </c>
      <c r="CA289" s="168">
        <f t="shared" si="338"/>
        <v>196</v>
      </c>
      <c r="CB289" s="151">
        <f t="shared" si="339"/>
        <v>42135</v>
      </c>
      <c r="CC289" s="153">
        <f t="shared" ca="1" si="340"/>
        <v>2</v>
      </c>
      <c r="CD289" s="153">
        <f t="shared" si="341"/>
        <v>16</v>
      </c>
      <c r="CE289" s="153">
        <f t="shared" si="342"/>
        <v>0</v>
      </c>
      <c r="CF289" s="396">
        <f t="shared" si="343"/>
        <v>16</v>
      </c>
      <c r="CG289" s="397">
        <f t="shared" si="344"/>
        <v>0.54545454545454541</v>
      </c>
      <c r="CH289" s="153" t="str">
        <f t="shared" si="345"/>
        <v xml:space="preserve">NBI (14) Info (10) Waiver (16) </v>
      </c>
      <c r="CI289" s="151" t="str">
        <f t="shared" si="346"/>
        <v/>
      </c>
      <c r="CJ289" s="151" t="str">
        <f t="shared" si="347"/>
        <v/>
      </c>
      <c r="CK289" s="153">
        <f t="shared" si="348"/>
        <v>10</v>
      </c>
      <c r="CL289" s="153">
        <f t="shared" si="349"/>
        <v>10</v>
      </c>
      <c r="CM289" s="153">
        <f t="shared" si="350"/>
        <v>11</v>
      </c>
      <c r="CN289" s="153">
        <f t="shared" si="351"/>
        <v>2</v>
      </c>
      <c r="CO289" s="153">
        <f t="shared" si="352"/>
        <v>9</v>
      </c>
      <c r="CP289" s="153">
        <f t="shared" si="353"/>
        <v>6</v>
      </c>
      <c r="CQ289" s="153">
        <f t="shared" si="354"/>
        <v>14</v>
      </c>
      <c r="CR289" s="153">
        <f t="shared" si="355"/>
        <v>14</v>
      </c>
      <c r="CS289" s="153">
        <f t="shared" si="356"/>
        <v>0</v>
      </c>
      <c r="CT289" s="153">
        <f t="shared" si="357"/>
        <v>11</v>
      </c>
      <c r="CU289" s="153">
        <f t="shared" si="358"/>
        <v>9</v>
      </c>
      <c r="CV289" s="153">
        <f t="shared" si="359"/>
        <v>12</v>
      </c>
      <c r="CW289" s="153">
        <f t="shared" si="360"/>
        <v>0</v>
      </c>
      <c r="CX289" s="153">
        <f t="shared" si="361"/>
        <v>0</v>
      </c>
      <c r="CY289" s="153">
        <f t="shared" si="362"/>
        <v>16</v>
      </c>
    </row>
    <row r="290" spans="1:103" x14ac:dyDescent="0.25">
      <c r="N290" s="153" t="str">
        <f t="shared" si="331"/>
        <v/>
      </c>
      <c r="R290" s="1">
        <v>9271280741</v>
      </c>
      <c r="S290" s="153">
        <f t="shared" si="334"/>
        <v>9271280741</v>
      </c>
      <c r="T290" s="153" t="str">
        <f t="shared" si="335"/>
        <v/>
      </c>
      <c r="BW290" s="152"/>
      <c r="CA290" s="168"/>
      <c r="CB290" s="151"/>
      <c r="CC290" s="153"/>
      <c r="CD290" s="153"/>
      <c r="CE290" s="153"/>
      <c r="CF290" s="396"/>
      <c r="CG290" s="397"/>
      <c r="CH290" s="153"/>
      <c r="CI290" s="151"/>
      <c r="CJ290" s="151"/>
      <c r="CK290" s="153"/>
      <c r="CL290" s="153"/>
      <c r="CM290" s="153"/>
      <c r="CN290" s="153"/>
      <c r="CO290" s="153"/>
      <c r="CP290" s="153"/>
      <c r="CQ290" s="153"/>
      <c r="CR290" s="153"/>
      <c r="CS290" s="153"/>
      <c r="CT290" s="153"/>
      <c r="CU290" s="153"/>
      <c r="CV290" s="153"/>
      <c r="CW290" s="153"/>
      <c r="CX290" s="153"/>
      <c r="CY290" s="153"/>
    </row>
  </sheetData>
  <autoFilter ref="A1:DB290"/>
  <pageMargins left="0.7" right="0.7" top="0.75" bottom="0.75" header="0.3" footer="0.3"/>
  <pageSetup scale="46" orientation="landscape" r:id="rId1"/>
  <colBreaks count="1" manualBreakCount="1">
    <brk id="12" min="99" max="106" man="1"/>
  </colBreaks>
  <drawing r:id="rId2"/>
  <legacyDrawing r:id="rId3"/>
  <controls>
    <mc:AlternateContent xmlns:mc="http://schemas.openxmlformats.org/markup-compatibility/2006">
      <mc:Choice Requires="x14">
        <control shapeId="1063" r:id="rId4" name="CommandButton20">
          <controlPr defaultSize="0" print="0" autoFill="0" autoLine="0" r:id="rId5">
            <anchor>
              <from>
                <xdr:col>3</xdr:col>
                <xdr:colOff>1257300</xdr:colOff>
                <xdr:row>0</xdr:row>
                <xdr:rowOff>0</xdr:rowOff>
              </from>
              <to>
                <xdr:col>3</xdr:col>
                <xdr:colOff>1962150</xdr:colOff>
                <xdr:row>1</xdr:row>
                <xdr:rowOff>76200</xdr:rowOff>
              </to>
            </anchor>
          </controlPr>
        </control>
      </mc:Choice>
      <mc:Fallback>
        <control shapeId="1063" r:id="rId4" name="CommandButton20"/>
      </mc:Fallback>
    </mc:AlternateContent>
    <mc:AlternateContent xmlns:mc="http://schemas.openxmlformats.org/markup-compatibility/2006">
      <mc:Choice Requires="x14">
        <control shapeId="1062" r:id="rId6" name="CommandButton19">
          <controlPr defaultSize="0" print="0" autoFill="0" autoLine="0" r:id="rId7">
            <anchor>
              <from>
                <xdr:col>3</xdr:col>
                <xdr:colOff>2124075</xdr:colOff>
                <xdr:row>0</xdr:row>
                <xdr:rowOff>0</xdr:rowOff>
              </from>
              <to>
                <xdr:col>3</xdr:col>
                <xdr:colOff>3114675</xdr:colOff>
                <xdr:row>1</xdr:row>
                <xdr:rowOff>114300</xdr:rowOff>
              </to>
            </anchor>
          </controlPr>
        </control>
      </mc:Choice>
      <mc:Fallback>
        <control shapeId="1062" r:id="rId6" name="CommandButton19"/>
      </mc:Fallback>
    </mc:AlternateContent>
    <mc:AlternateContent xmlns:mc="http://schemas.openxmlformats.org/markup-compatibility/2006">
      <mc:Choice Requires="x14">
        <control shapeId="1061" r:id="rId8" name="CommandButton18">
          <controlPr defaultSize="0" print="0" autoFill="0" autoLine="0" r:id="rId9">
            <anchor>
              <from>
                <xdr:col>4</xdr:col>
                <xdr:colOff>57150</xdr:colOff>
                <xdr:row>0</xdr:row>
                <xdr:rowOff>0</xdr:rowOff>
              </from>
              <to>
                <xdr:col>4</xdr:col>
                <xdr:colOff>781050</xdr:colOff>
                <xdr:row>1</xdr:row>
                <xdr:rowOff>95250</xdr:rowOff>
              </to>
            </anchor>
          </controlPr>
        </control>
      </mc:Choice>
      <mc:Fallback>
        <control shapeId="1061" r:id="rId8" name="CommandButton18"/>
      </mc:Fallback>
    </mc:AlternateContent>
    <mc:AlternateContent xmlns:mc="http://schemas.openxmlformats.org/markup-compatibility/2006">
      <mc:Choice Requires="x14">
        <control shapeId="1060" r:id="rId10" name="CommandButton17">
          <controlPr defaultSize="0" print="0" autoFill="0" autoLine="0" r:id="rId11">
            <anchor>
              <from>
                <xdr:col>4</xdr:col>
                <xdr:colOff>819150</xdr:colOff>
                <xdr:row>0</xdr:row>
                <xdr:rowOff>0</xdr:rowOff>
              </from>
              <to>
                <xdr:col>4</xdr:col>
                <xdr:colOff>1438275</xdr:colOff>
                <xdr:row>1</xdr:row>
                <xdr:rowOff>57150</xdr:rowOff>
              </to>
            </anchor>
          </controlPr>
        </control>
      </mc:Choice>
      <mc:Fallback>
        <control shapeId="1060" r:id="rId10" name="CommandButton17"/>
      </mc:Fallback>
    </mc:AlternateContent>
    <mc:AlternateContent xmlns:mc="http://schemas.openxmlformats.org/markup-compatibility/2006">
      <mc:Choice Requires="x14">
        <control shapeId="1059" r:id="rId12" name="CommandButton16">
          <controlPr defaultSize="0" print="0" autoFill="0" autoLine="0" r:id="rId13">
            <anchor>
              <from>
                <xdr:col>4</xdr:col>
                <xdr:colOff>1514475</xdr:colOff>
                <xdr:row>0</xdr:row>
                <xdr:rowOff>0</xdr:rowOff>
              </from>
              <to>
                <xdr:col>4</xdr:col>
                <xdr:colOff>2238375</xdr:colOff>
                <xdr:row>1</xdr:row>
                <xdr:rowOff>76200</xdr:rowOff>
              </to>
            </anchor>
          </controlPr>
        </control>
      </mc:Choice>
      <mc:Fallback>
        <control shapeId="1059" r:id="rId12" name="CommandButton16"/>
      </mc:Fallback>
    </mc:AlternateContent>
    <mc:AlternateContent xmlns:mc="http://schemas.openxmlformats.org/markup-compatibility/2006">
      <mc:Choice Requires="x14">
        <control shapeId="1058" r:id="rId14" name="CommandButton15">
          <controlPr defaultSize="0" print="0" autoFill="0" autoLine="0" r:id="rId15">
            <anchor>
              <from>
                <xdr:col>4</xdr:col>
                <xdr:colOff>2286000</xdr:colOff>
                <xdr:row>0</xdr:row>
                <xdr:rowOff>0</xdr:rowOff>
              </from>
              <to>
                <xdr:col>4</xdr:col>
                <xdr:colOff>3238500</xdr:colOff>
                <xdr:row>1</xdr:row>
                <xdr:rowOff>95250</xdr:rowOff>
              </to>
            </anchor>
          </controlPr>
        </control>
      </mc:Choice>
      <mc:Fallback>
        <control shapeId="1058" r:id="rId14" name="CommandButton15"/>
      </mc:Fallback>
    </mc:AlternateContent>
    <mc:AlternateContent xmlns:mc="http://schemas.openxmlformats.org/markup-compatibility/2006">
      <mc:Choice Requires="x14">
        <control shapeId="1056" r:id="rId16" name="CommandButton13">
          <controlPr defaultSize="0" print="0" autoFill="0" autoLine="0" r:id="rId17">
            <anchor>
              <from>
                <xdr:col>4</xdr:col>
                <xdr:colOff>3305175</xdr:colOff>
                <xdr:row>0</xdr:row>
                <xdr:rowOff>0</xdr:rowOff>
              </from>
              <to>
                <xdr:col>4</xdr:col>
                <xdr:colOff>4000500</xdr:colOff>
                <xdr:row>1</xdr:row>
                <xdr:rowOff>95250</xdr:rowOff>
              </to>
            </anchor>
          </controlPr>
        </control>
      </mc:Choice>
      <mc:Fallback>
        <control shapeId="1056" r:id="rId16" name="CommandButton13"/>
      </mc:Fallback>
    </mc:AlternateContent>
    <mc:AlternateContent xmlns:mc="http://schemas.openxmlformats.org/markup-compatibility/2006">
      <mc:Choice Requires="x14">
        <control shapeId="1055" r:id="rId18" name="CommandButton12">
          <controlPr defaultSize="0" print="0" autoFill="0" autoLine="0" r:id="rId19">
            <anchor>
              <from>
                <xdr:col>4</xdr:col>
                <xdr:colOff>4067175</xdr:colOff>
                <xdr:row>0</xdr:row>
                <xdr:rowOff>0</xdr:rowOff>
              </from>
              <to>
                <xdr:col>4</xdr:col>
                <xdr:colOff>4705350</xdr:colOff>
                <xdr:row>1</xdr:row>
                <xdr:rowOff>57150</xdr:rowOff>
              </to>
            </anchor>
          </controlPr>
        </control>
      </mc:Choice>
      <mc:Fallback>
        <control shapeId="1055" r:id="rId18" name="CommandButton12"/>
      </mc:Fallback>
    </mc:AlternateContent>
    <mc:AlternateContent xmlns:mc="http://schemas.openxmlformats.org/markup-compatibility/2006">
      <mc:Choice Requires="x14">
        <control shapeId="1054" r:id="rId20" name="CommandButton11">
          <controlPr defaultSize="0" print="0" autoFill="0" autoLine="0" r:id="rId21">
            <anchor>
              <from>
                <xdr:col>5</xdr:col>
                <xdr:colOff>66675</xdr:colOff>
                <xdr:row>0</xdr:row>
                <xdr:rowOff>0</xdr:rowOff>
              </from>
              <to>
                <xdr:col>5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" r:id="rId20" name="CommandButton11"/>
      </mc:Fallback>
    </mc:AlternateContent>
    <mc:AlternateContent xmlns:mc="http://schemas.openxmlformats.org/markup-compatibility/2006">
      <mc:Choice Requires="x14">
        <control shapeId="1053" r:id="rId22" name="CommandButton10">
          <controlPr defaultSize="0" print="0" autoFill="0" autoLine="0" r:id="rId23">
            <anchor>
              <from>
                <xdr:col>5</xdr:col>
                <xdr:colOff>895350</xdr:colOff>
                <xdr:row>0</xdr:row>
                <xdr:rowOff>0</xdr:rowOff>
              </from>
              <to>
                <xdr:col>5</xdr:col>
                <xdr:colOff>1543050</xdr:colOff>
                <xdr:row>1</xdr:row>
                <xdr:rowOff>76200</xdr:rowOff>
              </to>
            </anchor>
          </controlPr>
        </control>
      </mc:Choice>
      <mc:Fallback>
        <control shapeId="1053" r:id="rId22" name="CommandButton10"/>
      </mc:Fallback>
    </mc:AlternateContent>
    <mc:AlternateContent xmlns:mc="http://schemas.openxmlformats.org/markup-compatibility/2006">
      <mc:Choice Requires="x14">
        <control shapeId="1027" r:id="rId24" name="CommandButton3">
          <controlPr defaultSize="0" print="0" autoFill="0" autoLine="0" r:id="rId25">
            <anchor>
              <from>
                <xdr:col>63</xdr:col>
                <xdr:colOff>600075</xdr:colOff>
                <xdr:row>0</xdr:row>
                <xdr:rowOff>19050</xdr:rowOff>
              </from>
              <to>
                <xdr:col>64</xdr:col>
                <xdr:colOff>533400</xdr:colOff>
                <xdr:row>1</xdr:row>
                <xdr:rowOff>76200</xdr:rowOff>
              </to>
            </anchor>
          </controlPr>
        </control>
      </mc:Choice>
      <mc:Fallback>
        <control shapeId="1027" r:id="rId24" name="CommandButton3"/>
      </mc:Fallback>
    </mc:AlternateContent>
    <mc:AlternateContent xmlns:mc="http://schemas.openxmlformats.org/markup-compatibility/2006">
      <mc:Choice Requires="x14">
        <control shapeId="1026" r:id="rId26" name="CommandButton2">
          <controlPr defaultSize="0" print="0" autoFill="0" autoLine="0" r:id="rId27">
            <anchor>
              <from>
                <xdr:col>66</xdr:col>
                <xdr:colOff>57150</xdr:colOff>
                <xdr:row>0</xdr:row>
                <xdr:rowOff>0</xdr:rowOff>
              </from>
              <to>
                <xdr:col>66</xdr:col>
                <xdr:colOff>685800</xdr:colOff>
                <xdr:row>1</xdr:row>
                <xdr:rowOff>57150</xdr:rowOff>
              </to>
            </anchor>
          </controlPr>
        </control>
      </mc:Choice>
      <mc:Fallback>
        <control shapeId="1026" r:id="rId26" name="CommandButton2"/>
      </mc:Fallback>
    </mc:AlternateContent>
    <mc:AlternateContent xmlns:mc="http://schemas.openxmlformats.org/markup-compatibility/2006">
      <mc:Choice Requires="x14">
        <control shapeId="1064" r:id="rId28" name="CommandButton1">
          <controlPr defaultSize="0" print="0" autoFill="0" autoLine="0" r:id="rId29">
            <anchor>
              <from>
                <xdr:col>3</xdr:col>
                <xdr:colOff>590550</xdr:colOff>
                <xdr:row>0</xdr:row>
                <xdr:rowOff>0</xdr:rowOff>
              </from>
              <to>
                <xdr:col>3</xdr:col>
                <xdr:colOff>1257300</xdr:colOff>
                <xdr:row>1</xdr:row>
                <xdr:rowOff>76200</xdr:rowOff>
              </to>
            </anchor>
          </controlPr>
        </control>
      </mc:Choice>
      <mc:Fallback>
        <control shapeId="1064" r:id="rId2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N58"/>
  <sheetViews>
    <sheetView topLeftCell="C21" zoomScaleNormal="100" workbookViewId="0">
      <selection activeCell="G36" sqref="G36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13.28515625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140625" style="21" bestFit="1" customWidth="1"/>
    <col min="10" max="10" width="11.42578125" style="21" bestFit="1" customWidth="1"/>
    <col min="11" max="11" width="31.5703125" style="21" bestFit="1" customWidth="1"/>
    <col min="12" max="12" width="13.28515625" style="21" bestFit="1" customWidth="1"/>
    <col min="13" max="13" width="28.140625" style="21" bestFit="1" customWidth="1"/>
    <col min="14" max="14" width="18.710937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2591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576">
        <v>42136</v>
      </c>
      <c r="D10" s="576"/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564"/>
      <c r="K14" s="564"/>
      <c r="L14" s="564"/>
      <c r="M14" s="564"/>
    </row>
    <row r="15" spans="2:14" x14ac:dyDescent="0.2">
      <c r="H15" s="577"/>
      <c r="I15" s="577"/>
      <c r="J15" s="565"/>
      <c r="K15" s="565"/>
      <c r="L15" s="565"/>
      <c r="M15" s="565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564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564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564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562" t="s">
        <v>370</v>
      </c>
      <c r="H20" s="562" t="s">
        <v>370</v>
      </c>
      <c r="I20" s="562" t="s">
        <v>371</v>
      </c>
      <c r="J20" s="562" t="s">
        <v>1070</v>
      </c>
      <c r="K20" s="562" t="s">
        <v>209</v>
      </c>
      <c r="L20" s="562"/>
      <c r="M20" s="562"/>
      <c r="N20" s="31"/>
    </row>
    <row r="21" spans="1:14" s="564" customFormat="1" x14ac:dyDescent="0.2">
      <c r="A21" s="582"/>
      <c r="B21" s="584"/>
      <c r="C21" s="32" t="s">
        <v>372</v>
      </c>
      <c r="D21" s="563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1082437</v>
      </c>
      <c r="B22" s="39" t="s">
        <v>2649</v>
      </c>
      <c r="C22" s="38" t="s">
        <v>320</v>
      </c>
      <c r="D22" s="39" t="s">
        <v>2421</v>
      </c>
      <c r="E22" s="39" t="s">
        <v>599</v>
      </c>
      <c r="F22" s="40"/>
      <c r="G22" s="41" t="s">
        <v>483</v>
      </c>
      <c r="H22" s="41" t="s">
        <v>483</v>
      </c>
      <c r="I22" s="41" t="s">
        <v>483</v>
      </c>
      <c r="J22" s="42">
        <v>9363230900</v>
      </c>
      <c r="K22" s="42" t="s">
        <v>2422</v>
      </c>
      <c r="L22" s="42" t="s">
        <v>377</v>
      </c>
      <c r="M22" s="42" t="s">
        <v>1431</v>
      </c>
      <c r="N22" s="43"/>
    </row>
    <row r="23" spans="1:14" x14ac:dyDescent="0.2">
      <c r="A23" s="142">
        <v>1082409</v>
      </c>
      <c r="B23" s="37" t="s">
        <v>2614</v>
      </c>
      <c r="C23" s="38" t="s">
        <v>537</v>
      </c>
      <c r="D23" s="39" t="s">
        <v>2074</v>
      </c>
      <c r="E23" s="39" t="s">
        <v>2075</v>
      </c>
      <c r="F23" s="40"/>
      <c r="G23" s="41" t="s">
        <v>483</v>
      </c>
      <c r="H23" s="41" t="s">
        <v>483</v>
      </c>
      <c r="I23" s="41" t="s">
        <v>483</v>
      </c>
      <c r="J23" s="42">
        <v>9167772022</v>
      </c>
      <c r="K23" s="42" t="s">
        <v>2495</v>
      </c>
      <c r="L23" s="42" t="s">
        <v>377</v>
      </c>
      <c r="M23" s="42" t="s">
        <v>378</v>
      </c>
      <c r="N23" s="43"/>
    </row>
    <row r="24" spans="1:14" x14ac:dyDescent="0.2">
      <c r="A24" s="142">
        <v>1082457</v>
      </c>
      <c r="B24" s="37" t="s">
        <v>3084</v>
      </c>
      <c r="C24" s="38" t="s">
        <v>2709</v>
      </c>
      <c r="D24" s="39" t="s">
        <v>2707</v>
      </c>
      <c r="E24" s="39" t="s">
        <v>2708</v>
      </c>
      <c r="F24" s="40"/>
      <c r="G24" s="41" t="s">
        <v>483</v>
      </c>
      <c r="H24" s="41" t="s">
        <v>483</v>
      </c>
      <c r="I24" s="41" t="s">
        <v>483</v>
      </c>
      <c r="J24" s="42">
        <v>9266727986</v>
      </c>
      <c r="K24" s="408" t="s">
        <v>2710</v>
      </c>
      <c r="L24" s="42" t="s">
        <v>377</v>
      </c>
      <c r="M24" s="42" t="s">
        <v>820</v>
      </c>
      <c r="N24" s="43"/>
    </row>
    <row r="25" spans="1:14" x14ac:dyDescent="0.2">
      <c r="A25" s="142">
        <v>1082443</v>
      </c>
      <c r="B25" s="39" t="s">
        <v>2632</v>
      </c>
      <c r="C25" s="38" t="s">
        <v>2444</v>
      </c>
      <c r="D25" s="39" t="s">
        <v>2442</v>
      </c>
      <c r="E25" s="39" t="s">
        <v>2443</v>
      </c>
      <c r="F25" s="40"/>
      <c r="G25" s="41" t="s">
        <v>483</v>
      </c>
      <c r="H25" s="41" t="s">
        <v>483</v>
      </c>
      <c r="I25" s="41" t="s">
        <v>483</v>
      </c>
      <c r="J25" s="409">
        <v>9261931158</v>
      </c>
      <c r="K25" s="41" t="s">
        <v>2445</v>
      </c>
      <c r="L25" s="41" t="s">
        <v>377</v>
      </c>
      <c r="M25" s="41" t="s">
        <v>378</v>
      </c>
      <c r="N25" s="43"/>
    </row>
    <row r="26" spans="1:14" x14ac:dyDescent="0.2">
      <c r="A26" s="142">
        <v>1082442</v>
      </c>
      <c r="B26" s="39" t="s">
        <v>2854</v>
      </c>
      <c r="C26" s="38" t="s">
        <v>2439</v>
      </c>
      <c r="D26" s="39" t="s">
        <v>2437</v>
      </c>
      <c r="E26" s="39" t="s">
        <v>2438</v>
      </c>
      <c r="F26" s="40"/>
      <c r="G26" s="41" t="s">
        <v>483</v>
      </c>
      <c r="H26" s="41" t="s">
        <v>483</v>
      </c>
      <c r="I26" s="41" t="s">
        <v>483</v>
      </c>
      <c r="J26" s="409">
        <v>9187449999</v>
      </c>
      <c r="K26" s="41" t="s">
        <v>2440</v>
      </c>
      <c r="L26" s="41" t="s">
        <v>377</v>
      </c>
      <c r="M26" s="41" t="s">
        <v>378</v>
      </c>
      <c r="N26" s="43"/>
    </row>
    <row r="27" spans="1:14" x14ac:dyDescent="0.2">
      <c r="A27" s="142">
        <v>1082453</v>
      </c>
      <c r="B27" s="39" t="s">
        <v>2824</v>
      </c>
      <c r="C27" s="38" t="s">
        <v>2693</v>
      </c>
      <c r="D27" s="39" t="s">
        <v>2691</v>
      </c>
      <c r="E27" s="39" t="s">
        <v>2692</v>
      </c>
      <c r="F27" s="40"/>
      <c r="G27" s="41" t="s">
        <v>483</v>
      </c>
      <c r="H27" s="41" t="s">
        <v>483</v>
      </c>
      <c r="I27" s="41" t="s">
        <v>483</v>
      </c>
      <c r="J27" s="409">
        <v>9239517267</v>
      </c>
      <c r="K27" s="41" t="s">
        <v>2694</v>
      </c>
      <c r="L27" s="41" t="s">
        <v>377</v>
      </c>
      <c r="M27" s="41" t="s">
        <v>378</v>
      </c>
      <c r="N27" s="43"/>
    </row>
    <row r="28" spans="1:14" x14ac:dyDescent="0.2">
      <c r="A28" s="142">
        <v>1082439</v>
      </c>
      <c r="B28" s="39" t="s">
        <v>2560</v>
      </c>
      <c r="C28" s="38" t="s">
        <v>2428</v>
      </c>
      <c r="D28" s="39" t="s">
        <v>2427</v>
      </c>
      <c r="E28" s="39" t="s">
        <v>2054</v>
      </c>
      <c r="F28" s="40"/>
      <c r="G28" s="41" t="s">
        <v>483</v>
      </c>
      <c r="H28" s="41" t="s">
        <v>483</v>
      </c>
      <c r="I28" s="41" t="s">
        <v>483</v>
      </c>
      <c r="J28" s="409">
        <v>9222824422</v>
      </c>
      <c r="K28" s="41" t="s">
        <v>2429</v>
      </c>
      <c r="L28" s="41" t="s">
        <v>377</v>
      </c>
      <c r="M28" s="41" t="s">
        <v>820</v>
      </c>
      <c r="N28" s="43"/>
    </row>
    <row r="29" spans="1:14" x14ac:dyDescent="0.2">
      <c r="A29" s="142">
        <v>1082365</v>
      </c>
      <c r="B29" s="39" t="s">
        <v>2270</v>
      </c>
      <c r="C29" s="38" t="s">
        <v>1668</v>
      </c>
      <c r="D29" s="39" t="s">
        <v>1666</v>
      </c>
      <c r="E29" s="39" t="s">
        <v>1667</v>
      </c>
      <c r="F29" s="40"/>
      <c r="G29" s="41" t="s">
        <v>483</v>
      </c>
      <c r="H29" s="41" t="s">
        <v>483</v>
      </c>
      <c r="I29" s="41" t="s">
        <v>483</v>
      </c>
      <c r="J29" s="409">
        <v>9278685201</v>
      </c>
      <c r="K29" s="41" t="s">
        <v>1669</v>
      </c>
      <c r="L29" s="41" t="s">
        <v>377</v>
      </c>
      <c r="M29" s="41" t="s">
        <v>820</v>
      </c>
      <c r="N29" s="43"/>
    </row>
    <row r="30" spans="1:14" x14ac:dyDescent="0.2">
      <c r="A30" s="142">
        <v>1082448</v>
      </c>
      <c r="B30" s="39" t="s">
        <v>2654</v>
      </c>
      <c r="C30" s="38" t="s">
        <v>2467</v>
      </c>
      <c r="D30" s="39" t="s">
        <v>2465</v>
      </c>
      <c r="E30" s="39" t="s">
        <v>2466</v>
      </c>
      <c r="F30" s="40"/>
      <c r="G30" s="41" t="s">
        <v>483</v>
      </c>
      <c r="H30" s="41" t="s">
        <v>483</v>
      </c>
      <c r="I30" s="41" t="s">
        <v>483</v>
      </c>
      <c r="J30" s="409">
        <v>9088149638</v>
      </c>
      <c r="K30" s="41" t="s">
        <v>2468</v>
      </c>
      <c r="L30" s="41" t="s">
        <v>377</v>
      </c>
      <c r="M30" s="41" t="s">
        <v>820</v>
      </c>
      <c r="N30" s="43"/>
    </row>
    <row r="31" spans="1:14" x14ac:dyDescent="0.2">
      <c r="A31" s="142">
        <v>1082401</v>
      </c>
      <c r="B31" s="39" t="s">
        <v>2579</v>
      </c>
      <c r="C31" s="38" t="s">
        <v>1951</v>
      </c>
      <c r="D31" s="39" t="s">
        <v>1950</v>
      </c>
      <c r="E31" s="39" t="s">
        <v>1852</v>
      </c>
      <c r="F31" s="40"/>
      <c r="G31" s="41" t="s">
        <v>483</v>
      </c>
      <c r="H31" s="41" t="s">
        <v>483</v>
      </c>
      <c r="I31" s="41" t="s">
        <v>483</v>
      </c>
      <c r="J31" s="409">
        <v>9276763544</v>
      </c>
      <c r="K31" s="41" t="s">
        <v>1970</v>
      </c>
      <c r="L31" s="41" t="s">
        <v>377</v>
      </c>
      <c r="M31" s="41" t="s">
        <v>378</v>
      </c>
      <c r="N31" s="43"/>
    </row>
    <row r="32" spans="1:14" x14ac:dyDescent="0.2">
      <c r="A32" s="142">
        <v>1082431</v>
      </c>
      <c r="B32" s="39" t="s">
        <v>2774</v>
      </c>
      <c r="C32" s="38" t="s">
        <v>1695</v>
      </c>
      <c r="D32" s="39" t="s">
        <v>2401</v>
      </c>
      <c r="E32" s="39"/>
      <c r="F32" s="40"/>
      <c r="G32" s="41" t="s">
        <v>483</v>
      </c>
      <c r="H32" s="41" t="s">
        <v>483</v>
      </c>
      <c r="I32" s="41" t="s">
        <v>483</v>
      </c>
      <c r="J32" s="409">
        <v>9156624755</v>
      </c>
      <c r="K32" s="41" t="s">
        <v>2402</v>
      </c>
      <c r="L32" s="41" t="s">
        <v>377</v>
      </c>
      <c r="M32" s="41" t="s">
        <v>378</v>
      </c>
      <c r="N32" s="43"/>
    </row>
    <row r="33" spans="1:14" x14ac:dyDescent="0.2">
      <c r="A33" s="142">
        <v>1082421</v>
      </c>
      <c r="B33" s="39" t="s">
        <v>2386</v>
      </c>
      <c r="C33" s="38" t="s">
        <v>2110</v>
      </c>
      <c r="D33" s="39" t="s">
        <v>2108</v>
      </c>
      <c r="E33" s="39" t="s">
        <v>2109</v>
      </c>
      <c r="F33" s="40"/>
      <c r="G33" s="41" t="s">
        <v>483</v>
      </c>
      <c r="H33" s="41" t="s">
        <v>483</v>
      </c>
      <c r="I33" s="41" t="s">
        <v>483</v>
      </c>
      <c r="J33" s="409">
        <v>9272009963</v>
      </c>
      <c r="K33" s="41" t="s">
        <v>2507</v>
      </c>
      <c r="L33" s="41" t="s">
        <v>377</v>
      </c>
      <c r="M33" s="41" t="s">
        <v>378</v>
      </c>
      <c r="N33" s="43"/>
    </row>
    <row r="34" spans="1:14" x14ac:dyDescent="0.2">
      <c r="A34" s="142">
        <v>1082424</v>
      </c>
      <c r="B34" s="39" t="s">
        <v>2768</v>
      </c>
      <c r="C34" s="38" t="s">
        <v>2048</v>
      </c>
      <c r="D34" s="39" t="s">
        <v>2046</v>
      </c>
      <c r="E34" s="39" t="s">
        <v>2047</v>
      </c>
      <c r="F34" s="40"/>
      <c r="G34" s="41" t="s">
        <v>483</v>
      </c>
      <c r="H34" s="41" t="s">
        <v>483</v>
      </c>
      <c r="I34" s="41" t="s">
        <v>483</v>
      </c>
      <c r="J34" s="409">
        <v>9154910977</v>
      </c>
      <c r="K34" s="41" t="s">
        <v>2510</v>
      </c>
      <c r="L34" s="41" t="s">
        <v>377</v>
      </c>
      <c r="M34" s="41" t="s">
        <v>378</v>
      </c>
      <c r="N34" s="43"/>
    </row>
    <row r="35" spans="1:14" x14ac:dyDescent="0.2">
      <c r="A35" s="142">
        <v>1083008</v>
      </c>
      <c r="B35" s="39" t="s">
        <v>3136</v>
      </c>
      <c r="C35" s="38" t="s">
        <v>3137</v>
      </c>
      <c r="D35" s="39" t="s">
        <v>3138</v>
      </c>
      <c r="E35" s="39" t="s">
        <v>3139</v>
      </c>
      <c r="F35" s="40"/>
      <c r="G35" s="41" t="s">
        <v>483</v>
      </c>
      <c r="H35" s="41" t="s">
        <v>483</v>
      </c>
      <c r="I35" s="41" t="s">
        <v>483</v>
      </c>
      <c r="J35" s="409">
        <v>9212661182</v>
      </c>
      <c r="K35" s="41" t="s">
        <v>3140</v>
      </c>
      <c r="L35" s="41" t="s">
        <v>377</v>
      </c>
      <c r="M35" s="41" t="s">
        <v>820</v>
      </c>
      <c r="N35" s="43"/>
    </row>
    <row r="36" spans="1:14" x14ac:dyDescent="0.2">
      <c r="A36" s="142">
        <v>1082396</v>
      </c>
      <c r="B36" s="39" t="s">
        <v>2840</v>
      </c>
      <c r="C36" s="38" t="s">
        <v>1937</v>
      </c>
      <c r="D36" s="39" t="s">
        <v>1935</v>
      </c>
      <c r="E36" s="39" t="s">
        <v>1936</v>
      </c>
      <c r="F36" s="40"/>
      <c r="G36" s="41" t="s">
        <v>483</v>
      </c>
      <c r="H36" s="41" t="s">
        <v>483</v>
      </c>
      <c r="I36" s="41" t="s">
        <v>483</v>
      </c>
      <c r="J36" s="409">
        <v>9469733104</v>
      </c>
      <c r="K36" s="41" t="s">
        <v>1960</v>
      </c>
      <c r="L36" s="41" t="s">
        <v>377</v>
      </c>
      <c r="M36" s="41" t="s">
        <v>378</v>
      </c>
      <c r="N36" s="43"/>
    </row>
    <row r="37" spans="1:14" x14ac:dyDescent="0.2">
      <c r="A37" s="142">
        <v>1082432</v>
      </c>
      <c r="B37" s="39" t="s">
        <v>2665</v>
      </c>
      <c r="C37" s="38" t="s">
        <v>3141</v>
      </c>
      <c r="D37" s="39" t="s">
        <v>2403</v>
      </c>
      <c r="E37" s="39" t="s">
        <v>2404</v>
      </c>
      <c r="F37" s="40"/>
      <c r="G37" s="41" t="s">
        <v>483</v>
      </c>
      <c r="H37" s="41" t="s">
        <v>483</v>
      </c>
      <c r="I37" s="41" t="s">
        <v>483</v>
      </c>
      <c r="J37" s="409">
        <v>9773241107</v>
      </c>
      <c r="K37" s="41" t="s">
        <v>2405</v>
      </c>
      <c r="L37" s="41" t="s">
        <v>377</v>
      </c>
      <c r="M37" s="41" t="s">
        <v>378</v>
      </c>
      <c r="N37" s="43"/>
    </row>
    <row r="38" spans="1:14" x14ac:dyDescent="0.2">
      <c r="A38" s="142">
        <v>1082418</v>
      </c>
      <c r="B38" s="39" t="s">
        <v>2615</v>
      </c>
      <c r="C38" s="38" t="s">
        <v>1866</v>
      </c>
      <c r="D38" s="39" t="s">
        <v>3142</v>
      </c>
      <c r="E38" s="39" t="s">
        <v>2102</v>
      </c>
      <c r="F38" s="40"/>
      <c r="G38" s="41" t="s">
        <v>483</v>
      </c>
      <c r="H38" s="41" t="s">
        <v>483</v>
      </c>
      <c r="I38" s="41" t="s">
        <v>483</v>
      </c>
      <c r="J38" s="409">
        <v>9255654325</v>
      </c>
      <c r="K38" s="41" t="s">
        <v>2504</v>
      </c>
      <c r="L38" s="41" t="s">
        <v>377</v>
      </c>
      <c r="M38" s="41" t="s">
        <v>378</v>
      </c>
      <c r="N38" s="43"/>
    </row>
    <row r="39" spans="1:14" x14ac:dyDescent="0.2">
      <c r="A39" s="142">
        <v>1082434</v>
      </c>
      <c r="B39" s="39" t="s">
        <v>2852</v>
      </c>
      <c r="C39" s="38" t="s">
        <v>2412</v>
      </c>
      <c r="D39" s="39" t="s">
        <v>2410</v>
      </c>
      <c r="E39" s="39" t="s">
        <v>2411</v>
      </c>
      <c r="F39" s="40"/>
      <c r="G39" s="41" t="s">
        <v>483</v>
      </c>
      <c r="H39" s="41" t="s">
        <v>483</v>
      </c>
      <c r="I39" s="41" t="s">
        <v>483</v>
      </c>
      <c r="J39" s="409">
        <v>9351252538</v>
      </c>
      <c r="K39" s="41" t="s">
        <v>2413</v>
      </c>
      <c r="L39" s="41" t="s">
        <v>377</v>
      </c>
      <c r="M39" s="41" t="s">
        <v>378</v>
      </c>
      <c r="N39" s="43"/>
    </row>
    <row r="40" spans="1:14" x14ac:dyDescent="0.2">
      <c r="A40" s="142">
        <v>1082368</v>
      </c>
      <c r="B40" s="39" t="s">
        <v>2377</v>
      </c>
      <c r="C40" s="38" t="s">
        <v>1680</v>
      </c>
      <c r="D40" s="39" t="s">
        <v>1474</v>
      </c>
      <c r="E40" s="39" t="s">
        <v>1679</v>
      </c>
      <c r="F40" s="40"/>
      <c r="G40" s="41" t="s">
        <v>483</v>
      </c>
      <c r="H40" s="41" t="s">
        <v>483</v>
      </c>
      <c r="I40" s="41" t="s">
        <v>483</v>
      </c>
      <c r="J40" s="409">
        <v>9154414696</v>
      </c>
      <c r="K40" s="41" t="s">
        <v>1681</v>
      </c>
      <c r="L40" s="41" t="s">
        <v>377</v>
      </c>
      <c r="M40" s="41" t="s">
        <v>378</v>
      </c>
      <c r="N40" s="43"/>
    </row>
    <row r="41" spans="1:14" x14ac:dyDescent="0.2">
      <c r="A41" s="142">
        <v>1082415</v>
      </c>
      <c r="B41" s="39" t="s">
        <v>2367</v>
      </c>
      <c r="C41" s="38" t="s">
        <v>2094</v>
      </c>
      <c r="D41" s="39" t="s">
        <v>2092</v>
      </c>
      <c r="E41" s="39" t="s">
        <v>2093</v>
      </c>
      <c r="F41" s="40"/>
      <c r="G41" s="41" t="s">
        <v>483</v>
      </c>
      <c r="H41" s="41" t="s">
        <v>483</v>
      </c>
      <c r="I41" s="41" t="s">
        <v>483</v>
      </c>
      <c r="J41" s="409">
        <v>9279038347</v>
      </c>
      <c r="K41" s="41" t="s">
        <v>2501</v>
      </c>
      <c r="L41" s="41" t="s">
        <v>377</v>
      </c>
      <c r="M41" s="41" t="s">
        <v>820</v>
      </c>
      <c r="N41" s="43"/>
    </row>
    <row r="42" spans="1:14" x14ac:dyDescent="0.2">
      <c r="A42" s="142">
        <v>1082460</v>
      </c>
      <c r="B42" s="39" t="s">
        <v>2800</v>
      </c>
      <c r="C42" s="38" t="s">
        <v>2719</v>
      </c>
      <c r="D42" s="39" t="s">
        <v>2717</v>
      </c>
      <c r="E42" s="39" t="s">
        <v>2718</v>
      </c>
      <c r="F42" s="40"/>
      <c r="G42" s="41" t="s">
        <v>483</v>
      </c>
      <c r="H42" s="41" t="s">
        <v>483</v>
      </c>
      <c r="I42" s="41" t="s">
        <v>483</v>
      </c>
      <c r="J42" s="409">
        <v>9058067215</v>
      </c>
      <c r="K42" s="41" t="s">
        <v>2720</v>
      </c>
      <c r="L42" s="41" t="s">
        <v>377</v>
      </c>
      <c r="M42" s="41" t="s">
        <v>378</v>
      </c>
      <c r="N42" s="43"/>
    </row>
    <row r="43" spans="1:14" x14ac:dyDescent="0.2">
      <c r="A43" s="142">
        <v>1082392</v>
      </c>
      <c r="B43" s="39" t="s">
        <v>1925</v>
      </c>
      <c r="C43" s="38" t="s">
        <v>616</v>
      </c>
      <c r="D43" s="39" t="s">
        <v>1891</v>
      </c>
      <c r="E43" s="39" t="s">
        <v>1892</v>
      </c>
      <c r="F43" s="40"/>
      <c r="G43" s="41" t="s">
        <v>483</v>
      </c>
      <c r="H43" s="41" t="s">
        <v>483</v>
      </c>
      <c r="I43" s="41" t="s">
        <v>483</v>
      </c>
      <c r="J43" s="409">
        <v>9156483330</v>
      </c>
      <c r="K43" s="41" t="s">
        <v>1893</v>
      </c>
      <c r="L43" s="41" t="s">
        <v>377</v>
      </c>
      <c r="M43" s="41" t="s">
        <v>378</v>
      </c>
      <c r="N43" s="43"/>
    </row>
    <row r="44" spans="1:14" x14ac:dyDescent="0.2">
      <c r="A44" s="142">
        <v>1082376</v>
      </c>
      <c r="B44" s="39" t="s">
        <v>1927</v>
      </c>
      <c r="C44" s="38" t="s">
        <v>1726</v>
      </c>
      <c r="D44" s="39" t="s">
        <v>1724</v>
      </c>
      <c r="E44" s="39" t="s">
        <v>1725</v>
      </c>
      <c r="F44" s="40"/>
      <c r="G44" s="41" t="s">
        <v>483</v>
      </c>
      <c r="H44" s="41" t="s">
        <v>483</v>
      </c>
      <c r="I44" s="41" t="s">
        <v>483</v>
      </c>
      <c r="J44" s="409">
        <v>9178031624</v>
      </c>
      <c r="K44" s="41" t="s">
        <v>1727</v>
      </c>
      <c r="L44" s="41" t="s">
        <v>377</v>
      </c>
      <c r="M44" s="41" t="s">
        <v>378</v>
      </c>
      <c r="N44" s="43"/>
    </row>
    <row r="45" spans="1:14" x14ac:dyDescent="0.2">
      <c r="A45" s="142">
        <v>1082463</v>
      </c>
      <c r="B45" s="39" t="s">
        <v>2869</v>
      </c>
      <c r="C45" s="38" t="s">
        <v>2731</v>
      </c>
      <c r="D45" s="39" t="s">
        <v>2729</v>
      </c>
      <c r="E45" s="39" t="s">
        <v>2730</v>
      </c>
      <c r="F45" s="40"/>
      <c r="G45" s="41" t="s">
        <v>483</v>
      </c>
      <c r="H45" s="41" t="s">
        <v>483</v>
      </c>
      <c r="I45" s="41" t="s">
        <v>483</v>
      </c>
      <c r="J45" s="409">
        <v>9064081817</v>
      </c>
      <c r="K45" s="41" t="s">
        <v>2732</v>
      </c>
      <c r="L45" s="41" t="s">
        <v>377</v>
      </c>
      <c r="M45" s="41" t="s">
        <v>378</v>
      </c>
      <c r="N45" s="43"/>
    </row>
    <row r="46" spans="1:14" x14ac:dyDescent="0.2">
      <c r="A46" s="142">
        <v>1082404</v>
      </c>
      <c r="B46" s="39" t="s">
        <v>2362</v>
      </c>
      <c r="C46" s="38" t="s">
        <v>2000</v>
      </c>
      <c r="D46" s="39" t="s">
        <v>1999</v>
      </c>
      <c r="E46" s="39" t="s">
        <v>2001</v>
      </c>
      <c r="F46" s="40"/>
      <c r="G46" s="41" t="s">
        <v>483</v>
      </c>
      <c r="H46" s="41" t="s">
        <v>483</v>
      </c>
      <c r="I46" s="41" t="s">
        <v>483</v>
      </c>
      <c r="J46" s="409">
        <v>9178491332</v>
      </c>
      <c r="K46" s="41" t="s">
        <v>2009</v>
      </c>
      <c r="L46" s="41" t="s">
        <v>377</v>
      </c>
      <c r="M46" s="41" t="s">
        <v>378</v>
      </c>
      <c r="N46" s="43"/>
    </row>
    <row r="47" spans="1:14" x14ac:dyDescent="0.2">
      <c r="A47" s="142">
        <v>1082462</v>
      </c>
      <c r="B47" s="39" t="s">
        <v>2806</v>
      </c>
      <c r="C47" s="38" t="s">
        <v>2727</v>
      </c>
      <c r="D47" s="39" t="s">
        <v>2725</v>
      </c>
      <c r="E47" s="39" t="s">
        <v>2726</v>
      </c>
      <c r="F47" s="40"/>
      <c r="G47" s="41" t="s">
        <v>483</v>
      </c>
      <c r="H47" s="41" t="s">
        <v>483</v>
      </c>
      <c r="I47" s="41" t="s">
        <v>483</v>
      </c>
      <c r="J47" s="409">
        <v>9168934055</v>
      </c>
      <c r="K47" s="41" t="s">
        <v>2728</v>
      </c>
      <c r="L47" s="41" t="s">
        <v>377</v>
      </c>
      <c r="M47" s="41" t="s">
        <v>378</v>
      </c>
      <c r="N47" s="43"/>
    </row>
    <row r="48" spans="1:14" x14ac:dyDescent="0.2">
      <c r="A48" s="142">
        <v>1082406</v>
      </c>
      <c r="B48" s="39" t="s">
        <v>2788</v>
      </c>
      <c r="C48" s="38" t="s">
        <v>2065</v>
      </c>
      <c r="D48" s="39" t="s">
        <v>2064</v>
      </c>
      <c r="E48" s="39" t="s">
        <v>2370</v>
      </c>
      <c r="F48" s="40"/>
      <c r="G48" s="41"/>
      <c r="H48" s="41" t="s">
        <v>483</v>
      </c>
      <c r="I48" s="41" t="s">
        <v>483</v>
      </c>
      <c r="J48" s="409">
        <v>9278529037</v>
      </c>
      <c r="K48" s="41" t="s">
        <v>2492</v>
      </c>
      <c r="L48" s="41" t="s">
        <v>377</v>
      </c>
      <c r="M48" s="41" t="s">
        <v>378</v>
      </c>
      <c r="N48" s="43" t="s">
        <v>240</v>
      </c>
    </row>
    <row r="50" spans="2:4" x14ac:dyDescent="0.2">
      <c r="B50" s="44" t="s">
        <v>379</v>
      </c>
      <c r="C50" s="588" t="s">
        <v>3143</v>
      </c>
      <c r="D50" s="588"/>
    </row>
    <row r="55" spans="2:4" x14ac:dyDescent="0.2">
      <c r="B55" s="21" t="s">
        <v>380</v>
      </c>
    </row>
    <row r="57" spans="2:4" x14ac:dyDescent="0.2">
      <c r="B57" s="22" t="s">
        <v>422</v>
      </c>
    </row>
    <row r="58" spans="2:4" x14ac:dyDescent="0.2">
      <c r="B58" s="565" t="s">
        <v>138</v>
      </c>
    </row>
  </sheetData>
  <mergeCells count="12">
    <mergeCell ref="A19:E19"/>
    <mergeCell ref="A20:A21"/>
    <mergeCell ref="B20:B21"/>
    <mergeCell ref="C20:E20"/>
    <mergeCell ref="C50:D50"/>
    <mergeCell ref="A18:F18"/>
    <mergeCell ref="G18:N18"/>
    <mergeCell ref="B1:N1"/>
    <mergeCell ref="C10:D10"/>
    <mergeCell ref="H14:I14"/>
    <mergeCell ref="H15:I15"/>
    <mergeCell ref="B17:N17"/>
  </mergeCells>
  <pageMargins left="0.25" right="0.25" top="0.75" bottom="0.75" header="0.3" footer="0.3"/>
  <pageSetup scale="64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N56"/>
  <sheetViews>
    <sheetView topLeftCell="A19" zoomScaleNormal="100" workbookViewId="0">
      <selection activeCell="D35" sqref="D35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10.7109375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140625" style="21" bestFit="1" customWidth="1"/>
    <col min="10" max="10" width="11.42578125" style="21" bestFit="1" customWidth="1"/>
    <col min="11" max="11" width="31.5703125" style="21" bestFit="1" customWidth="1"/>
    <col min="12" max="12" width="13.28515625" style="21" bestFit="1" customWidth="1"/>
    <col min="13" max="13" width="28.140625" style="21" bestFit="1" customWidth="1"/>
    <col min="14" max="14" width="18.710937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2591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576">
        <v>42117</v>
      </c>
      <c r="D10" s="576"/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484"/>
      <c r="K14" s="484"/>
      <c r="L14" s="484"/>
      <c r="M14" s="484"/>
    </row>
    <row r="15" spans="2:14" x14ac:dyDescent="0.2">
      <c r="H15" s="577"/>
      <c r="I15" s="577"/>
      <c r="J15" s="485"/>
      <c r="K15" s="485"/>
      <c r="L15" s="485"/>
      <c r="M15" s="485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484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484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484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482" t="s">
        <v>370</v>
      </c>
      <c r="H20" s="482" t="s">
        <v>370</v>
      </c>
      <c r="I20" s="482" t="s">
        <v>371</v>
      </c>
      <c r="J20" s="482" t="s">
        <v>1070</v>
      </c>
      <c r="K20" s="482" t="s">
        <v>209</v>
      </c>
      <c r="L20" s="482"/>
      <c r="M20" s="482"/>
      <c r="N20" s="31"/>
    </row>
    <row r="21" spans="1:14" s="484" customFormat="1" x14ac:dyDescent="0.2">
      <c r="A21" s="582"/>
      <c r="B21" s="584"/>
      <c r="C21" s="32" t="s">
        <v>372</v>
      </c>
      <c r="D21" s="483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1082428</v>
      </c>
      <c r="B22" s="39" t="s">
        <v>2358</v>
      </c>
      <c r="C22" s="38" t="s">
        <v>2060</v>
      </c>
      <c r="D22" s="39" t="s">
        <v>2059</v>
      </c>
      <c r="E22" s="39" t="s">
        <v>568</v>
      </c>
      <c r="F22" s="40"/>
      <c r="G22" s="41"/>
      <c r="H22" s="41" t="s">
        <v>483</v>
      </c>
      <c r="I22" s="41" t="s">
        <v>483</v>
      </c>
      <c r="J22" s="42">
        <v>9164461712</v>
      </c>
      <c r="K22" s="42" t="s">
        <v>2309</v>
      </c>
      <c r="L22" s="42" t="s">
        <v>377</v>
      </c>
      <c r="M22" s="42" t="s">
        <v>378</v>
      </c>
      <c r="N22" s="43" t="s">
        <v>240</v>
      </c>
    </row>
    <row r="23" spans="1:14" x14ac:dyDescent="0.2">
      <c r="A23" s="142">
        <v>1082423</v>
      </c>
      <c r="B23" s="37" t="s">
        <v>2382</v>
      </c>
      <c r="C23" s="38" t="s">
        <v>2114</v>
      </c>
      <c r="D23" s="39" t="s">
        <v>2112</v>
      </c>
      <c r="E23" s="39" t="s">
        <v>2113</v>
      </c>
      <c r="F23" s="40"/>
      <c r="G23" s="41" t="s">
        <v>483</v>
      </c>
      <c r="H23" s="41" t="s">
        <v>483</v>
      </c>
      <c r="I23" s="41" t="s">
        <v>483</v>
      </c>
      <c r="J23" s="42">
        <v>9151494955</v>
      </c>
      <c r="K23" s="42" t="s">
        <v>2304</v>
      </c>
      <c r="L23" s="42" t="s">
        <v>377</v>
      </c>
      <c r="M23" s="42" t="s">
        <v>720</v>
      </c>
      <c r="N23" s="43"/>
    </row>
    <row r="24" spans="1:14" x14ac:dyDescent="0.2">
      <c r="A24" s="142">
        <v>1082362</v>
      </c>
      <c r="B24" s="37" t="s">
        <v>1826</v>
      </c>
      <c r="C24" s="38" t="s">
        <v>1656</v>
      </c>
      <c r="D24" s="39" t="s">
        <v>1654</v>
      </c>
      <c r="E24" s="39" t="s">
        <v>1655</v>
      </c>
      <c r="F24" s="40"/>
      <c r="G24" s="41"/>
      <c r="H24" s="41" t="s">
        <v>483</v>
      </c>
      <c r="I24" s="41" t="s">
        <v>483</v>
      </c>
      <c r="J24" s="42">
        <v>9157582738</v>
      </c>
      <c r="K24" s="408" t="s">
        <v>1657</v>
      </c>
      <c r="L24" s="42" t="s">
        <v>377</v>
      </c>
      <c r="M24" s="42" t="s">
        <v>1431</v>
      </c>
      <c r="N24" s="43" t="s">
        <v>1436</v>
      </c>
    </row>
    <row r="25" spans="1:14" x14ac:dyDescent="0.2">
      <c r="A25" s="142">
        <v>1082374</v>
      </c>
      <c r="B25" s="39" t="s">
        <v>2033</v>
      </c>
      <c r="C25" s="38" t="s">
        <v>1702</v>
      </c>
      <c r="D25" s="39" t="s">
        <v>1700</v>
      </c>
      <c r="E25" s="39" t="s">
        <v>1701</v>
      </c>
      <c r="F25" s="40"/>
      <c r="G25" s="41" t="s">
        <v>483</v>
      </c>
      <c r="H25" s="41" t="s">
        <v>483</v>
      </c>
      <c r="I25" s="41" t="s">
        <v>483</v>
      </c>
      <c r="J25" s="409">
        <v>9178718056</v>
      </c>
      <c r="K25" s="41" t="s">
        <v>1743</v>
      </c>
      <c r="L25" s="41" t="s">
        <v>377</v>
      </c>
      <c r="M25" s="41" t="s">
        <v>378</v>
      </c>
      <c r="N25" s="43"/>
    </row>
    <row r="26" spans="1:14" x14ac:dyDescent="0.2">
      <c r="A26" s="142">
        <v>1082394</v>
      </c>
      <c r="B26" s="39" t="s">
        <v>2464</v>
      </c>
      <c r="C26" s="38" t="s">
        <v>1932</v>
      </c>
      <c r="D26" s="39" t="s">
        <v>1930</v>
      </c>
      <c r="E26" s="39" t="s">
        <v>2490</v>
      </c>
      <c r="F26" s="40"/>
      <c r="G26" s="41" t="s">
        <v>483</v>
      </c>
      <c r="H26" s="41" t="s">
        <v>483</v>
      </c>
      <c r="I26" s="41" t="s">
        <v>483</v>
      </c>
      <c r="J26" s="409">
        <v>9065591460</v>
      </c>
      <c r="K26" s="41" t="s">
        <v>1956</v>
      </c>
      <c r="L26" s="41" t="s">
        <v>377</v>
      </c>
      <c r="M26" s="41" t="s">
        <v>378</v>
      </c>
      <c r="N26" s="43"/>
    </row>
    <row r="27" spans="1:14" x14ac:dyDescent="0.2">
      <c r="A27" s="142">
        <v>1082326</v>
      </c>
      <c r="B27" s="39" t="s">
        <v>1429</v>
      </c>
      <c r="C27" s="38" t="s">
        <v>1248</v>
      </c>
      <c r="D27" s="39" t="s">
        <v>1246</v>
      </c>
      <c r="E27" s="39" t="s">
        <v>1247</v>
      </c>
      <c r="F27" s="40"/>
      <c r="G27" s="41" t="s">
        <v>483</v>
      </c>
      <c r="H27" s="41" t="s">
        <v>483</v>
      </c>
      <c r="I27" s="41" t="s">
        <v>483</v>
      </c>
      <c r="J27" s="409">
        <v>9156203188</v>
      </c>
      <c r="K27" s="41" t="s">
        <v>1249</v>
      </c>
      <c r="L27" s="41" t="s">
        <v>377</v>
      </c>
      <c r="M27" s="41" t="s">
        <v>378</v>
      </c>
      <c r="N27" s="43"/>
    </row>
    <row r="28" spans="1:14" x14ac:dyDescent="0.2">
      <c r="A28" s="142">
        <v>1082426</v>
      </c>
      <c r="B28" s="39" t="s">
        <v>2356</v>
      </c>
      <c r="C28" s="38" t="s">
        <v>2055</v>
      </c>
      <c r="D28" s="39" t="s">
        <v>2053</v>
      </c>
      <c r="E28" s="39" t="s">
        <v>2054</v>
      </c>
      <c r="F28" s="40"/>
      <c r="G28" s="41" t="s">
        <v>483</v>
      </c>
      <c r="H28" s="41" t="s">
        <v>483</v>
      </c>
      <c r="I28" s="41" t="s">
        <v>483</v>
      </c>
      <c r="J28" s="409">
        <v>9175894160</v>
      </c>
      <c r="K28" s="41" t="s">
        <v>2512</v>
      </c>
      <c r="L28" s="41" t="s">
        <v>377</v>
      </c>
      <c r="M28" s="41" t="s">
        <v>378</v>
      </c>
      <c r="N28" s="43"/>
    </row>
    <row r="29" spans="1:14" x14ac:dyDescent="0.2">
      <c r="A29" s="142">
        <v>1082317</v>
      </c>
      <c r="B29" s="39" t="s">
        <v>2537</v>
      </c>
      <c r="C29" s="38" t="s">
        <v>1148</v>
      </c>
      <c r="D29" s="39" t="s">
        <v>1146</v>
      </c>
      <c r="E29" s="39" t="s">
        <v>1147</v>
      </c>
      <c r="F29" s="40"/>
      <c r="G29" s="41"/>
      <c r="H29" s="41" t="s">
        <v>483</v>
      </c>
      <c r="I29" s="41" t="s">
        <v>483</v>
      </c>
      <c r="J29" s="409">
        <v>9277830048</v>
      </c>
      <c r="K29" s="41" t="s">
        <v>1149</v>
      </c>
      <c r="L29" s="41" t="s">
        <v>377</v>
      </c>
      <c r="M29" s="41" t="s">
        <v>378</v>
      </c>
      <c r="N29" s="43" t="s">
        <v>240</v>
      </c>
    </row>
    <row r="30" spans="1:14" x14ac:dyDescent="0.2">
      <c r="A30" s="142">
        <v>1082408</v>
      </c>
      <c r="B30" s="39" t="s">
        <v>2538</v>
      </c>
      <c r="C30" s="38" t="s">
        <v>2072</v>
      </c>
      <c r="D30" s="39" t="s">
        <v>2070</v>
      </c>
      <c r="E30" s="39" t="s">
        <v>2071</v>
      </c>
      <c r="F30" s="40"/>
      <c r="G30" s="41" t="s">
        <v>483</v>
      </c>
      <c r="H30" s="41" t="s">
        <v>483</v>
      </c>
      <c r="I30" s="41" t="s">
        <v>483</v>
      </c>
      <c r="J30" s="409">
        <v>9153478182</v>
      </c>
      <c r="K30" s="41" t="s">
        <v>2494</v>
      </c>
      <c r="L30" s="41" t="s">
        <v>377</v>
      </c>
      <c r="M30" s="41" t="s">
        <v>378</v>
      </c>
      <c r="N30" s="43"/>
    </row>
    <row r="31" spans="1:14" x14ac:dyDescent="0.2">
      <c r="A31" s="142">
        <v>1082196</v>
      </c>
      <c r="B31" s="39" t="s">
        <v>2539</v>
      </c>
      <c r="C31" s="38" t="s">
        <v>607</v>
      </c>
      <c r="D31" s="39" t="s">
        <v>2540</v>
      </c>
      <c r="E31" s="39" t="s">
        <v>2541</v>
      </c>
      <c r="F31" s="40"/>
      <c r="G31" s="41" t="s">
        <v>483</v>
      </c>
      <c r="H31" s="41" t="s">
        <v>483</v>
      </c>
      <c r="I31" s="41" t="s">
        <v>483</v>
      </c>
      <c r="J31" s="409">
        <v>9771978219</v>
      </c>
      <c r="K31" s="41" t="s">
        <v>2542</v>
      </c>
      <c r="L31" s="41" t="s">
        <v>377</v>
      </c>
      <c r="M31" s="41" t="s">
        <v>820</v>
      </c>
      <c r="N31" s="43"/>
    </row>
    <row r="32" spans="1:14" x14ac:dyDescent="0.2">
      <c r="A32" s="142">
        <v>1082175</v>
      </c>
      <c r="B32" s="39" t="s">
        <v>2543</v>
      </c>
      <c r="C32" s="38" t="s">
        <v>2544</v>
      </c>
      <c r="D32" s="39" t="s">
        <v>2545</v>
      </c>
      <c r="E32" s="39" t="s">
        <v>2546</v>
      </c>
      <c r="F32" s="40"/>
      <c r="G32" s="41" t="s">
        <v>483</v>
      </c>
      <c r="H32" s="41" t="s">
        <v>483</v>
      </c>
      <c r="I32" s="41" t="s">
        <v>483</v>
      </c>
      <c r="J32" s="409">
        <v>9279138992</v>
      </c>
      <c r="K32" s="41" t="s">
        <v>2547</v>
      </c>
      <c r="L32" s="41" t="s">
        <v>377</v>
      </c>
      <c r="M32" s="41" t="s">
        <v>378</v>
      </c>
      <c r="N32" s="43"/>
    </row>
    <row r="33" spans="1:14" x14ac:dyDescent="0.2">
      <c r="A33" s="142">
        <v>1082375</v>
      </c>
      <c r="B33" s="39" t="s">
        <v>1806</v>
      </c>
      <c r="C33" s="38" t="s">
        <v>1706</v>
      </c>
      <c r="D33" s="39" t="s">
        <v>1704</v>
      </c>
      <c r="E33" s="39" t="s">
        <v>1705</v>
      </c>
      <c r="F33" s="40"/>
      <c r="G33" s="41"/>
      <c r="H33" s="41" t="s">
        <v>483</v>
      </c>
      <c r="I33" s="41" t="s">
        <v>483</v>
      </c>
      <c r="J33" s="409">
        <v>9092749704</v>
      </c>
      <c r="K33" s="41" t="s">
        <v>1707</v>
      </c>
      <c r="L33" s="41" t="s">
        <v>377</v>
      </c>
      <c r="M33" s="41" t="s">
        <v>378</v>
      </c>
      <c r="N33" s="43" t="s">
        <v>240</v>
      </c>
    </row>
    <row r="34" spans="1:14" x14ac:dyDescent="0.2">
      <c r="A34" s="142">
        <v>1082212</v>
      </c>
      <c r="B34" s="39" t="s">
        <v>2548</v>
      </c>
      <c r="C34" s="38" t="s">
        <v>2549</v>
      </c>
      <c r="D34" s="39" t="s">
        <v>2550</v>
      </c>
      <c r="E34" s="39" t="s">
        <v>2551</v>
      </c>
      <c r="F34" s="40"/>
      <c r="G34" s="41" t="s">
        <v>483</v>
      </c>
      <c r="H34" s="41" t="s">
        <v>483</v>
      </c>
      <c r="I34" s="41" t="s">
        <v>483</v>
      </c>
      <c r="J34" s="409">
        <v>9478917327</v>
      </c>
      <c r="K34" s="41" t="s">
        <v>2552</v>
      </c>
      <c r="L34" s="41" t="s">
        <v>377</v>
      </c>
      <c r="M34" s="41" t="s">
        <v>1431</v>
      </c>
      <c r="N34" s="43"/>
    </row>
    <row r="35" spans="1:14" x14ac:dyDescent="0.2">
      <c r="A35" s="142">
        <v>1082185</v>
      </c>
      <c r="B35" s="39" t="s">
        <v>2553</v>
      </c>
      <c r="C35" s="38" t="s">
        <v>334</v>
      </c>
      <c r="D35" s="39" t="s">
        <v>2554</v>
      </c>
      <c r="E35" s="39" t="s">
        <v>2555</v>
      </c>
      <c r="F35" s="40"/>
      <c r="G35" s="41"/>
      <c r="H35" s="41" t="s">
        <v>483</v>
      </c>
      <c r="I35" s="41" t="s">
        <v>483</v>
      </c>
      <c r="J35" s="409">
        <v>9175531385</v>
      </c>
      <c r="K35" s="41" t="s">
        <v>2556</v>
      </c>
      <c r="L35" s="41" t="s">
        <v>377</v>
      </c>
      <c r="M35" s="41" t="s">
        <v>378</v>
      </c>
      <c r="N35" s="43" t="s">
        <v>240</v>
      </c>
    </row>
    <row r="36" spans="1:14" x14ac:dyDescent="0.2">
      <c r="A36" s="142">
        <v>1082429</v>
      </c>
      <c r="B36" s="39" t="s">
        <v>2557</v>
      </c>
      <c r="C36" s="38" t="s">
        <v>599</v>
      </c>
      <c r="D36" s="39" t="s">
        <v>2061</v>
      </c>
      <c r="E36" s="39" t="s">
        <v>537</v>
      </c>
      <c r="F36" s="40"/>
      <c r="G36" s="41"/>
      <c r="H36" s="41" t="s">
        <v>709</v>
      </c>
      <c r="I36" s="41" t="s">
        <v>483</v>
      </c>
      <c r="J36" s="409">
        <v>9333650772</v>
      </c>
      <c r="K36" s="41" t="s">
        <v>2515</v>
      </c>
      <c r="L36" s="41" t="s">
        <v>377</v>
      </c>
      <c r="M36" s="41" t="s">
        <v>720</v>
      </c>
      <c r="N36" s="43" t="s">
        <v>710</v>
      </c>
    </row>
    <row r="37" spans="1:14" x14ac:dyDescent="0.2">
      <c r="A37" s="142">
        <v>1082301</v>
      </c>
      <c r="B37" s="39" t="s">
        <v>932</v>
      </c>
      <c r="C37" s="38" t="s">
        <v>852</v>
      </c>
      <c r="D37" s="39" t="s">
        <v>850</v>
      </c>
      <c r="E37" s="39" t="s">
        <v>851</v>
      </c>
      <c r="F37" s="40"/>
      <c r="G37" s="41" t="s">
        <v>483</v>
      </c>
      <c r="H37" s="41" t="s">
        <v>483</v>
      </c>
      <c r="I37" s="41" t="s">
        <v>483</v>
      </c>
      <c r="J37" s="409">
        <v>9158907037</v>
      </c>
      <c r="K37" s="41" t="s">
        <v>853</v>
      </c>
      <c r="L37" s="41" t="s">
        <v>377</v>
      </c>
      <c r="M37" s="41" t="s">
        <v>378</v>
      </c>
      <c r="N37" s="43"/>
    </row>
    <row r="38" spans="1:14" x14ac:dyDescent="0.2">
      <c r="A38" s="142">
        <v>1082319</v>
      </c>
      <c r="B38" s="39" t="s">
        <v>2028</v>
      </c>
      <c r="C38" s="38" t="s">
        <v>1155</v>
      </c>
      <c r="D38" s="39" t="s">
        <v>1153</v>
      </c>
      <c r="E38" s="39" t="s">
        <v>1154</v>
      </c>
      <c r="F38" s="40"/>
      <c r="G38" s="41" t="s">
        <v>483</v>
      </c>
      <c r="H38" s="41" t="s">
        <v>483</v>
      </c>
      <c r="I38" s="41" t="s">
        <v>483</v>
      </c>
      <c r="J38" s="409">
        <v>9232580321</v>
      </c>
      <c r="K38" s="41" t="s">
        <v>1156</v>
      </c>
      <c r="L38" s="41" t="s">
        <v>377</v>
      </c>
      <c r="M38" s="41" t="s">
        <v>378</v>
      </c>
      <c r="N38" s="43"/>
    </row>
    <row r="39" spans="1:14" x14ac:dyDescent="0.2">
      <c r="A39" s="142">
        <v>1082414</v>
      </c>
      <c r="B39" s="39" t="s">
        <v>2354</v>
      </c>
      <c r="C39" s="38" t="s">
        <v>2091</v>
      </c>
      <c r="D39" s="39" t="s">
        <v>2558</v>
      </c>
      <c r="E39" s="39" t="s">
        <v>2559</v>
      </c>
      <c r="F39" s="40"/>
      <c r="G39" s="41" t="s">
        <v>483</v>
      </c>
      <c r="H39" s="41" t="s">
        <v>483</v>
      </c>
      <c r="I39" s="41" t="s">
        <v>483</v>
      </c>
      <c r="J39" s="409">
        <v>9076794835</v>
      </c>
      <c r="K39" s="41" t="s">
        <v>2500</v>
      </c>
      <c r="L39" s="41" t="s">
        <v>377</v>
      </c>
      <c r="M39" s="41" t="s">
        <v>378</v>
      </c>
      <c r="N39" s="43"/>
    </row>
    <row r="40" spans="1:14" x14ac:dyDescent="0.2">
      <c r="A40" s="142">
        <v>1082364</v>
      </c>
      <c r="B40" s="39" t="s">
        <v>2041</v>
      </c>
      <c r="C40" s="38" t="s">
        <v>1664</v>
      </c>
      <c r="D40" s="39" t="s">
        <v>1752</v>
      </c>
      <c r="E40" s="39" t="s">
        <v>1663</v>
      </c>
      <c r="F40" s="40"/>
      <c r="G40" s="41" t="s">
        <v>483</v>
      </c>
      <c r="H40" s="41" t="s">
        <v>483</v>
      </c>
      <c r="I40" s="41" t="s">
        <v>483</v>
      </c>
      <c r="J40" s="409">
        <v>9209776328</v>
      </c>
      <c r="K40" s="41" t="s">
        <v>1665</v>
      </c>
      <c r="L40" s="41" t="s">
        <v>377</v>
      </c>
      <c r="M40" s="41" t="s">
        <v>378</v>
      </c>
      <c r="N40" s="43"/>
    </row>
    <row r="41" spans="1:14" x14ac:dyDescent="0.2">
      <c r="A41" s="142">
        <v>1082275</v>
      </c>
      <c r="B41" s="39" t="s">
        <v>1107</v>
      </c>
      <c r="C41" s="38" t="s">
        <v>560</v>
      </c>
      <c r="D41" s="39" t="s">
        <v>558</v>
      </c>
      <c r="E41" s="39" t="s">
        <v>559</v>
      </c>
      <c r="F41" s="40"/>
      <c r="G41" s="41" t="s">
        <v>483</v>
      </c>
      <c r="H41" s="41" t="s">
        <v>483</v>
      </c>
      <c r="I41" s="41" t="s">
        <v>483</v>
      </c>
      <c r="J41" s="409">
        <v>9166096703</v>
      </c>
      <c r="K41" s="41" t="s">
        <v>561</v>
      </c>
      <c r="L41" s="41" t="s">
        <v>377</v>
      </c>
      <c r="M41" s="41" t="s">
        <v>378</v>
      </c>
      <c r="N41" s="43"/>
    </row>
    <row r="42" spans="1:14" x14ac:dyDescent="0.2">
      <c r="A42" s="142">
        <v>1082343</v>
      </c>
      <c r="B42" s="39" t="s">
        <v>1579</v>
      </c>
      <c r="C42" s="38" t="s">
        <v>1361</v>
      </c>
      <c r="D42" s="39" t="s">
        <v>1360</v>
      </c>
      <c r="E42" s="39" t="s">
        <v>2581</v>
      </c>
      <c r="F42" s="40"/>
      <c r="G42" s="41" t="s">
        <v>483</v>
      </c>
      <c r="H42" s="41" t="s">
        <v>483</v>
      </c>
      <c r="I42" s="41" t="s">
        <v>483</v>
      </c>
      <c r="J42" s="409">
        <v>9321476323</v>
      </c>
      <c r="K42" s="41" t="s">
        <v>1362</v>
      </c>
      <c r="L42" s="41" t="s">
        <v>377</v>
      </c>
      <c r="M42" s="41" t="s">
        <v>378</v>
      </c>
      <c r="N42" s="43"/>
    </row>
    <row r="43" spans="1:14" x14ac:dyDescent="0.2">
      <c r="A43" s="142">
        <v>1083040</v>
      </c>
      <c r="B43" s="39" t="s">
        <v>2586</v>
      </c>
      <c r="C43" s="38" t="s">
        <v>2583</v>
      </c>
      <c r="D43" s="39" t="s">
        <v>2585</v>
      </c>
      <c r="E43" s="39" t="s">
        <v>2584</v>
      </c>
      <c r="F43" s="40"/>
      <c r="G43" s="41" t="s">
        <v>483</v>
      </c>
      <c r="H43" s="41" t="s">
        <v>483</v>
      </c>
      <c r="I43" s="41" t="s">
        <v>483</v>
      </c>
      <c r="J43" s="409">
        <v>9178427128</v>
      </c>
      <c r="K43" s="41" t="s">
        <v>2587</v>
      </c>
      <c r="L43" s="41" t="s">
        <v>377</v>
      </c>
      <c r="M43" s="41" t="s">
        <v>2588</v>
      </c>
      <c r="N43" s="43" t="s">
        <v>2589</v>
      </c>
    </row>
    <row r="44" spans="1:14" x14ac:dyDescent="0.2">
      <c r="A44" s="142">
        <v>1082417</v>
      </c>
      <c r="B44" s="39" t="s">
        <v>2380</v>
      </c>
      <c r="C44" s="38" t="s">
        <v>2100</v>
      </c>
      <c r="D44" s="39" t="s">
        <v>2098</v>
      </c>
      <c r="E44" s="39" t="s">
        <v>2099</v>
      </c>
      <c r="F44" s="40"/>
      <c r="G44" s="41"/>
      <c r="H44" s="41" t="s">
        <v>483</v>
      </c>
      <c r="I44" s="41" t="s">
        <v>483</v>
      </c>
      <c r="J44" s="409">
        <v>9162551202</v>
      </c>
      <c r="K44" s="41" t="s">
        <v>2503</v>
      </c>
      <c r="L44" s="41" t="s">
        <v>377</v>
      </c>
      <c r="M44" s="41" t="s">
        <v>378</v>
      </c>
      <c r="N44" s="43"/>
    </row>
    <row r="45" spans="1:14" x14ac:dyDescent="0.2">
      <c r="A45" s="142">
        <v>1082342</v>
      </c>
      <c r="B45" s="39" t="s">
        <v>1553</v>
      </c>
      <c r="C45" s="38" t="s">
        <v>1331</v>
      </c>
      <c r="D45" s="39" t="s">
        <v>1329</v>
      </c>
      <c r="E45" s="39" t="s">
        <v>1330</v>
      </c>
      <c r="F45" s="40"/>
      <c r="G45" s="41" t="s">
        <v>483</v>
      </c>
      <c r="H45" s="41" t="s">
        <v>483</v>
      </c>
      <c r="I45" s="41" t="s">
        <v>483</v>
      </c>
      <c r="J45" s="409">
        <v>9359009515</v>
      </c>
      <c r="K45" s="41" t="s">
        <v>1332</v>
      </c>
      <c r="L45" s="41" t="s">
        <v>377</v>
      </c>
      <c r="M45" s="41" t="s">
        <v>720</v>
      </c>
      <c r="N45" s="43"/>
    </row>
    <row r="46" spans="1:14" x14ac:dyDescent="0.2">
      <c r="A46" s="142">
        <v>1082355</v>
      </c>
      <c r="B46" s="39" t="s">
        <v>1582</v>
      </c>
      <c r="C46" s="38" t="s">
        <v>1464</v>
      </c>
      <c r="D46" s="39" t="s">
        <v>1463</v>
      </c>
      <c r="E46" s="39" t="s">
        <v>1501</v>
      </c>
      <c r="F46" s="40"/>
      <c r="G46" s="41" t="s">
        <v>483</v>
      </c>
      <c r="H46" s="41" t="s">
        <v>483</v>
      </c>
      <c r="I46" s="41" t="s">
        <v>483</v>
      </c>
      <c r="J46" s="409">
        <v>9156356229</v>
      </c>
      <c r="K46" s="41" t="s">
        <v>1502</v>
      </c>
      <c r="L46" s="41" t="s">
        <v>377</v>
      </c>
      <c r="M46" s="41" t="s">
        <v>378</v>
      </c>
      <c r="N46" s="43"/>
    </row>
    <row r="48" spans="1:14" x14ac:dyDescent="0.2">
      <c r="B48" s="44" t="s">
        <v>379</v>
      </c>
      <c r="C48" s="588" t="s">
        <v>2590</v>
      </c>
      <c r="D48" s="588"/>
    </row>
    <row r="53" spans="2:2" x14ac:dyDescent="0.2">
      <c r="B53" s="21" t="s">
        <v>380</v>
      </c>
    </row>
    <row r="55" spans="2:2" x14ac:dyDescent="0.2">
      <c r="B55" s="22" t="s">
        <v>422</v>
      </c>
    </row>
    <row r="56" spans="2:2" x14ac:dyDescent="0.2">
      <c r="B56" s="485" t="s">
        <v>138</v>
      </c>
    </row>
  </sheetData>
  <mergeCells count="12">
    <mergeCell ref="C48:D48"/>
    <mergeCell ref="C10:D10"/>
    <mergeCell ref="A19:E19"/>
    <mergeCell ref="A20:A21"/>
    <mergeCell ref="B20:B21"/>
    <mergeCell ref="C20:E20"/>
    <mergeCell ref="B1:N1"/>
    <mergeCell ref="H14:I14"/>
    <mergeCell ref="H15:I15"/>
    <mergeCell ref="B17:N17"/>
    <mergeCell ref="A18:F18"/>
    <mergeCell ref="G18:N18"/>
  </mergeCells>
  <pageMargins left="0.25" right="0.25" top="0.75" bottom="0.75" header="0.3" footer="0.3"/>
  <pageSetup scale="65" orientation="landscape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19"/>
  <sheetViews>
    <sheetView topLeftCell="P1" zoomScale="80" zoomScaleNormal="80" workbookViewId="0">
      <pane ySplit="1" topLeftCell="A259" activePane="bottomLeft" state="frozen"/>
      <selection activeCell="O1" sqref="O1"/>
      <selection pane="bottomLeft" activeCell="S247" sqref="S247:V288"/>
    </sheetView>
  </sheetViews>
  <sheetFormatPr defaultColWidth="133.28515625" defaultRowHeight="15" x14ac:dyDescent="0.25"/>
  <cols>
    <col min="1" max="1" width="9.42578125" bestFit="1" customWidth="1"/>
    <col min="2" max="2" width="44.42578125" bestFit="1" customWidth="1"/>
    <col min="3" max="3" width="34" bestFit="1" customWidth="1"/>
    <col min="4" max="4" width="10.85546875" bestFit="1" customWidth="1"/>
    <col min="5" max="5" width="28" bestFit="1" customWidth="1"/>
    <col min="6" max="6" width="22.5703125" bestFit="1" customWidth="1"/>
    <col min="7" max="7" width="12" bestFit="1" customWidth="1"/>
    <col min="8" max="8" width="37.7109375" bestFit="1" customWidth="1"/>
    <col min="9" max="9" width="13.28515625" bestFit="1" customWidth="1"/>
    <col min="10" max="10" width="7" bestFit="1" customWidth="1"/>
    <col min="11" max="11" width="15.140625" bestFit="1" customWidth="1"/>
    <col min="12" max="12" width="37.7109375" bestFit="1" customWidth="1"/>
    <col min="13" max="13" width="21.5703125" style="269" bestFit="1" customWidth="1"/>
    <col min="14" max="14" width="13.42578125" customWidth="1"/>
    <col min="15" max="15" width="99.140625" bestFit="1" customWidth="1"/>
    <col min="16" max="16" width="83.42578125" bestFit="1" customWidth="1"/>
    <col min="17" max="17" width="14.7109375" bestFit="1" customWidth="1"/>
    <col min="18" max="18" width="11.140625" bestFit="1" customWidth="1"/>
    <col min="19" max="19" width="15.42578125" bestFit="1" customWidth="1"/>
    <col min="20" max="20" width="19.42578125" bestFit="1" customWidth="1"/>
    <col min="21" max="21" width="16.7109375" customWidth="1"/>
    <col min="22" max="22" width="19.140625" style="269" bestFit="1" customWidth="1"/>
    <col min="23" max="23" width="10.85546875" style="264" bestFit="1" customWidth="1"/>
    <col min="24" max="24" width="10.5703125" style="264" bestFit="1" customWidth="1"/>
    <col min="25" max="25" width="27.7109375" style="264" bestFit="1" customWidth="1"/>
    <col min="26" max="26" width="22.28515625" style="264" bestFit="1" customWidth="1"/>
    <col min="27" max="27" width="10.5703125" style="264" bestFit="1" customWidth="1"/>
    <col min="28" max="28" width="17" style="264" bestFit="1" customWidth="1"/>
    <col min="29" max="29" width="16.28515625" style="264" bestFit="1" customWidth="1"/>
    <col min="30" max="30" width="18.28515625" style="264" bestFit="1" customWidth="1"/>
    <col min="31" max="31" width="19.7109375" style="264" bestFit="1" customWidth="1"/>
    <col min="32" max="32" width="17.28515625" style="264" bestFit="1" customWidth="1"/>
    <col min="33" max="33" width="21.5703125" style="264" bestFit="1" customWidth="1"/>
    <col min="34" max="34" width="30.5703125" style="264" bestFit="1" customWidth="1"/>
    <col min="35" max="35" width="10.5703125" style="264" bestFit="1" customWidth="1"/>
    <col min="36" max="36" width="18" style="264" bestFit="1" customWidth="1"/>
    <col min="37" max="37" width="12.28515625" style="264" bestFit="1" customWidth="1"/>
    <col min="38" max="38" width="12" style="264" bestFit="1" customWidth="1"/>
    <col min="39" max="39" width="14.7109375" style="264" bestFit="1" customWidth="1"/>
    <col min="40" max="40" width="83.42578125" bestFit="1" customWidth="1"/>
  </cols>
  <sheetData>
    <row r="1" spans="1:40" x14ac:dyDescent="0.25">
      <c r="A1" s="257" t="s">
        <v>939</v>
      </c>
      <c r="B1" s="257" t="s">
        <v>940</v>
      </c>
      <c r="C1" s="257" t="s">
        <v>941</v>
      </c>
      <c r="D1" s="257" t="s">
        <v>944</v>
      </c>
      <c r="E1" s="257" t="s">
        <v>241</v>
      </c>
      <c r="F1" s="257" t="s">
        <v>1126</v>
      </c>
      <c r="G1" s="257" t="s">
        <v>1127</v>
      </c>
      <c r="H1" s="257" t="s">
        <v>942</v>
      </c>
      <c r="I1" s="257" t="s">
        <v>943</v>
      </c>
      <c r="J1" s="257" t="s">
        <v>486</v>
      </c>
      <c r="K1" s="257" t="s">
        <v>397</v>
      </c>
      <c r="L1" s="257" t="s">
        <v>946</v>
      </c>
      <c r="M1" s="267" t="s">
        <v>945</v>
      </c>
      <c r="N1" s="257"/>
      <c r="O1" s="257" t="s">
        <v>947</v>
      </c>
      <c r="P1" s="257" t="s">
        <v>1138</v>
      </c>
      <c r="Q1" s="257" t="s">
        <v>463</v>
      </c>
      <c r="R1" s="257" t="s">
        <v>948</v>
      </c>
      <c r="S1" s="257" t="s">
        <v>6</v>
      </c>
      <c r="T1" s="257" t="s">
        <v>15</v>
      </c>
      <c r="U1" s="257" t="s">
        <v>5</v>
      </c>
      <c r="V1" s="267" t="s">
        <v>949</v>
      </c>
      <c r="W1" s="262" t="s">
        <v>18</v>
      </c>
      <c r="X1" s="262" t="s">
        <v>19</v>
      </c>
      <c r="Y1" s="262" t="s">
        <v>950</v>
      </c>
      <c r="Z1" s="262" t="s">
        <v>951</v>
      </c>
      <c r="AA1" s="262" t="s">
        <v>10</v>
      </c>
      <c r="AB1" s="262" t="s">
        <v>952</v>
      </c>
      <c r="AC1" s="262" t="s">
        <v>953</v>
      </c>
      <c r="AD1" s="262" t="s">
        <v>954</v>
      </c>
      <c r="AE1" s="262" t="s">
        <v>955</v>
      </c>
      <c r="AF1" s="262" t="s">
        <v>956</v>
      </c>
      <c r="AG1" s="262" t="s">
        <v>957</v>
      </c>
      <c r="AH1" s="262" t="s">
        <v>958</v>
      </c>
      <c r="AI1" s="262" t="s">
        <v>17</v>
      </c>
      <c r="AJ1" s="262" t="s">
        <v>959</v>
      </c>
      <c r="AK1" s="262" t="s">
        <v>960</v>
      </c>
      <c r="AL1" s="262" t="s">
        <v>961</v>
      </c>
      <c r="AM1" s="262" t="s">
        <v>962</v>
      </c>
      <c r="AN1" s="257" t="s">
        <v>45</v>
      </c>
    </row>
    <row r="2" spans="1:40" x14ac:dyDescent="0.25">
      <c r="A2" s="258">
        <f>Main!C3</f>
        <v>1082217</v>
      </c>
      <c r="B2" s="259" t="str">
        <f>Main!D3</f>
        <v>ARRE, Jospeh P.</v>
      </c>
      <c r="C2" s="259" t="str">
        <f>Main!AH3</f>
        <v>Terminated - AWOL</v>
      </c>
      <c r="D2" s="260">
        <f>Main!B3</f>
        <v>42012</v>
      </c>
      <c r="E2" s="260" t="str">
        <f>IF(Main!AI3&lt;1,"",Main!AI3)</f>
        <v/>
      </c>
      <c r="F2" s="260" t="str">
        <f>IF(Main!AJ3&lt;1,"",Main!AJ3)</f>
        <v/>
      </c>
      <c r="G2" s="260" t="str">
        <f>IF(Main!AK3&lt;1,"",Main!AK3)</f>
        <v/>
      </c>
      <c r="H2" s="259" t="str">
        <f>Main!Y3</f>
        <v>IOS-Customer Service Agent</v>
      </c>
      <c r="I2" s="259" t="str">
        <f>Main!Z3</f>
        <v/>
      </c>
      <c r="J2" s="259" t="str">
        <f>IF(Main!A3&lt;1,"",Main!A3)</f>
        <v/>
      </c>
      <c r="K2" s="260" t="str">
        <f>IF(Main!AN3&gt;0,Main!AN3,"")</f>
        <v/>
      </c>
      <c r="L2" s="258" t="str">
        <f>IF(Main!Q3&gt;0,Main!Q3,"")</f>
        <v/>
      </c>
      <c r="M2" s="410">
        <f>VALUE(IF(Main!S3&gt;0,Main!S3,""))</f>
        <v>9173454065</v>
      </c>
      <c r="N2" s="261" t="str">
        <f>Main!T3</f>
        <v/>
      </c>
      <c r="O2" s="258" t="str">
        <f>IF(Main!AO3&gt;0,Main!AO3,"")</f>
        <v/>
      </c>
      <c r="P2" s="258" t="str">
        <f>IF(Main!AP3&gt;0,Main!AP3,"")</f>
        <v/>
      </c>
      <c r="Q2" s="258" t="str">
        <f>IF(Main!AR3&gt;0,Main!AR3,"")</f>
        <v/>
      </c>
      <c r="R2" s="259" t="str">
        <f>IF(Main!AQ3&gt;0,Main!AQ3,"")</f>
        <v>Male</v>
      </c>
      <c r="S2" s="259" t="str">
        <f>IF(Main!BD3&gt;0,Main!BD3,"")</f>
        <v/>
      </c>
      <c r="T2" s="259" t="str">
        <f>IF(Main!AX3&gt;0,Main!AX3,"")</f>
        <v/>
      </c>
      <c r="U2" s="259" t="str">
        <f>IF(Main!BH3&gt;0,Main!BH3,"")</f>
        <v/>
      </c>
      <c r="V2" s="268" t="str">
        <f>IF(Main!BF3&gt;0,Main!BF3,"")</f>
        <v/>
      </c>
      <c r="W2" s="263" t="str">
        <f>IF(Main!BS3&gt;0,Main!BS3,"")</f>
        <v/>
      </c>
      <c r="X2" s="263" t="str">
        <f>IF(Main!BT3&gt;0,Main!BT3,"")</f>
        <v/>
      </c>
      <c r="Y2" s="263" t="str">
        <f>IF(Main!BU3&gt;0,Main!BU3,"")</f>
        <v/>
      </c>
      <c r="Z2" s="263" t="str">
        <f>IF(Main!AS3&gt;0,Main!AS3,"")</f>
        <v/>
      </c>
      <c r="AA2" s="263" t="str">
        <f>IF(Main!BJ3&gt;0,Main!BJ3,"")</f>
        <v/>
      </c>
      <c r="AB2" s="263" t="str">
        <f>IF(Main!BC3&gt;0,Main!BC3,"")</f>
        <v/>
      </c>
      <c r="AC2" s="263" t="str">
        <f>IF(Main!AW3&gt;0,Main!AW3,"")</f>
        <v/>
      </c>
      <c r="AD2" s="263" t="str">
        <f>IF(Main!BG3&gt;0,Main!BG3,"")</f>
        <v/>
      </c>
      <c r="AE2" s="263" t="str">
        <f>IF(Main!BE3&gt;0,Main!BE3,"")</f>
        <v/>
      </c>
      <c r="AF2" s="263" t="str">
        <f>IF(Main!BM3&gt;0,Main!BM3,"")</f>
        <v/>
      </c>
      <c r="AG2" s="263" t="str">
        <f>IF(Main!BN3&gt;0,Main!BN3,"")</f>
        <v/>
      </c>
      <c r="AH2" s="263" t="str">
        <f>IF(Main!BO3&gt;0,Main!BO3,"")</f>
        <v/>
      </c>
      <c r="AI2" s="263" t="str">
        <f>IF(Main!BR3&gt;0,Main!BR3,"")</f>
        <v/>
      </c>
      <c r="AJ2" s="263" t="str">
        <f>IF(Main!BQ3&gt;0,Main!BQ3,"")</f>
        <v/>
      </c>
      <c r="AK2" s="263" t="str">
        <f>IF(Main!AV3&gt;0,Main!AV3,"")</f>
        <v/>
      </c>
      <c r="AL2" s="263" t="str">
        <f>IF(Main!AU3&gt;0,Main!AU3,"")</f>
        <v/>
      </c>
      <c r="AM2" s="263" t="str">
        <f>IF(Main!AT3&gt;0,Main!AT3,"")</f>
        <v/>
      </c>
      <c r="AN2" s="259" t="str">
        <f>Main!BW3</f>
        <v/>
      </c>
    </row>
    <row r="3" spans="1:40" x14ac:dyDescent="0.25">
      <c r="A3" s="258">
        <f>Main!C4</f>
        <v>1082218</v>
      </c>
      <c r="B3" s="259" t="str">
        <f>Main!D4</f>
        <v>BORJA, Jennifer Nicolas</v>
      </c>
      <c r="C3" s="259" t="str">
        <f>Main!AH4</f>
        <v>Probationary</v>
      </c>
      <c r="D3" s="260">
        <f>Main!B4</f>
        <v>42012</v>
      </c>
      <c r="E3" s="260" t="str">
        <f>IF(Main!AI4&lt;1,"",Main!AI4)</f>
        <v/>
      </c>
      <c r="F3" s="260" t="str">
        <f>IF(Main!AJ4&lt;1,"",Main!AJ4)</f>
        <v/>
      </c>
      <c r="G3" s="260" t="str">
        <f>IF(Main!AK4&lt;1,"",Main!AK4)</f>
        <v/>
      </c>
      <c r="H3" s="259" t="str">
        <f>Main!Y4</f>
        <v>IOS-Customer Service Agent</v>
      </c>
      <c r="I3" s="259" t="str">
        <f>Main!Z4</f>
        <v/>
      </c>
      <c r="J3" s="259" t="str">
        <f>IF(Main!A4&lt;1,"",Main!A4)</f>
        <v/>
      </c>
      <c r="K3" s="260">
        <f>IF(Main!AN4&gt;0,Main!AN4,"")</f>
        <v>31990</v>
      </c>
      <c r="L3" s="258" t="str">
        <f>IF(Main!Q4&gt;0,Main!Q4,"")</f>
        <v/>
      </c>
      <c r="M3" s="410">
        <f>VALUE(IF(Main!S4&gt;0,Main!S4,""))</f>
        <v>9368788894</v>
      </c>
      <c r="N3" s="261" t="str">
        <f>Main!T4</f>
        <v/>
      </c>
      <c r="O3" s="258" t="str">
        <f>IF(Main!AO4&gt;0,Main!AO4,"")</f>
        <v/>
      </c>
      <c r="P3" s="258" t="str">
        <f>IF(Main!AP4&gt;0,Main!AP4,"")</f>
        <v/>
      </c>
      <c r="Q3" s="258" t="str">
        <f>IF(Main!AR4&gt;0,Main!AR4,"")</f>
        <v/>
      </c>
      <c r="R3" s="259" t="str">
        <f>IF(Main!AQ4&gt;0,Main!AQ4,"")</f>
        <v>Female</v>
      </c>
      <c r="S3" s="259" t="str">
        <f>IF(Main!BD4&gt;0,Main!BD4,"")</f>
        <v>34-1922712-5</v>
      </c>
      <c r="T3" s="259" t="str">
        <f>IF(Main!AX4&gt;0,Main!AX4,"")</f>
        <v>307-993-503</v>
      </c>
      <c r="U3" s="259" t="str">
        <f>IF(Main!BH4&gt;0,Main!BH4,"")</f>
        <v>01-050889250-6</v>
      </c>
      <c r="V3" s="268" t="str">
        <f>IF(Main!BF4&gt;0,Main!BF4,"")</f>
        <v>1210-1631-0090</v>
      </c>
      <c r="W3" s="263">
        <f>IF(Main!BS4&gt;0,Main!BS4,"")</f>
        <v>42033</v>
      </c>
      <c r="X3" s="263" t="str">
        <f>IF(Main!BT4&gt;0,Main!BT4,"")</f>
        <v/>
      </c>
      <c r="Y3" s="263" t="str">
        <f>IF(Main!BU4&gt;0,Main!BU4,"")</f>
        <v/>
      </c>
      <c r="Z3" s="263" t="str">
        <f>IF(Main!AS4&gt;0,Main!AS4,"")</f>
        <v/>
      </c>
      <c r="AA3" s="263" t="str">
        <f>IF(Main!BJ4&gt;0,Main!BJ4,"")</f>
        <v/>
      </c>
      <c r="AB3" s="263">
        <f>IF(Main!BC4&gt;0,Main!BC4,"")</f>
        <v>42027</v>
      </c>
      <c r="AC3" s="263">
        <f>IF(Main!AW4&gt;0,Main!AW4,"")</f>
        <v>42027</v>
      </c>
      <c r="AD3" s="263">
        <f>IF(Main!BG4&gt;0,Main!BG4,"")</f>
        <v>42027</v>
      </c>
      <c r="AE3" s="263">
        <f>IF(Main!BE4&gt;0,Main!BE4,"")</f>
        <v>42027</v>
      </c>
      <c r="AF3" s="263">
        <f>IF(Main!BM4&gt;0,Main!BM4,"")</f>
        <v>42027</v>
      </c>
      <c r="AG3" s="263" t="str">
        <f>IF(Main!BN4&gt;0,Main!BN4,"")</f>
        <v/>
      </c>
      <c r="AH3" s="263" t="str">
        <f>IF(Main!BO4&gt;0,Main!BO4,"")</f>
        <v/>
      </c>
      <c r="AI3" s="263">
        <f>IF(Main!BR4&gt;0,Main!BR4,"")</f>
        <v>42027</v>
      </c>
      <c r="AJ3" s="263">
        <f>IF(Main!BQ4&gt;0,Main!BQ4,"")</f>
        <v>42027</v>
      </c>
      <c r="AK3" s="263" t="str">
        <f>IF(Main!AV4&gt;0,Main!AV4,"")</f>
        <v/>
      </c>
      <c r="AL3" s="263" t="str">
        <f>IF(Main!AU4&gt;0,Main!AU4,"")</f>
        <v/>
      </c>
      <c r="AM3" s="263" t="str">
        <f>IF(Main!AT4&gt;0,Main!AT4,"")</f>
        <v/>
      </c>
      <c r="AN3" s="259" t="str">
        <f>Main!BW4</f>
        <v/>
      </c>
    </row>
    <row r="4" spans="1:40" x14ac:dyDescent="0.25">
      <c r="A4" s="258">
        <f>Main!C5</f>
        <v>1082219</v>
      </c>
      <c r="B4" s="259" t="str">
        <f>Main!D5</f>
        <v>DEL ROSARIO, Regina Mae Javelosa</v>
      </c>
      <c r="C4" s="259" t="str">
        <f>Main!AH5</f>
        <v>Probationary</v>
      </c>
      <c r="D4" s="260">
        <f>Main!B5</f>
        <v>42012</v>
      </c>
      <c r="E4" s="260" t="str">
        <f>IF(Main!AI5&lt;1,"",Main!AI5)</f>
        <v/>
      </c>
      <c r="F4" s="260" t="str">
        <f>IF(Main!AJ5&lt;1,"",Main!AJ5)</f>
        <v/>
      </c>
      <c r="G4" s="260" t="str">
        <f>IF(Main!AK5&lt;1,"",Main!AK5)</f>
        <v/>
      </c>
      <c r="H4" s="259" t="str">
        <f>Main!Y5</f>
        <v>IOS-Customer Service Agent</v>
      </c>
      <c r="I4" s="259" t="str">
        <f>Main!Z5</f>
        <v/>
      </c>
      <c r="J4" s="259" t="str">
        <f>IF(Main!A5&lt;1,"",Main!A5)</f>
        <v/>
      </c>
      <c r="K4" s="260">
        <f>IF(Main!AN5&gt;0,Main!AN5,"")</f>
        <v>29737</v>
      </c>
      <c r="L4" s="258" t="str">
        <f>IF(Main!Q5&gt;0,Main!Q5,"")</f>
        <v/>
      </c>
      <c r="M4" s="410">
        <f>VALUE(IF(Main!S5&gt;0,Main!S5,""))</f>
        <v>9062053726</v>
      </c>
      <c r="N4" s="261" t="str">
        <f>Main!T5</f>
        <v/>
      </c>
      <c r="O4" s="258" t="str">
        <f>IF(Main!AO5&gt;0,Main!AO5,"")</f>
        <v/>
      </c>
      <c r="P4" s="258" t="str">
        <f>IF(Main!AP5&gt;0,Main!AP5,"")</f>
        <v/>
      </c>
      <c r="Q4" s="258" t="str">
        <f>IF(Main!AR5&gt;0,Main!AR5,"")</f>
        <v/>
      </c>
      <c r="R4" s="259" t="str">
        <f>IF(Main!AQ5&gt;0,Main!AQ5,"")</f>
        <v/>
      </c>
      <c r="S4" s="259" t="str">
        <f>IF(Main!BD5&gt;0,Main!BD5,"")</f>
        <v>33-9036040-2</v>
      </c>
      <c r="T4" s="259" t="str">
        <f>IF(Main!AX5&gt;0,Main!AX5,"")</f>
        <v>300-548-837</v>
      </c>
      <c r="U4" s="259" t="str">
        <f>IF(Main!BH5&gt;0,Main!BH5,"")</f>
        <v>01-050138491-2</v>
      </c>
      <c r="V4" s="268" t="str">
        <f>IF(Main!BF5&gt;0,Main!BF5,"")</f>
        <v>1210-8714-3874</v>
      </c>
      <c r="W4" s="263">
        <f>IF(Main!BS5&gt;0,Main!BS5,"")</f>
        <v>42016</v>
      </c>
      <c r="X4" s="263" t="str">
        <f>IF(Main!BT5&gt;0,Main!BT5,"")</f>
        <v/>
      </c>
      <c r="Y4" s="263">
        <f>IF(Main!BU5&gt;0,Main!BU5,"")</f>
        <v>42031</v>
      </c>
      <c r="Z4" s="263">
        <f>IF(Main!AS5&gt;0,Main!AS5,"")</f>
        <v>42016</v>
      </c>
      <c r="AA4" s="263">
        <f>IF(Main!BJ5&gt;0,Main!BJ5,"")</f>
        <v>42031</v>
      </c>
      <c r="AB4" s="263">
        <f>IF(Main!BC5&gt;0,Main!BC5,"")</f>
        <v>42016</v>
      </c>
      <c r="AC4" s="263">
        <f>IF(Main!AW5&gt;0,Main!AW5,"")</f>
        <v>42016</v>
      </c>
      <c r="AD4" s="263">
        <f>IF(Main!BG5&gt;0,Main!BG5,"")</f>
        <v>42016</v>
      </c>
      <c r="AE4" s="263">
        <f>IF(Main!BE5&gt;0,Main!BE5,"")</f>
        <v>42016</v>
      </c>
      <c r="AF4" s="263">
        <f>IF(Main!BM5&gt;0,Main!BM5,"")</f>
        <v>42016</v>
      </c>
      <c r="AG4" s="263" t="str">
        <f>IF(Main!BN5&gt;0,Main!BN5,"")</f>
        <v/>
      </c>
      <c r="AH4" s="263" t="str">
        <f>IF(Main!BO5&gt;0,Main!BO5,"")</f>
        <v/>
      </c>
      <c r="AI4" s="263">
        <f>IF(Main!BR5&gt;0,Main!BR5,"")</f>
        <v>42016</v>
      </c>
      <c r="AJ4" s="263">
        <f>IF(Main!BQ5&gt;0,Main!BQ5,"")</f>
        <v>42031</v>
      </c>
      <c r="AK4" s="263">
        <f>IF(Main!AV5&gt;0,Main!AV5,"")</f>
        <v>42019</v>
      </c>
      <c r="AL4" s="263" t="str">
        <f>IF(Main!AU5&gt;0,Main!AU5,"")</f>
        <v/>
      </c>
      <c r="AM4" s="263">
        <f>IF(Main!AT5&gt;0,Main!AT5,"")</f>
        <v>42016</v>
      </c>
      <c r="AN4" s="259" t="str">
        <f>Main!BW5</f>
        <v>2316(2014)-1/12/15; 2305-1/15; ER2 - 1/12</v>
      </c>
    </row>
    <row r="5" spans="1:40" s="265" customFormat="1" ht="15.75" thickBot="1" x14ac:dyDescent="0.3">
      <c r="A5" s="258">
        <f>Main!C6</f>
        <v>1082220</v>
      </c>
      <c r="B5" s="259" t="str">
        <f>Main!D6</f>
        <v>TOLENTINO, Chrisca Marist Caragay</v>
      </c>
      <c r="C5" s="259" t="str">
        <f>Main!AH6</f>
        <v>Probationary</v>
      </c>
      <c r="D5" s="260">
        <f>Main!B6</f>
        <v>42012</v>
      </c>
      <c r="E5" s="260" t="str">
        <f>IF(Main!AI6&lt;1,"",Main!AI6)</f>
        <v/>
      </c>
      <c r="F5" s="260" t="str">
        <f>IF(Main!AJ6&lt;1,"",Main!AJ6)</f>
        <v/>
      </c>
      <c r="G5" s="260" t="str">
        <f>IF(Main!AK6&lt;1,"",Main!AK6)</f>
        <v/>
      </c>
      <c r="H5" s="259" t="str">
        <f>Main!Y6</f>
        <v>IOS-Operations Supervisor</v>
      </c>
      <c r="I5" s="259" t="str">
        <f>Main!Z6</f>
        <v/>
      </c>
      <c r="J5" s="259" t="str">
        <f>IF(Main!A6&lt;1,"",Main!A6)</f>
        <v/>
      </c>
      <c r="K5" s="260">
        <f>IF(Main!AN6&gt;0,Main!AN6,"")</f>
        <v>31137</v>
      </c>
      <c r="L5" s="258" t="str">
        <f>IF(Main!Q6&gt;0,Main!Q6,"")</f>
        <v/>
      </c>
      <c r="M5" s="410">
        <f>VALUE(IF(Main!S6&gt;0,Main!S6,""))</f>
        <v>9321321947</v>
      </c>
      <c r="N5" s="261" t="str">
        <f>Main!T6</f>
        <v/>
      </c>
      <c r="O5" s="258" t="str">
        <f>IF(Main!AO6&gt;0,Main!AO6,"")</f>
        <v/>
      </c>
      <c r="P5" s="258" t="str">
        <f>IF(Main!AP6&gt;0,Main!AP6,"")</f>
        <v/>
      </c>
      <c r="Q5" s="258" t="str">
        <f>IF(Main!AR6&gt;0,Main!AR6,"")</f>
        <v/>
      </c>
      <c r="R5" s="259" t="str">
        <f>IF(Main!AQ6&gt;0,Main!AQ6,"")</f>
        <v>Female</v>
      </c>
      <c r="S5" s="259" t="str">
        <f>IF(Main!BD6&gt;0,Main!BD6,"")</f>
        <v>34-0345405-6</v>
      </c>
      <c r="T5" s="259" t="str">
        <f>IF(Main!AX6&gt;0,Main!AX6,"")</f>
        <v>246-827-383</v>
      </c>
      <c r="U5" s="259" t="str">
        <f>IF(Main!BH6&gt;0,Main!BH6,"")</f>
        <v>03-050225809-1</v>
      </c>
      <c r="V5" s="268" t="str">
        <f>IF(Main!BF6&gt;0,Main!BF6,"")</f>
        <v>1080-0215-4746</v>
      </c>
      <c r="W5" s="263">
        <f>IF(Main!BS6&gt;0,Main!BS6,"")</f>
        <v>42031</v>
      </c>
      <c r="X5" s="263" t="str">
        <f>IF(Main!BT6&gt;0,Main!BT6,"")</f>
        <v/>
      </c>
      <c r="Y5" s="263">
        <f>IF(Main!BU6&gt;0,Main!BU6,"")</f>
        <v>42031</v>
      </c>
      <c r="Z5" s="263" t="str">
        <f>IF(Main!AS6&gt;0,Main!AS6,"")</f>
        <v/>
      </c>
      <c r="AA5" s="263">
        <f>IF(Main!BJ6&gt;0,Main!BJ6,"")</f>
        <v>42031</v>
      </c>
      <c r="AB5" s="263">
        <f>IF(Main!BC6&gt;0,Main!BC6,"")</f>
        <v>42031</v>
      </c>
      <c r="AC5" s="263">
        <f>IF(Main!AW6&gt;0,Main!AW6,"")</f>
        <v>42031</v>
      </c>
      <c r="AD5" s="263">
        <f>IF(Main!BG6&gt;0,Main!BG6,"")</f>
        <v>42031</v>
      </c>
      <c r="AE5" s="263">
        <f>IF(Main!BE6&gt;0,Main!BE6,"")</f>
        <v>42031</v>
      </c>
      <c r="AF5" s="263" t="str">
        <f>IF(Main!BM6&gt;0,Main!BM6,"")</f>
        <v/>
      </c>
      <c r="AG5" s="263" t="str">
        <f>IF(Main!BN6&gt;0,Main!BN6,"")</f>
        <v/>
      </c>
      <c r="AH5" s="263" t="str">
        <f>IF(Main!BO6&gt;0,Main!BO6,"")</f>
        <v/>
      </c>
      <c r="AI5" s="263">
        <f>IF(Main!BR6&gt;0,Main!BR6,"")</f>
        <v>42031</v>
      </c>
      <c r="AJ5" s="263" t="str">
        <f>IF(Main!BQ6&gt;0,Main!BQ6,"")</f>
        <v/>
      </c>
      <c r="AK5" s="263" t="str">
        <f>IF(Main!AV6&gt;0,Main!AV6,"")</f>
        <v/>
      </c>
      <c r="AL5" s="263" t="str">
        <f>IF(Main!AU6&gt;0,Main!AU6,"")</f>
        <v/>
      </c>
      <c r="AM5" s="263" t="str">
        <f>IF(Main!AT6&gt;0,Main!AT6,"")</f>
        <v/>
      </c>
      <c r="AN5" s="259" t="str">
        <f>Main!BW6</f>
        <v>2305-1/27;</v>
      </c>
    </row>
    <row r="6" spans="1:40" ht="15.75" thickTop="1" x14ac:dyDescent="0.25">
      <c r="A6" s="258">
        <f>Main!C7</f>
        <v>1082221</v>
      </c>
      <c r="B6" s="259" t="str">
        <f>Main!D7</f>
        <v>AÑORA, Clark Galupo</v>
      </c>
      <c r="C6" s="259" t="str">
        <f>Main!AH7</f>
        <v>Probationary</v>
      </c>
      <c r="D6" s="260">
        <f>Main!B7</f>
        <v>42016</v>
      </c>
      <c r="E6" s="260" t="str">
        <f>IF(Main!AI7&lt;1,"",Main!AI7)</f>
        <v/>
      </c>
      <c r="F6" s="260" t="str">
        <f>IF(Main!AJ7&lt;1,"",Main!AJ7)</f>
        <v/>
      </c>
      <c r="G6" s="260" t="str">
        <f>IF(Main!AK7&lt;1,"",Main!AK7)</f>
        <v/>
      </c>
      <c r="H6" s="259" t="str">
        <f>Main!Y7</f>
        <v>Senior Recruiter</v>
      </c>
      <c r="I6" s="259" t="str">
        <f>Main!Z7</f>
        <v>Level 1</v>
      </c>
      <c r="J6" s="259">
        <f>IF(Main!A7&lt;1,"",Main!A7)</f>
        <v>179</v>
      </c>
      <c r="K6" s="260">
        <f>IF(Main!AN7&gt;0,Main!AN7,"")</f>
        <v>33154</v>
      </c>
      <c r="L6" s="258" t="str">
        <f>IF(Main!Q7&gt;0,Main!Q7,"")</f>
        <v>clark_fricks551@yahoo.com</v>
      </c>
      <c r="M6" s="410">
        <f>VALUE(IF(Main!S7&gt;0,Main!S7,""))</f>
        <v>9276056877</v>
      </c>
      <c r="N6" s="261" t="str">
        <f>Main!T7</f>
        <v/>
      </c>
      <c r="O6" s="258" t="str">
        <f>IF(Main!AO7&gt;0,Main!AO7,"")</f>
        <v>3rd Floor Rabago Residences, Bohol St. CAA, Las Piñas City</v>
      </c>
      <c r="P6" s="258" t="str">
        <f>IF(Main!AP7&gt;0,Main!AP7,"")</f>
        <v/>
      </c>
      <c r="Q6" s="258" t="str">
        <f>IF(Main!AR7&gt;0,Main!AR7,"")</f>
        <v/>
      </c>
      <c r="R6" s="259" t="str">
        <f>IF(Main!AQ7&gt;0,Main!AQ7,"")</f>
        <v>Male</v>
      </c>
      <c r="S6" s="259" t="str">
        <f>IF(Main!BD7&gt;0,Main!BD7,"")</f>
        <v>34-3780942-8</v>
      </c>
      <c r="T6" s="259" t="str">
        <f>IF(Main!AX7&gt;0,Main!AX7,"")</f>
        <v>313-984-696</v>
      </c>
      <c r="U6" s="259" t="str">
        <f>IF(Main!BH7&gt;0,Main!BH7,"")</f>
        <v>10-51609805-3</v>
      </c>
      <c r="V6" s="268" t="str">
        <f>IF(Main!BF7&gt;0,Main!BF7,"")</f>
        <v>1210-8649-9772</v>
      </c>
      <c r="W6" s="263">
        <f>IF(Main!BS7&gt;0,Main!BS7,"")</f>
        <v>42017</v>
      </c>
      <c r="X6" s="263">
        <f>IF(Main!BT7&gt;0,Main!BT7,"")</f>
        <v>42017</v>
      </c>
      <c r="Y6" s="263">
        <f>IF(Main!BU7&gt;0,Main!BU7,"")</f>
        <v>42017</v>
      </c>
      <c r="Z6" s="263">
        <f>IF(Main!AS7&gt;0,Main!AS7,"")</f>
        <v>42017</v>
      </c>
      <c r="AA6" s="263">
        <f>IF(Main!BJ7&gt;0,Main!BJ7,"")</f>
        <v>42017</v>
      </c>
      <c r="AB6" s="263">
        <f>IF(Main!BC7&gt;0,Main!BC7,"")</f>
        <v>42017</v>
      </c>
      <c r="AC6" s="263">
        <f>IF(Main!AW7&gt;0,Main!AW7,"")</f>
        <v>42017</v>
      </c>
      <c r="AD6" s="263">
        <f>IF(Main!BG7&gt;0,Main!BG7,"")</f>
        <v>42019</v>
      </c>
      <c r="AE6" s="263">
        <f>IF(Main!BE7&gt;0,Main!BE7,"")</f>
        <v>42017</v>
      </c>
      <c r="AF6" s="263">
        <f>IF(Main!BM7&gt;0,Main!BM7,"")</f>
        <v>42017</v>
      </c>
      <c r="AG6" s="263" t="str">
        <f>IF(Main!BN7&gt;0,Main!BN7,"")</f>
        <v/>
      </c>
      <c r="AH6" s="263" t="str">
        <f>IF(Main!BO7&gt;0,Main!BO7,"")</f>
        <v/>
      </c>
      <c r="AI6" s="263">
        <f>IF(Main!BR7&gt;0,Main!BR7,"")</f>
        <v>42017</v>
      </c>
      <c r="AJ6" s="263">
        <f>IF(Main!BQ7&gt;0,Main!BQ7,"")</f>
        <v>42017</v>
      </c>
      <c r="AK6" s="263">
        <f>IF(Main!AV7&gt;0,Main!AV7,"")</f>
        <v>42017</v>
      </c>
      <c r="AL6" s="263">
        <f>IF(Main!AU7&gt;0,Main!AU7,"")</f>
        <v>42017</v>
      </c>
      <c r="AM6" s="263">
        <f>IF(Main!AT7&gt;0,Main!AT7,"")</f>
        <v>42017</v>
      </c>
      <c r="AN6" s="259" t="str">
        <f>Main!BW7</f>
        <v xml:space="preserve">1905 2/5/2015, 2305 1/13/2015, MDR 1/13/2015, </v>
      </c>
    </row>
    <row r="7" spans="1:40" x14ac:dyDescent="0.25">
      <c r="A7" s="258">
        <f>Main!C8</f>
        <v>1082222</v>
      </c>
      <c r="B7" s="259" t="str">
        <f>Main!D8</f>
        <v>BUJAWE, Joanna Marie Guitones</v>
      </c>
      <c r="C7" s="259" t="str">
        <f>Main!AH8</f>
        <v>Probationary</v>
      </c>
      <c r="D7" s="260">
        <f>Main!B8</f>
        <v>42016</v>
      </c>
      <c r="E7" s="260" t="str">
        <f>IF(Main!AI8&lt;1,"",Main!AI8)</f>
        <v/>
      </c>
      <c r="F7" s="260" t="str">
        <f>IF(Main!AJ8&lt;1,"",Main!AJ8)</f>
        <v/>
      </c>
      <c r="G7" s="260" t="str">
        <f>IF(Main!AK8&lt;1,"",Main!AK8)</f>
        <v/>
      </c>
      <c r="H7" s="259" t="str">
        <f>Main!Y8</f>
        <v>Senior Recruiter</v>
      </c>
      <c r="I7" s="259" t="str">
        <f>Main!Z8</f>
        <v>Level 2</v>
      </c>
      <c r="J7" s="259">
        <f>IF(Main!A8&lt;1,"",Main!A8)</f>
        <v>179</v>
      </c>
      <c r="K7" s="260">
        <f>IF(Main!AN8&gt;0,Main!AN8,"")</f>
        <v>33274</v>
      </c>
      <c r="L7" s="258" t="str">
        <f>IF(Main!Q8&gt;0,Main!Q8,"")</f>
        <v>anne.bujawe@gmail.com</v>
      </c>
      <c r="M7" s="410">
        <f>VALUE(IF(Main!S8&gt;0,Main!S8,""))</f>
        <v>9178244858</v>
      </c>
      <c r="N7" s="261" t="str">
        <f>Main!T8</f>
        <v/>
      </c>
      <c r="O7" s="258" t="str">
        <f>IF(Main!AO8&gt;0,Main!AO8,"")</f>
        <v>2b Alley 01 Tindalo Street, Feria Road Old Balara Diliman, Quezon City</v>
      </c>
      <c r="P7" s="258" t="str">
        <f>IF(Main!AP8&gt;0,Main!AP8,"")</f>
        <v/>
      </c>
      <c r="Q7" s="258" t="str">
        <f>IF(Main!AR8&gt;0,Main!AR8,"")</f>
        <v/>
      </c>
      <c r="R7" s="259" t="str">
        <f>IF(Main!AQ8&gt;0,Main!AQ8,"")</f>
        <v>Female</v>
      </c>
      <c r="S7" s="259" t="str">
        <f>IF(Main!BD8&gt;0,Main!BD8,"")</f>
        <v>34-2131428-8</v>
      </c>
      <c r="T7" s="259" t="str">
        <f>IF(Main!AX8&gt;0,Main!AX8,"")</f>
        <v>407-051-931</v>
      </c>
      <c r="U7" s="259" t="str">
        <f>IF(Main!BH8&gt;0,Main!BH8,"")</f>
        <v>01-051235886-7</v>
      </c>
      <c r="V7" s="268" t="str">
        <f>IF(Main!BF8&gt;0,Main!BF8,"")</f>
        <v>1210-6228-7937</v>
      </c>
      <c r="W7" s="263">
        <f>IF(Main!BS8&gt;0,Main!BS8,"")</f>
        <v>42017</v>
      </c>
      <c r="X7" s="263">
        <f>IF(Main!BT8&gt;0,Main!BT8,"")</f>
        <v>42017</v>
      </c>
      <c r="Y7" s="263">
        <f>IF(Main!BU8&gt;0,Main!BU8,"")</f>
        <v>42017</v>
      </c>
      <c r="Z7" s="263">
        <f>IF(Main!AS8&gt;0,Main!AS8,"")</f>
        <v>42019</v>
      </c>
      <c r="AA7" s="263">
        <f>IF(Main!BJ8&gt;0,Main!BJ8,"")</f>
        <v>42017</v>
      </c>
      <c r="AB7" s="263">
        <f>IF(Main!BC8&gt;0,Main!BC8,"")</f>
        <v>42019</v>
      </c>
      <c r="AC7" s="263">
        <f>IF(Main!AW8&gt;0,Main!AW8,"")</f>
        <v>42017</v>
      </c>
      <c r="AD7" s="263">
        <f>IF(Main!BG8&gt;0,Main!BG8,"")</f>
        <v>42017</v>
      </c>
      <c r="AE7" s="263">
        <f>IF(Main!BE8&gt;0,Main!BE8,"")</f>
        <v>42045</v>
      </c>
      <c r="AF7" s="263">
        <f>IF(Main!BM8&gt;0,Main!BM8,"")</f>
        <v>42017</v>
      </c>
      <c r="AG7" s="263" t="str">
        <f>IF(Main!BN8&gt;0,Main!BN8,"")</f>
        <v/>
      </c>
      <c r="AH7" s="263" t="str">
        <f>IF(Main!BO8&gt;0,Main!BO8,"")</f>
        <v/>
      </c>
      <c r="AI7" s="263" t="str">
        <f>IF(Main!BR8&gt;0,Main!BR8,"")</f>
        <v/>
      </c>
      <c r="AJ7" s="263" t="str">
        <f>IF(Main!BQ8&gt;0,Main!BQ8,"")</f>
        <v/>
      </c>
      <c r="AK7" s="263">
        <f>IF(Main!AV8&gt;0,Main!AV8,"")</f>
        <v>42017</v>
      </c>
      <c r="AL7" s="263">
        <f>IF(Main!AU8&gt;0,Main!AU8,"")</f>
        <v>42017</v>
      </c>
      <c r="AM7" s="263">
        <f>IF(Main!AT8&gt;0,Main!AT8,"")</f>
        <v>42017</v>
      </c>
      <c r="AN7" s="259" t="str">
        <f>Main!BW8</f>
        <v xml:space="preserve">2305 1/13/2015, MDR 1/13/2015, </v>
      </c>
    </row>
    <row r="8" spans="1:40" x14ac:dyDescent="0.25">
      <c r="A8" s="258">
        <f>Main!C9</f>
        <v>1082223</v>
      </c>
      <c r="B8" s="259" t="str">
        <f>Main!D9</f>
        <v>DADULLA, Micou Padilla</v>
      </c>
      <c r="C8" s="259" t="str">
        <f>Main!AH9</f>
        <v>Probationary</v>
      </c>
      <c r="D8" s="260">
        <f>Main!B9</f>
        <v>42016</v>
      </c>
      <c r="E8" s="260" t="str">
        <f>IF(Main!AI9&lt;1,"",Main!AI9)</f>
        <v/>
      </c>
      <c r="F8" s="260" t="str">
        <f>IF(Main!AJ9&lt;1,"",Main!AJ9)</f>
        <v/>
      </c>
      <c r="G8" s="260" t="str">
        <f>IF(Main!AK9&lt;1,"",Main!AK9)</f>
        <v/>
      </c>
      <c r="H8" s="259" t="str">
        <f>Main!Y9</f>
        <v>Senior Recruiter</v>
      </c>
      <c r="I8" s="259" t="str">
        <f>Main!Z9</f>
        <v>Level 1</v>
      </c>
      <c r="J8" s="259">
        <f>IF(Main!A9&lt;1,"",Main!A9)</f>
        <v>179</v>
      </c>
      <c r="K8" s="260">
        <f>IF(Main!AN9&gt;0,Main!AN9,"")</f>
        <v>34011</v>
      </c>
      <c r="L8" s="258" t="str">
        <f>IF(Main!Q9&gt;0,Main!Q9,"")</f>
        <v>dadulla.micou@gmail.com</v>
      </c>
      <c r="M8" s="410">
        <f>VALUE(IF(Main!S9&gt;0,Main!S9,""))</f>
        <v>9167712071</v>
      </c>
      <c r="N8" s="261" t="str">
        <f>Main!T9</f>
        <v/>
      </c>
      <c r="O8" s="258" t="str">
        <f>IF(Main!AO9&gt;0,Main!AO9,"")</f>
        <v># 27 Malipajo Champaca Street Marikina Heights, Marikina City</v>
      </c>
      <c r="P8" s="258" t="str">
        <f>IF(Main!AP9&gt;0,Main!AP9,"")</f>
        <v/>
      </c>
      <c r="Q8" s="258" t="str">
        <f>IF(Main!AR9&gt;0,Main!AR9,"")</f>
        <v/>
      </c>
      <c r="R8" s="259" t="str">
        <f>IF(Main!AQ9&gt;0,Main!AQ9,"")</f>
        <v>Male</v>
      </c>
      <c r="S8" s="259" t="str">
        <f>IF(Main!BD9&gt;0,Main!BD9,"")</f>
        <v>34-3815868-6</v>
      </c>
      <c r="T8" s="259" t="str">
        <f>IF(Main!AX9&gt;0,Main!AX9,"")</f>
        <v/>
      </c>
      <c r="U8" s="259" t="str">
        <f>IF(Main!BH9&gt;0,Main!BH9,"")</f>
        <v/>
      </c>
      <c r="V8" s="268" t="str">
        <f>IF(Main!BF9&gt;0,Main!BF9,"")</f>
        <v/>
      </c>
      <c r="W8" s="263">
        <f>IF(Main!BS9&gt;0,Main!BS9,"")</f>
        <v>42017</v>
      </c>
      <c r="X8" s="263">
        <f>IF(Main!BT9&gt;0,Main!BT9,"")</f>
        <v>42017</v>
      </c>
      <c r="Y8" s="263">
        <f>IF(Main!BU9&gt;0,Main!BU9,"")</f>
        <v>42017</v>
      </c>
      <c r="Z8" s="263">
        <f>IF(Main!AS9&gt;0,Main!AS9,"")</f>
        <v>42019</v>
      </c>
      <c r="AA8" s="263" t="str">
        <f>IF(Main!BJ9&gt;0,Main!BJ9,"")</f>
        <v/>
      </c>
      <c r="AB8" s="263">
        <f>IF(Main!BC9&gt;0,Main!BC9,"")</f>
        <v>42017</v>
      </c>
      <c r="AC8" s="263" t="str">
        <f>IF(Main!AW9&gt;0,Main!AW9,"")</f>
        <v/>
      </c>
      <c r="AD8" s="263" t="str">
        <f>IF(Main!BG9&gt;0,Main!BG9,"")</f>
        <v/>
      </c>
      <c r="AE8" s="263" t="str">
        <f>IF(Main!BE9&gt;0,Main!BE9,"")</f>
        <v/>
      </c>
      <c r="AF8" s="263">
        <f>IF(Main!BM9&gt;0,Main!BM9,"")</f>
        <v>42017</v>
      </c>
      <c r="AG8" s="263" t="str">
        <f>IF(Main!BN9&gt;0,Main!BN9,"")</f>
        <v/>
      </c>
      <c r="AH8" s="263" t="str">
        <f>IF(Main!BO9&gt;0,Main!BO9,"")</f>
        <v/>
      </c>
      <c r="AI8" s="263">
        <f>IF(Main!BR9&gt;0,Main!BR9,"")</f>
        <v>42019</v>
      </c>
      <c r="AJ8" s="263">
        <f>IF(Main!BQ9&gt;0,Main!BQ9,"")</f>
        <v>42017</v>
      </c>
      <c r="AK8" s="263">
        <f>IF(Main!AV9&gt;0,Main!AV9,"")</f>
        <v>42017</v>
      </c>
      <c r="AL8" s="263">
        <f>IF(Main!AU9&gt;0,Main!AU9,"")</f>
        <v>42017</v>
      </c>
      <c r="AM8" s="263">
        <f>IF(Main!AT9&gt;0,Main!AT9,"")</f>
        <v>42017</v>
      </c>
      <c r="AN8" s="259" t="str">
        <f>Main!BW9</f>
        <v xml:space="preserve">2305 (for processing) 1/13/2015, </v>
      </c>
    </row>
    <row r="9" spans="1:40" x14ac:dyDescent="0.25">
      <c r="A9" s="258">
        <f>Main!C10</f>
        <v>1082224</v>
      </c>
      <c r="B9" s="259" t="str">
        <f>Main!D10</f>
        <v>DELA CRUZ, Bernadette Franco</v>
      </c>
      <c r="C9" s="259" t="str">
        <f>Main!AH10</f>
        <v>Terminated - AWOL</v>
      </c>
      <c r="D9" s="260">
        <f>Main!B10</f>
        <v>42016</v>
      </c>
      <c r="E9" s="260" t="str">
        <f>IF(Main!AI10&lt;1,"",Main!AI10)</f>
        <v/>
      </c>
      <c r="F9" s="260" t="str">
        <f>IF(Main!AJ10&lt;1,"",Main!AJ10)</f>
        <v/>
      </c>
      <c r="G9" s="260" t="str">
        <f>IF(Main!AK10&lt;1,"",Main!AK10)</f>
        <v/>
      </c>
      <c r="H9" s="259" t="str">
        <f>Main!Y10</f>
        <v>Senior Recruiter</v>
      </c>
      <c r="I9" s="259" t="str">
        <f>Main!Z10</f>
        <v>Level 2</v>
      </c>
      <c r="J9" s="259">
        <f>IF(Main!A10&lt;1,"",Main!A10)</f>
        <v>179</v>
      </c>
      <c r="K9" s="260">
        <f>IF(Main!AN10&gt;0,Main!AN10,"")</f>
        <v>32855</v>
      </c>
      <c r="L9" s="258" t="str">
        <f>IF(Main!Q10&gt;0,Main!Q10,"")</f>
        <v>kielmybaby13@yahoo.com</v>
      </c>
      <c r="M9" s="410">
        <f>VALUE(IF(Main!S10&gt;0,Main!S10,""))</f>
        <v>9279654797</v>
      </c>
      <c r="N9" s="261" t="str">
        <f>Main!T10</f>
        <v/>
      </c>
      <c r="O9" s="258" t="str">
        <f>IF(Main!AO10&gt;0,Main!AO10,"")</f>
        <v>Blk. 31 Lot 2 J.Reyas St., Katarungan Village, Muntinlupa City</v>
      </c>
      <c r="P9" s="258" t="str">
        <f>IF(Main!AP10&gt;0,Main!AP10,"")</f>
        <v/>
      </c>
      <c r="Q9" s="258" t="str">
        <f>IF(Main!AR10&gt;0,Main!AR10,"")</f>
        <v/>
      </c>
      <c r="R9" s="259" t="str">
        <f>IF(Main!AQ10&gt;0,Main!AQ10,"")</f>
        <v>Female</v>
      </c>
      <c r="S9" s="259" t="str">
        <f>IF(Main!BD10&gt;0,Main!BD10,"")</f>
        <v/>
      </c>
      <c r="T9" s="259" t="str">
        <f>IF(Main!AX10&gt;0,Main!AX10,"")</f>
        <v/>
      </c>
      <c r="U9" s="259" t="str">
        <f>IF(Main!BH10&gt;0,Main!BH10,"")</f>
        <v/>
      </c>
      <c r="V9" s="268" t="str">
        <f>IF(Main!BF10&gt;0,Main!BF10,"")</f>
        <v/>
      </c>
      <c r="W9" s="263">
        <f>IF(Main!BS10&gt;0,Main!BS10,"")</f>
        <v>42017</v>
      </c>
      <c r="X9" s="263">
        <f>IF(Main!BT10&gt;0,Main!BT10,"")</f>
        <v>42017</v>
      </c>
      <c r="Y9" s="263">
        <f>IF(Main!BU10&gt;0,Main!BU10,"")</f>
        <v>42017</v>
      </c>
      <c r="Z9" s="263" t="str">
        <f>IF(Main!AS10&gt;0,Main!AS10,"")</f>
        <v/>
      </c>
      <c r="AA9" s="263" t="str">
        <f>IF(Main!BJ10&gt;0,Main!BJ10,"")</f>
        <v/>
      </c>
      <c r="AB9" s="263" t="str">
        <f>IF(Main!BC10&gt;0,Main!BC10,"")</f>
        <v/>
      </c>
      <c r="AC9" s="263" t="str">
        <f>IF(Main!AW10&gt;0,Main!AW10,"")</f>
        <v/>
      </c>
      <c r="AD9" s="263" t="str">
        <f>IF(Main!BG10&gt;0,Main!BG10,"")</f>
        <v/>
      </c>
      <c r="AE9" s="263" t="str">
        <f>IF(Main!BE10&gt;0,Main!BE10,"")</f>
        <v/>
      </c>
      <c r="AF9" s="263" t="str">
        <f>IF(Main!BM10&gt;0,Main!BM10,"")</f>
        <v/>
      </c>
      <c r="AG9" s="263" t="str">
        <f>IF(Main!BN10&gt;0,Main!BN10,"")</f>
        <v/>
      </c>
      <c r="AH9" s="263" t="str">
        <f>IF(Main!BO10&gt;0,Main!BO10,"")</f>
        <v/>
      </c>
      <c r="AI9" s="263" t="str">
        <f>IF(Main!BR10&gt;0,Main!BR10,"")</f>
        <v/>
      </c>
      <c r="AJ9" s="263" t="str">
        <f>IF(Main!BQ10&gt;0,Main!BQ10,"")</f>
        <v/>
      </c>
      <c r="AK9" s="263" t="str">
        <f>IF(Main!AV10&gt;0,Main!AV10,"")</f>
        <v/>
      </c>
      <c r="AL9" s="263" t="str">
        <f>IF(Main!AU10&gt;0,Main!AU10,"")</f>
        <v/>
      </c>
      <c r="AM9" s="263" t="str">
        <f>IF(Main!AT10&gt;0,Main!AT10,"")</f>
        <v/>
      </c>
      <c r="AN9" s="259" t="str">
        <f>Main!BW10</f>
        <v xml:space="preserve">2305 (for processing) 1/13/2015, </v>
      </c>
    </row>
    <row r="10" spans="1:40" x14ac:dyDescent="0.25">
      <c r="A10" s="258">
        <f>Main!C11</f>
        <v>1082225</v>
      </c>
      <c r="B10" s="259" t="str">
        <f>Main!D11</f>
        <v>DELA CRUZ, Michael</v>
      </c>
      <c r="C10" s="259" t="str">
        <f>Main!AH11</f>
        <v>Probationary</v>
      </c>
      <c r="D10" s="260">
        <f>Main!B11</f>
        <v>42016</v>
      </c>
      <c r="E10" s="260" t="str">
        <f>IF(Main!AI11&lt;1,"",Main!AI11)</f>
        <v/>
      </c>
      <c r="F10" s="260" t="str">
        <f>IF(Main!AJ11&lt;1,"",Main!AJ11)</f>
        <v/>
      </c>
      <c r="G10" s="260" t="str">
        <f>IF(Main!AK11&lt;1,"",Main!AK11)</f>
        <v/>
      </c>
      <c r="H10" s="259" t="str">
        <f>Main!Y11</f>
        <v>Senior Recruiter</v>
      </c>
      <c r="I10" s="259" t="str">
        <f>Main!Z11</f>
        <v>Level 1</v>
      </c>
      <c r="J10" s="259">
        <f>IF(Main!A11&lt;1,"",Main!A11)</f>
        <v>179</v>
      </c>
      <c r="K10" s="260">
        <f>IF(Main!AN11&gt;0,Main!AN11,"")</f>
        <v>30806</v>
      </c>
      <c r="L10" s="258" t="str">
        <f>IF(Main!Q11&gt;0,Main!Q11,"")</f>
        <v/>
      </c>
      <c r="M10" s="410">
        <f>VALUE(IF(Main!S11&gt;0,Main!S11,""))</f>
        <v>9152130444</v>
      </c>
      <c r="N10" s="261" t="str">
        <f>Main!T11</f>
        <v/>
      </c>
      <c r="O10" s="258" t="str">
        <f>IF(Main!AO11&gt;0,Main!AO11,"")</f>
        <v>8990 Hormiga St., Brgy. Valenzuela, Makati City</v>
      </c>
      <c r="P10" s="258" t="str">
        <f>IF(Main!AP11&gt;0,Main!AP11,"")</f>
        <v/>
      </c>
      <c r="Q10" s="258" t="str">
        <f>IF(Main!AR11&gt;0,Main!AR11,"")</f>
        <v/>
      </c>
      <c r="R10" s="259" t="str">
        <f>IF(Main!AQ11&gt;0,Main!AQ11,"")</f>
        <v/>
      </c>
      <c r="S10" s="259" t="str">
        <f>IF(Main!BD11&gt;0,Main!BD11,"")</f>
        <v/>
      </c>
      <c r="T10" s="259" t="str">
        <f>IF(Main!AX11&gt;0,Main!AX11,"")</f>
        <v/>
      </c>
      <c r="U10" s="259" t="str">
        <f>IF(Main!BH11&gt;0,Main!BH11,"")</f>
        <v/>
      </c>
      <c r="V10" s="268" t="str">
        <f>IF(Main!BF11&gt;0,Main!BF11,"")</f>
        <v/>
      </c>
      <c r="W10" s="263">
        <f>IF(Main!BS11&gt;0,Main!BS11,"")</f>
        <v>42017</v>
      </c>
      <c r="X10" s="263">
        <f>IF(Main!BT11&gt;0,Main!BT11,"")</f>
        <v>42017</v>
      </c>
      <c r="Y10" s="263">
        <f>IF(Main!BU11&gt;0,Main!BU11,"")</f>
        <v>42017</v>
      </c>
      <c r="Z10" s="263" t="str">
        <f>IF(Main!AS11&gt;0,Main!AS11,"")</f>
        <v/>
      </c>
      <c r="AA10" s="263" t="str">
        <f>IF(Main!BJ11&gt;0,Main!BJ11,"")</f>
        <v/>
      </c>
      <c r="AB10" s="263" t="str">
        <f>IF(Main!BC11&gt;0,Main!BC11,"")</f>
        <v/>
      </c>
      <c r="AC10" s="263" t="str">
        <f>IF(Main!AW11&gt;0,Main!AW11,"")</f>
        <v/>
      </c>
      <c r="AD10" s="263" t="str">
        <f>IF(Main!BG11&gt;0,Main!BG11,"")</f>
        <v/>
      </c>
      <c r="AE10" s="263" t="str">
        <f>IF(Main!BE11&gt;0,Main!BE11,"")</f>
        <v/>
      </c>
      <c r="AF10" s="263" t="str">
        <f>IF(Main!BM11&gt;0,Main!BM11,"")</f>
        <v/>
      </c>
      <c r="AG10" s="263" t="str">
        <f>IF(Main!BN11&gt;0,Main!BN11,"")</f>
        <v/>
      </c>
      <c r="AH10" s="263" t="str">
        <f>IF(Main!BO11&gt;0,Main!BO11,"")</f>
        <v/>
      </c>
      <c r="AI10" s="263" t="str">
        <f>IF(Main!BR11&gt;0,Main!BR11,"")</f>
        <v/>
      </c>
      <c r="AJ10" s="263" t="str">
        <f>IF(Main!BQ11&gt;0,Main!BQ11,"")</f>
        <v/>
      </c>
      <c r="AK10" s="263" t="str">
        <f>IF(Main!AV11&gt;0,Main!AV11,"")</f>
        <v/>
      </c>
      <c r="AL10" s="263" t="str">
        <f>IF(Main!AU11&gt;0,Main!AU11,"")</f>
        <v/>
      </c>
      <c r="AM10" s="263" t="str">
        <f>IF(Main!AT11&gt;0,Main!AT11,"")</f>
        <v/>
      </c>
      <c r="AN10" s="259" t="str">
        <f>Main!BW11</f>
        <v xml:space="preserve">2305 (for processing) 1/13/2015, </v>
      </c>
    </row>
    <row r="11" spans="1:40" x14ac:dyDescent="0.25">
      <c r="A11" s="258">
        <f>Main!C12</f>
        <v>1082226</v>
      </c>
      <c r="B11" s="259" t="str">
        <f>Main!D12</f>
        <v>DE LOS REYES, Leonard Gianan</v>
      </c>
      <c r="C11" s="259" t="str">
        <f>Main!AH12</f>
        <v>Probationary</v>
      </c>
      <c r="D11" s="260">
        <f>Main!B12</f>
        <v>42016</v>
      </c>
      <c r="E11" s="260" t="str">
        <f>IF(Main!AI12&lt;1,"",Main!AI12)</f>
        <v/>
      </c>
      <c r="F11" s="260" t="str">
        <f>IF(Main!AJ12&lt;1,"",Main!AJ12)</f>
        <v/>
      </c>
      <c r="G11" s="260" t="str">
        <f>IF(Main!AK12&lt;1,"",Main!AK12)</f>
        <v/>
      </c>
      <c r="H11" s="259" t="str">
        <f>Main!Y12</f>
        <v>Senior Recruiter</v>
      </c>
      <c r="I11" s="259" t="str">
        <f>Main!Z12</f>
        <v>Level 1</v>
      </c>
      <c r="J11" s="259">
        <f>IF(Main!A12&lt;1,"",Main!A12)</f>
        <v>179</v>
      </c>
      <c r="K11" s="260">
        <f>IF(Main!AN12&gt;0,Main!AN12,"")</f>
        <v>31233</v>
      </c>
      <c r="L11" s="258" t="str">
        <f>IF(Main!Q12&gt;0,Main!Q12,"")</f>
        <v>lenarddelosreyes@yahoo.com</v>
      </c>
      <c r="M11" s="410">
        <f>VALUE(IF(Main!S12&gt;0,Main!S12,""))</f>
        <v>9772146623</v>
      </c>
      <c r="N11" s="261" t="str">
        <f>Main!T12</f>
        <v/>
      </c>
      <c r="O11" s="258" t="str">
        <f>IF(Main!AO12&gt;0,Main!AO12,"")</f>
        <v>Blk-10 Lt-13 Villa Pangarap, Talon V, Las Piñas City</v>
      </c>
      <c r="P11" s="258" t="str">
        <f>IF(Main!AP12&gt;0,Main!AP12,"")</f>
        <v/>
      </c>
      <c r="Q11" s="258" t="str">
        <f>IF(Main!AR12&gt;0,Main!AR12,"")</f>
        <v/>
      </c>
      <c r="R11" s="259" t="str">
        <f>IF(Main!AQ12&gt;0,Main!AQ12,"")</f>
        <v>Male</v>
      </c>
      <c r="S11" s="259" t="str">
        <f>IF(Main!BD12&gt;0,Main!BD12,"")</f>
        <v>33-7905347-1</v>
      </c>
      <c r="T11" s="259" t="str">
        <f>IF(Main!AX12&gt;0,Main!AX12,"")</f>
        <v/>
      </c>
      <c r="U11" s="259" t="str">
        <f>IF(Main!BH12&gt;0,Main!BH12,"")</f>
        <v>19-089385156-2</v>
      </c>
      <c r="V11" s="268" t="str">
        <f>IF(Main!BF12&gt;0,Main!BF12,"")</f>
        <v>1210-1114-0139</v>
      </c>
      <c r="W11" s="263">
        <f>IF(Main!BS12&gt;0,Main!BS12,"")</f>
        <v>42024</v>
      </c>
      <c r="X11" s="263">
        <f>IF(Main!BT12&gt;0,Main!BT12,"")</f>
        <v>42024</v>
      </c>
      <c r="Y11" s="263">
        <f>IF(Main!BU12&gt;0,Main!BU12,"")</f>
        <v>42024</v>
      </c>
      <c r="Z11" s="263">
        <f>IF(Main!AS12&gt;0,Main!AS12,"")</f>
        <v>42025</v>
      </c>
      <c r="AA11" s="263" t="str">
        <f>IF(Main!BJ12&gt;0,Main!BJ12,"")</f>
        <v/>
      </c>
      <c r="AB11" s="263">
        <f>IF(Main!BC12&gt;0,Main!BC12,"")</f>
        <v>42025</v>
      </c>
      <c r="AC11" s="263" t="str">
        <f>IF(Main!AW12&gt;0,Main!AW12,"")</f>
        <v/>
      </c>
      <c r="AD11" s="263">
        <f>IF(Main!BG12&gt;0,Main!BG12,"")</f>
        <v>42025</v>
      </c>
      <c r="AE11" s="263">
        <f>IF(Main!BE12&gt;0,Main!BE12,"")</f>
        <v>42025</v>
      </c>
      <c r="AF11" s="263">
        <f>IF(Main!BM12&gt;0,Main!BM12,"")</f>
        <v>42025</v>
      </c>
      <c r="AG11" s="263" t="str">
        <f>IF(Main!BN12&gt;0,Main!BN12,"")</f>
        <v/>
      </c>
      <c r="AH11" s="263" t="str">
        <f>IF(Main!BO12&gt;0,Main!BO12,"")</f>
        <v/>
      </c>
      <c r="AI11" s="263">
        <f>IF(Main!BR12&gt;0,Main!BR12,"")</f>
        <v>42025</v>
      </c>
      <c r="AJ11" s="263" t="str">
        <f>IF(Main!BQ12&gt;0,Main!BQ12,"")</f>
        <v/>
      </c>
      <c r="AK11" s="263">
        <f>IF(Main!AV12&gt;0,Main!AV12,"")</f>
        <v>42017</v>
      </c>
      <c r="AL11" s="263">
        <f>IF(Main!AU12&gt;0,Main!AU12,"")</f>
        <v>42025</v>
      </c>
      <c r="AM11" s="263">
        <f>IF(Main!AT12&gt;0,Main!AT12,"")</f>
        <v>42025</v>
      </c>
      <c r="AN11" s="259" t="str">
        <f>Main!BW12</f>
        <v/>
      </c>
    </row>
    <row r="12" spans="1:40" x14ac:dyDescent="0.25">
      <c r="A12" s="258">
        <f>Main!C13</f>
        <v>1082227</v>
      </c>
      <c r="B12" s="259" t="str">
        <f>Main!D13</f>
        <v>LIBUTAN, Bernaliza Vargas</v>
      </c>
      <c r="C12" s="259" t="str">
        <f>Main!AH13</f>
        <v>Probationary</v>
      </c>
      <c r="D12" s="260">
        <f>Main!B13</f>
        <v>42016</v>
      </c>
      <c r="E12" s="260" t="str">
        <f>IF(Main!AI13&lt;1,"",Main!AI13)</f>
        <v/>
      </c>
      <c r="F12" s="260" t="str">
        <f>IF(Main!AJ13&lt;1,"",Main!AJ13)</f>
        <v/>
      </c>
      <c r="G12" s="260" t="str">
        <f>IF(Main!AK13&lt;1,"",Main!AK13)</f>
        <v/>
      </c>
      <c r="H12" s="259" t="str">
        <f>Main!Y13</f>
        <v>Senior Recruiter</v>
      </c>
      <c r="I12" s="259" t="str">
        <f>Main!Z13</f>
        <v>Level 2</v>
      </c>
      <c r="J12" s="259">
        <f>IF(Main!A13&lt;1,"",Main!A13)</f>
        <v>179</v>
      </c>
      <c r="K12" s="260">
        <f>IF(Main!AN13&gt;0,Main!AN13,"")</f>
        <v>31681</v>
      </c>
      <c r="L12" s="258" t="str">
        <f>IF(Main!Q13&gt;0,Main!Q13,"")</f>
        <v>berna_92686@yahoo.com</v>
      </c>
      <c r="M12" s="410">
        <f>VALUE(IF(Main!S13&gt;0,Main!S13,""))</f>
        <v>9173076750</v>
      </c>
      <c r="N12" s="261" t="str">
        <f>Main!T13</f>
        <v/>
      </c>
      <c r="O12" s="258" t="str">
        <f>IF(Main!AO13&gt;0,Main!AO13,"")</f>
        <v>1916 Franco St. Tondo Manila</v>
      </c>
      <c r="P12" s="258" t="str">
        <f>IF(Main!AP13&gt;0,Main!AP13,"")</f>
        <v/>
      </c>
      <c r="Q12" s="258" t="str">
        <f>IF(Main!AR13&gt;0,Main!AR13,"")</f>
        <v/>
      </c>
      <c r="R12" s="259" t="str">
        <f>IF(Main!AQ13&gt;0,Main!AQ13,"")</f>
        <v>Female</v>
      </c>
      <c r="S12" s="259" t="str">
        <f>IF(Main!BD13&gt;0,Main!BD13,"")</f>
        <v>04-1641311-3</v>
      </c>
      <c r="T12" s="259" t="str">
        <f>IF(Main!AX13&gt;0,Main!AX13,"")</f>
        <v>239-888-351</v>
      </c>
      <c r="U12" s="259" t="str">
        <f>IF(Main!BH13&gt;0,Main!BH13,"")</f>
        <v>03-050325483-9</v>
      </c>
      <c r="V12" s="268" t="str">
        <f>IF(Main!BF13&gt;0,Main!BF13,"")</f>
        <v>1080-0204-1011</v>
      </c>
      <c r="W12" s="263">
        <f>IF(Main!BS13&gt;0,Main!BS13,"")</f>
        <v>42017</v>
      </c>
      <c r="X12" s="263">
        <f>IF(Main!BT13&gt;0,Main!BT13,"")</f>
        <v>42017</v>
      </c>
      <c r="Y12" s="263">
        <f>IF(Main!BU13&gt;0,Main!BU13,"")</f>
        <v>42017</v>
      </c>
      <c r="Z12" s="263">
        <f>IF(Main!AS13&gt;0,Main!AS13,"")</f>
        <v>42017</v>
      </c>
      <c r="AA12" s="263">
        <f>IF(Main!BJ13&gt;0,Main!BJ13,"")</f>
        <v>42017</v>
      </c>
      <c r="AB12" s="263">
        <f>IF(Main!BC13&gt;0,Main!BC13,"")</f>
        <v>42017</v>
      </c>
      <c r="AC12" s="263">
        <f>IF(Main!AW13&gt;0,Main!AW13,"")</f>
        <v>42017</v>
      </c>
      <c r="AD12" s="263">
        <f>IF(Main!BG13&gt;0,Main!BG13,"")</f>
        <v>42017</v>
      </c>
      <c r="AE12" s="263">
        <f>IF(Main!BE13&gt;0,Main!BE13,"")</f>
        <v>42017</v>
      </c>
      <c r="AF12" s="263">
        <f>IF(Main!BM13&gt;0,Main!BM13,"")</f>
        <v>42017</v>
      </c>
      <c r="AG12" s="263" t="str">
        <f>IF(Main!BN13&gt;0,Main!BN13,"")</f>
        <v/>
      </c>
      <c r="AH12" s="263" t="str">
        <f>IF(Main!BO13&gt;0,Main!BO13,"")</f>
        <v/>
      </c>
      <c r="AI12" s="263">
        <f>IF(Main!BR13&gt;0,Main!BR13,"")</f>
        <v>42017</v>
      </c>
      <c r="AJ12" s="263">
        <f>IF(Main!BQ13&gt;0,Main!BQ13,"")</f>
        <v>42017</v>
      </c>
      <c r="AK12" s="263">
        <f>IF(Main!AV13&gt;0,Main!AV13,"")</f>
        <v>42017</v>
      </c>
      <c r="AL12" s="263">
        <f>IF(Main!AU13&gt;0,Main!AU13,"")</f>
        <v>42017</v>
      </c>
      <c r="AM12" s="263">
        <f>IF(Main!AT13&gt;0,Main!AT13,"")</f>
        <v>42017</v>
      </c>
      <c r="AN12" s="259" t="str">
        <f>Main!BW13</f>
        <v xml:space="preserve">2305 1/13/2015, MDR 1/13/2015, </v>
      </c>
    </row>
    <row r="13" spans="1:40" x14ac:dyDescent="0.25">
      <c r="A13" s="258">
        <f>Main!C14</f>
        <v>1082228</v>
      </c>
      <c r="B13" s="259" t="str">
        <f>Main!D14</f>
        <v>LOPEZ, Reiner Cabungcal</v>
      </c>
      <c r="C13" s="259" t="str">
        <f>Main!AH14</f>
        <v>Discontinuance - Failed Training</v>
      </c>
      <c r="D13" s="260">
        <f>Main!B14</f>
        <v>42016</v>
      </c>
      <c r="E13" s="260" t="str">
        <f>IF(Main!AI14&lt;1,"",Main!AI14)</f>
        <v/>
      </c>
      <c r="F13" s="260" t="str">
        <f>IF(Main!AJ14&lt;1,"",Main!AJ14)</f>
        <v/>
      </c>
      <c r="G13" s="260" t="str">
        <f>IF(Main!AK14&lt;1,"",Main!AK14)</f>
        <v/>
      </c>
      <c r="H13" s="259" t="str">
        <f>Main!Y14</f>
        <v>Senior Recruiter</v>
      </c>
      <c r="I13" s="259" t="str">
        <f>Main!Z14</f>
        <v>Level 2</v>
      </c>
      <c r="J13" s="259">
        <f>IF(Main!A14&lt;1,"",Main!A14)</f>
        <v>179</v>
      </c>
      <c r="K13" s="260">
        <f>IF(Main!AN14&gt;0,Main!AN14,"")</f>
        <v>29983</v>
      </c>
      <c r="L13" s="258" t="str">
        <f>IF(Main!Q14&gt;0,Main!Q14,"")</f>
        <v>rheinero8@yahoo.com</v>
      </c>
      <c r="M13" s="410">
        <f>VALUE(IF(Main!S14&gt;0,Main!S14,""))</f>
        <v>9154281658</v>
      </c>
      <c r="N13" s="261" t="str">
        <f>Main!T14</f>
        <v/>
      </c>
      <c r="O13" s="258" t="str">
        <f>IF(Main!AO14&gt;0,Main!AO14,"")</f>
        <v>6938 A. Bonifacio St. San Dionisio Parañaque City</v>
      </c>
      <c r="P13" s="258" t="str">
        <f>IF(Main!AP14&gt;0,Main!AP14,"")</f>
        <v/>
      </c>
      <c r="Q13" s="258" t="str">
        <f>IF(Main!AR14&gt;0,Main!AR14,"")</f>
        <v/>
      </c>
      <c r="R13" s="259" t="str">
        <f>IF(Main!AQ14&gt;0,Main!AQ14,"")</f>
        <v>Male</v>
      </c>
      <c r="S13" s="259" t="str">
        <f>IF(Main!BD14&gt;0,Main!BD14,"")</f>
        <v>33-9173161-6</v>
      </c>
      <c r="T13" s="259" t="str">
        <f>IF(Main!AX14&gt;0,Main!AX14,"")</f>
        <v>210-157-301</v>
      </c>
      <c r="U13" s="259" t="str">
        <f>IF(Main!BH14&gt;0,Main!BH14,"")</f>
        <v>01-050813249-8</v>
      </c>
      <c r="V13" s="268" t="str">
        <f>IF(Main!BF14&gt;0,Main!BF14,"")</f>
        <v/>
      </c>
      <c r="W13" s="263">
        <f>IF(Main!BS14&gt;0,Main!BS14,"")</f>
        <v>42017</v>
      </c>
      <c r="X13" s="263">
        <f>IF(Main!BT14&gt;0,Main!BT14,"")</f>
        <v>42017</v>
      </c>
      <c r="Y13" s="263">
        <f>IF(Main!BU14&gt;0,Main!BU14,"")</f>
        <v>42017</v>
      </c>
      <c r="Z13" s="263">
        <f>IF(Main!AS14&gt;0,Main!AS14,"")</f>
        <v>42017</v>
      </c>
      <c r="AA13" s="263">
        <f>IF(Main!BJ14&gt;0,Main!BJ14,"")</f>
        <v>42017</v>
      </c>
      <c r="AB13" s="263">
        <f>IF(Main!BC14&gt;0,Main!BC14,"")</f>
        <v>42017</v>
      </c>
      <c r="AC13" s="263" t="str">
        <f>IF(Main!AW14&gt;0,Main!AW14,"")</f>
        <v/>
      </c>
      <c r="AD13" s="263">
        <f>IF(Main!BG14&gt;0,Main!BG14,"")</f>
        <v>42017</v>
      </c>
      <c r="AE13" s="263" t="str">
        <f>IF(Main!BE14&gt;0,Main!BE14,"")</f>
        <v/>
      </c>
      <c r="AF13" s="263">
        <f>IF(Main!BM14&gt;0,Main!BM14,"")</f>
        <v>42017</v>
      </c>
      <c r="AG13" s="263">
        <f>IF(Main!BN14&gt;0,Main!BN14,"")</f>
        <v>42017</v>
      </c>
      <c r="AH13" s="263">
        <f>IF(Main!BO14&gt;0,Main!BO14,"")</f>
        <v>42017</v>
      </c>
      <c r="AI13" s="263" t="str">
        <f>IF(Main!BR14&gt;0,Main!BR14,"")</f>
        <v/>
      </c>
      <c r="AJ13" s="263">
        <f>IF(Main!BQ14&gt;0,Main!BQ14,"")</f>
        <v>42017</v>
      </c>
      <c r="AK13" s="263" t="str">
        <f>IF(Main!AV14&gt;0,Main!AV14,"")</f>
        <v/>
      </c>
      <c r="AL13" s="263" t="str">
        <f>IF(Main!AU14&gt;0,Main!AU14,"")</f>
        <v/>
      </c>
      <c r="AM13" s="263" t="str">
        <f>IF(Main!AT14&gt;0,Main!AT14,"")</f>
        <v/>
      </c>
      <c r="AN13" s="259" t="str">
        <f>Main!BW14</f>
        <v xml:space="preserve">2305 (for processing) 1/13/2015, </v>
      </c>
    </row>
    <row r="14" spans="1:40" x14ac:dyDescent="0.25">
      <c r="A14" s="258">
        <f>Main!C15</f>
        <v>1082229</v>
      </c>
      <c r="B14" s="259" t="str">
        <f>Main!D15</f>
        <v>MAALA, Cyrelle Cabrera</v>
      </c>
      <c r="C14" s="259" t="str">
        <f>Main!AH15</f>
        <v>Discontinuance - Failed Training</v>
      </c>
      <c r="D14" s="260">
        <f>Main!B15</f>
        <v>42016</v>
      </c>
      <c r="E14" s="260" t="str">
        <f>IF(Main!AI15&lt;1,"",Main!AI15)</f>
        <v/>
      </c>
      <c r="F14" s="260" t="str">
        <f>IF(Main!AJ15&lt;1,"",Main!AJ15)</f>
        <v/>
      </c>
      <c r="G14" s="260" t="str">
        <f>IF(Main!AK15&lt;1,"",Main!AK15)</f>
        <v/>
      </c>
      <c r="H14" s="259" t="str">
        <f>Main!Y15</f>
        <v>Senior Recruiter</v>
      </c>
      <c r="I14" s="259" t="str">
        <f>Main!Z15</f>
        <v>Level 2</v>
      </c>
      <c r="J14" s="259">
        <f>IF(Main!A15&lt;1,"",Main!A15)</f>
        <v>179</v>
      </c>
      <c r="K14" s="260">
        <f>IF(Main!AN15&gt;0,Main!AN15,"")</f>
        <v>32776</v>
      </c>
      <c r="L14" s="258" t="str">
        <f>IF(Main!Q15&gt;0,Main!Q15,"")</f>
        <v>cyrelleannmaala@yahoo.com</v>
      </c>
      <c r="M14" s="410">
        <f>VALUE(IF(Main!S15&gt;0,Main!S15,""))</f>
        <v>9358967266</v>
      </c>
      <c r="N14" s="261" t="str">
        <f>Main!T15</f>
        <v/>
      </c>
      <c r="O14" s="258" t="str">
        <f>IF(Main!AO15&gt;0,Main!AO15,"")</f>
        <v>Blk 4 Lot 12 Lucky Homes Subd. Pulanglupa, Las Piñas City</v>
      </c>
      <c r="P14" s="258" t="str">
        <f>IF(Main!AP15&gt;0,Main!AP15,"")</f>
        <v/>
      </c>
      <c r="Q14" s="258" t="str">
        <f>IF(Main!AR15&gt;0,Main!AR15,"")</f>
        <v/>
      </c>
      <c r="R14" s="259" t="str">
        <f>IF(Main!AQ15&gt;0,Main!AQ15,"")</f>
        <v>Female</v>
      </c>
      <c r="S14" s="259" t="str">
        <f>IF(Main!BD15&gt;0,Main!BD15,"")</f>
        <v>34-1784632-0</v>
      </c>
      <c r="T14" s="259" t="str">
        <f>IF(Main!AX15&gt;0,Main!AX15,"")</f>
        <v>283-378-251</v>
      </c>
      <c r="U14" s="259" t="str">
        <f>IF(Main!BH15&gt;0,Main!BH15,"")</f>
        <v/>
      </c>
      <c r="V14" s="268" t="str">
        <f>IF(Main!BF15&gt;0,Main!BF15,"")</f>
        <v/>
      </c>
      <c r="W14" s="263">
        <f>IF(Main!BS15&gt;0,Main!BS15,"")</f>
        <v>42017</v>
      </c>
      <c r="X14" s="263">
        <f>IF(Main!BT15&gt;0,Main!BT15,"")</f>
        <v>42017</v>
      </c>
      <c r="Y14" s="263">
        <f>IF(Main!BU15&gt;0,Main!BU15,"")</f>
        <v>42017</v>
      </c>
      <c r="Z14" s="263">
        <f>IF(Main!AS15&gt;0,Main!AS15,"")</f>
        <v>42017</v>
      </c>
      <c r="AA14" s="263" t="str">
        <f>IF(Main!BJ15&gt;0,Main!BJ15,"")</f>
        <v/>
      </c>
      <c r="AB14" s="263">
        <f>IF(Main!BC15&gt;0,Main!BC15,"")</f>
        <v>42017</v>
      </c>
      <c r="AC14" s="263">
        <f>IF(Main!AW15&gt;0,Main!AW15,"")</f>
        <v>42018</v>
      </c>
      <c r="AD14" s="263" t="str">
        <f>IF(Main!BG15&gt;0,Main!BG15,"")</f>
        <v/>
      </c>
      <c r="AE14" s="263" t="str">
        <f>IF(Main!BE15&gt;0,Main!BE15,"")</f>
        <v/>
      </c>
      <c r="AF14" s="263">
        <f>IF(Main!BM15&gt;0,Main!BM15,"")</f>
        <v>42017</v>
      </c>
      <c r="AG14" s="263" t="str">
        <f>IF(Main!BN15&gt;0,Main!BN15,"")</f>
        <v/>
      </c>
      <c r="AH14" s="263" t="str">
        <f>IF(Main!BO15&gt;0,Main!BO15,"")</f>
        <v/>
      </c>
      <c r="AI14" s="263" t="str">
        <f>IF(Main!BR15&gt;0,Main!BR15,"")</f>
        <v/>
      </c>
      <c r="AJ14" s="263" t="str">
        <f>IF(Main!BQ15&gt;0,Main!BQ15,"")</f>
        <v/>
      </c>
      <c r="AK14" s="263">
        <f>IF(Main!AV15&gt;0,Main!AV15,"")</f>
        <v>42017</v>
      </c>
      <c r="AL14" s="263">
        <f>IF(Main!AU15&gt;0,Main!AU15,"")</f>
        <v>42017</v>
      </c>
      <c r="AM14" s="263">
        <f>IF(Main!AT15&gt;0,Main!AT15,"")</f>
        <v>42017</v>
      </c>
      <c r="AN14" s="259" t="str">
        <f>Main!BW15</f>
        <v/>
      </c>
    </row>
    <row r="15" spans="1:40" x14ac:dyDescent="0.25">
      <c r="A15" s="258">
        <f>Main!C16</f>
        <v>1082230</v>
      </c>
      <c r="B15" s="259" t="str">
        <f>Main!D16</f>
        <v>MARTINEZ, Rosevida Borromeo</v>
      </c>
      <c r="C15" s="259" t="str">
        <f>Main!AH16</f>
        <v>Probationary</v>
      </c>
      <c r="D15" s="260">
        <f>Main!B16</f>
        <v>42016</v>
      </c>
      <c r="E15" s="260" t="str">
        <f>IF(Main!AI16&lt;1,"",Main!AI16)</f>
        <v/>
      </c>
      <c r="F15" s="260" t="str">
        <f>IF(Main!AJ16&lt;1,"",Main!AJ16)</f>
        <v/>
      </c>
      <c r="G15" s="260" t="str">
        <f>IF(Main!AK16&lt;1,"",Main!AK16)</f>
        <v/>
      </c>
      <c r="H15" s="259" t="str">
        <f>Main!Y16</f>
        <v>Senior Recruiter</v>
      </c>
      <c r="I15" s="259" t="str">
        <f>Main!Z16</f>
        <v>Level 1</v>
      </c>
      <c r="J15" s="259">
        <f>IF(Main!A16&lt;1,"",Main!A16)</f>
        <v>179</v>
      </c>
      <c r="K15" s="260">
        <f>IF(Main!AN16&gt;0,Main!AN16,"")</f>
        <v>28958</v>
      </c>
      <c r="L15" s="258" t="str">
        <f>IF(Main!Q16&gt;0,Main!Q16,"")</f>
        <v>mrosevida@gmail.com</v>
      </c>
      <c r="M15" s="410">
        <f>VALUE(IF(Main!S16&gt;0,Main!S16,""))</f>
        <v>9282823609</v>
      </c>
      <c r="N15" s="261" t="str">
        <f>Main!T16</f>
        <v/>
      </c>
      <c r="O15" s="258" t="str">
        <f>IF(Main!AO16&gt;0,Main!AO16,"")</f>
        <v>#1850 Phase 3B Blk 5 Area A Camarin Caloocan City 1428</v>
      </c>
      <c r="P15" s="258" t="str">
        <f>IF(Main!AP16&gt;0,Main!AP16,"")</f>
        <v/>
      </c>
      <c r="Q15" s="258" t="str">
        <f>IF(Main!AR16&gt;0,Main!AR16,"")</f>
        <v/>
      </c>
      <c r="R15" s="259" t="str">
        <f>IF(Main!AQ16&gt;0,Main!AQ16,"")</f>
        <v>Female</v>
      </c>
      <c r="S15" s="259" t="str">
        <f>IF(Main!BD16&gt;0,Main!BD16,"")</f>
        <v>33-5448919-6</v>
      </c>
      <c r="T15" s="259" t="str">
        <f>IF(Main!AX16&gt;0,Main!AX16,"")</f>
        <v>914-078-564</v>
      </c>
      <c r="U15" s="259" t="str">
        <f>IF(Main!BH16&gt;0,Main!BH16,"")</f>
        <v>10-51808101-8</v>
      </c>
      <c r="V15" s="268" t="str">
        <f>IF(Main!BF16&gt;0,Main!BF16,"")</f>
        <v>1211-0415-9046</v>
      </c>
      <c r="W15" s="263">
        <f>IF(Main!BS16&gt;0,Main!BS16,"")</f>
        <v>42025</v>
      </c>
      <c r="X15" s="263">
        <f>IF(Main!BT16&gt;0,Main!BT16,"")</f>
        <v>42025</v>
      </c>
      <c r="Y15" s="263">
        <f>IF(Main!BU16&gt;0,Main!BU16,"")</f>
        <v>42025</v>
      </c>
      <c r="Z15" s="263">
        <f>IF(Main!AS16&gt;0,Main!AS16,"")</f>
        <v>42025</v>
      </c>
      <c r="AA15" s="263">
        <f>IF(Main!BJ16&gt;0,Main!BJ16,"")</f>
        <v>42026</v>
      </c>
      <c r="AB15" s="263">
        <f>IF(Main!BC16&gt;0,Main!BC16,"")</f>
        <v>42025</v>
      </c>
      <c r="AC15" s="263">
        <f>IF(Main!AW16&gt;0,Main!AW16,"")</f>
        <v>42025</v>
      </c>
      <c r="AD15" s="263">
        <f>IF(Main!BG16&gt;0,Main!BG16,"")</f>
        <v>42026</v>
      </c>
      <c r="AE15" s="263">
        <f>IF(Main!BE16&gt;0,Main!BE16,"")</f>
        <v>42025</v>
      </c>
      <c r="AF15" s="263">
        <f>IF(Main!BM16&gt;0,Main!BM16,"")</f>
        <v>42025</v>
      </c>
      <c r="AG15" s="263">
        <f>IF(Main!BN16&gt;0,Main!BN16,"")</f>
        <v>42026</v>
      </c>
      <c r="AH15" s="263">
        <f>IF(Main!BO16&gt;0,Main!BO16,"")</f>
        <v>42026</v>
      </c>
      <c r="AI15" s="263">
        <f>IF(Main!BR16&gt;0,Main!BR16,"")</f>
        <v>42025</v>
      </c>
      <c r="AJ15" s="263">
        <f>IF(Main!BQ16&gt;0,Main!BQ16,"")</f>
        <v>42025</v>
      </c>
      <c r="AK15" s="263">
        <f>IF(Main!AV16&gt;0,Main!AV16,"")</f>
        <v>42025</v>
      </c>
      <c r="AL15" s="263">
        <f>IF(Main!AU16&gt;0,Main!AU16,"")</f>
        <v>42025</v>
      </c>
      <c r="AM15" s="263">
        <f>IF(Main!AT16&gt;0,Main!AT16,"")</f>
        <v>42025</v>
      </c>
      <c r="AN15" s="259" t="str">
        <f>Main!BW16</f>
        <v xml:space="preserve">1905 (for processing) 1/21/2015, 2305 (for processing) 1/21/2013, MDR 1/21/2015, </v>
      </c>
    </row>
    <row r="16" spans="1:40" x14ac:dyDescent="0.25">
      <c r="A16" s="258">
        <f>Main!C17</f>
        <v>1082231</v>
      </c>
      <c r="B16" s="259" t="str">
        <f>Main!D17</f>
        <v>SANTIAGO, Ma. Felice Villanueva</v>
      </c>
      <c r="C16" s="259" t="str">
        <f>Main!AH17</f>
        <v>Probationary</v>
      </c>
      <c r="D16" s="260">
        <f>Main!B17</f>
        <v>42016</v>
      </c>
      <c r="E16" s="260" t="str">
        <f>IF(Main!AI17&lt;1,"",Main!AI17)</f>
        <v/>
      </c>
      <c r="F16" s="260" t="str">
        <f>IF(Main!AJ17&lt;1,"",Main!AJ17)</f>
        <v/>
      </c>
      <c r="G16" s="260" t="str">
        <f>IF(Main!AK17&lt;1,"",Main!AK17)</f>
        <v/>
      </c>
      <c r="H16" s="259" t="str">
        <f>Main!Y17</f>
        <v>Senior Recruiter</v>
      </c>
      <c r="I16" s="259" t="str">
        <f>Main!Z17</f>
        <v>Level 2</v>
      </c>
      <c r="J16" s="259">
        <f>IF(Main!A17&lt;1,"",Main!A17)</f>
        <v>179</v>
      </c>
      <c r="K16" s="260">
        <f>IF(Main!AN17&gt;0,Main!AN17,"")</f>
        <v>31354</v>
      </c>
      <c r="L16" s="258" t="str">
        <f>IF(Main!Q17&gt;0,Main!Q17,"")</f>
        <v>felicesantiago@gmail.com</v>
      </c>
      <c r="M16" s="410">
        <f>VALUE(IF(Main!S17&gt;0,Main!S17,""))</f>
        <v>9177957660</v>
      </c>
      <c r="N16" s="261" t="str">
        <f>Main!T17</f>
        <v/>
      </c>
      <c r="O16" s="258" t="str">
        <f>IF(Main!AO17&gt;0,Main!AO17,"")</f>
        <v>2627 Manor Dorm Vito Cruz Taft Avenue</v>
      </c>
      <c r="P16" s="258" t="str">
        <f>IF(Main!AP17&gt;0,Main!AP17,"")</f>
        <v/>
      </c>
      <c r="Q16" s="258" t="str">
        <f>IF(Main!AR17&gt;0,Main!AR17,"")</f>
        <v/>
      </c>
      <c r="R16" s="259" t="str">
        <f>IF(Main!AQ17&gt;0,Main!AQ17,"")</f>
        <v/>
      </c>
      <c r="S16" s="259" t="str">
        <f>IF(Main!BD17&gt;0,Main!BD17,"")</f>
        <v>07-2452079-8</v>
      </c>
      <c r="T16" s="259" t="str">
        <f>IF(Main!AX17&gt;0,Main!AX17,"")</f>
        <v>268-740-645</v>
      </c>
      <c r="U16" s="259" t="str">
        <f>IF(Main!BH17&gt;0,Main!BH17,"")</f>
        <v>11-025353207-6</v>
      </c>
      <c r="V16" s="268" t="str">
        <f>IF(Main!BF17&gt;0,Main!BF17,"")</f>
        <v>0031-5610-0010</v>
      </c>
      <c r="W16" s="263">
        <f>IF(Main!BS17&gt;0,Main!BS17,"")</f>
        <v>42017</v>
      </c>
      <c r="X16" s="263">
        <f>IF(Main!BT17&gt;0,Main!BT17,"")</f>
        <v>42017</v>
      </c>
      <c r="Y16" s="263">
        <f>IF(Main!BU17&gt;0,Main!BU17,"")</f>
        <v>42017</v>
      </c>
      <c r="Z16" s="263">
        <f>IF(Main!AS17&gt;0,Main!AS17,"")</f>
        <v>42017</v>
      </c>
      <c r="AA16" s="263">
        <f>IF(Main!BJ17&gt;0,Main!BJ17,"")</f>
        <v>42017</v>
      </c>
      <c r="AB16" s="263">
        <f>IF(Main!BC17&gt;0,Main!BC17,"")</f>
        <v>42025</v>
      </c>
      <c r="AC16" s="263">
        <f>IF(Main!AW17&gt;0,Main!AW17,"")</f>
        <v>42025</v>
      </c>
      <c r="AD16" s="263">
        <f>IF(Main!BG17&gt;0,Main!BG17,"")</f>
        <v>42017</v>
      </c>
      <c r="AE16" s="263">
        <f>IF(Main!BE17&gt;0,Main!BE17,"")</f>
        <v>42017</v>
      </c>
      <c r="AF16" s="263">
        <f>IF(Main!BM17&gt;0,Main!BM17,"")</f>
        <v>42017</v>
      </c>
      <c r="AG16" s="263" t="str">
        <f>IF(Main!BN17&gt;0,Main!BN17,"")</f>
        <v/>
      </c>
      <c r="AH16" s="263" t="str">
        <f>IF(Main!BO17&gt;0,Main!BO17,"")</f>
        <v/>
      </c>
      <c r="AI16" s="263">
        <f>IF(Main!BR17&gt;0,Main!BR17,"")</f>
        <v>42017</v>
      </c>
      <c r="AJ16" s="263">
        <f>IF(Main!BQ17&gt;0,Main!BQ17,"")</f>
        <v>42017</v>
      </c>
      <c r="AK16" s="263">
        <f>IF(Main!AV17&gt;0,Main!AV17,"")</f>
        <v>42017</v>
      </c>
      <c r="AL16" s="263">
        <f>IF(Main!AU17&gt;0,Main!AU17,"")</f>
        <v>42017</v>
      </c>
      <c r="AM16" s="263">
        <f>IF(Main!AT17&gt;0,Main!AT17,"")</f>
        <v>42017</v>
      </c>
      <c r="AN16" s="259" t="str">
        <f>Main!BW17</f>
        <v xml:space="preserve">2305 1/13/2015, MDR 1/13/2015, </v>
      </c>
    </row>
    <row r="17" spans="1:40" x14ac:dyDescent="0.25">
      <c r="A17" s="258">
        <f>Main!C18</f>
        <v>1082232</v>
      </c>
      <c r="B17" s="259" t="str">
        <f>Main!D18</f>
        <v>TIEMPO, Irvin Lewis III Beltran</v>
      </c>
      <c r="C17" s="259" t="str">
        <f>Main!AH18</f>
        <v>Discontinuance - Failed Training</v>
      </c>
      <c r="D17" s="260">
        <f>Main!B18</f>
        <v>42016</v>
      </c>
      <c r="E17" s="260" t="str">
        <f>IF(Main!AI18&lt;1,"",Main!AI18)</f>
        <v/>
      </c>
      <c r="F17" s="260" t="str">
        <f>IF(Main!AJ18&lt;1,"",Main!AJ18)</f>
        <v/>
      </c>
      <c r="G17" s="260" t="str">
        <f>IF(Main!AK18&lt;1,"",Main!AK18)</f>
        <v/>
      </c>
      <c r="H17" s="259" t="str">
        <f>Main!Y18</f>
        <v>Senior Recruiter</v>
      </c>
      <c r="I17" s="259" t="str">
        <f>Main!Z18</f>
        <v>Level 1</v>
      </c>
      <c r="J17" s="259">
        <f>IF(Main!A18&lt;1,"",Main!A18)</f>
        <v>179</v>
      </c>
      <c r="K17" s="260">
        <f>IF(Main!AN18&gt;0,Main!AN18,"")</f>
        <v>30596</v>
      </c>
      <c r="L17" s="258" t="str">
        <f>IF(Main!Q18&gt;0,Main!Q18,"")</f>
        <v>irvine_tiempoiii@yahoo.com</v>
      </c>
      <c r="M17" s="410">
        <f>VALUE(IF(Main!S18&gt;0,Main!S18,""))</f>
        <v>9068797866</v>
      </c>
      <c r="N17" s="261" t="str">
        <f>Main!T18</f>
        <v/>
      </c>
      <c r="O17" s="258" t="str">
        <f>IF(Main!AO18&gt;0,Main!AO18,"")</f>
        <v>144 Sta. Lucia Calumpit Bulacan</v>
      </c>
      <c r="P17" s="258" t="str">
        <f>IF(Main!AP18&gt;0,Main!AP18,"")</f>
        <v/>
      </c>
      <c r="Q17" s="258" t="str">
        <f>IF(Main!AR18&gt;0,Main!AR18,"")</f>
        <v/>
      </c>
      <c r="R17" s="259" t="str">
        <f>IF(Main!AQ18&gt;0,Main!AQ18,"")</f>
        <v>Male</v>
      </c>
      <c r="S17" s="259" t="str">
        <f>IF(Main!BD18&gt;0,Main!BD18,"")</f>
        <v>06-2509752-4</v>
      </c>
      <c r="T17" s="259" t="str">
        <f>IF(Main!AX18&gt;0,Main!AX18,"")</f>
        <v>303-212-357</v>
      </c>
      <c r="U17" s="259" t="str">
        <f>IF(Main!BH18&gt;0,Main!BH18,"")</f>
        <v>12-050458443-2</v>
      </c>
      <c r="V17" s="268" t="str">
        <f>IF(Main!BF18&gt;0,Main!BF18,"")</f>
        <v>1010-0199-2859</v>
      </c>
      <c r="W17" s="263">
        <f>IF(Main!BS18&gt;0,Main!BS18,"")</f>
        <v>42017</v>
      </c>
      <c r="X17" s="263">
        <f>IF(Main!BT18&gt;0,Main!BT18,"")</f>
        <v>42017</v>
      </c>
      <c r="Y17" s="263">
        <f>IF(Main!BU18&gt;0,Main!BU18,"")</f>
        <v>42017</v>
      </c>
      <c r="Z17" s="263">
        <f>IF(Main!AS18&gt;0,Main!AS18,"")</f>
        <v>42017</v>
      </c>
      <c r="AA17" s="263">
        <f>IF(Main!BJ18&gt;0,Main!BJ18,"")</f>
        <v>42017</v>
      </c>
      <c r="AB17" s="263">
        <f>IF(Main!BC18&gt;0,Main!BC18,"")</f>
        <v>42017</v>
      </c>
      <c r="AC17" s="263">
        <f>IF(Main!AW18&gt;0,Main!AW18,"")</f>
        <v>42017</v>
      </c>
      <c r="AD17" s="263">
        <f>IF(Main!BG18&gt;0,Main!BG18,"")</f>
        <v>42017</v>
      </c>
      <c r="AE17" s="263">
        <f>IF(Main!BE18&gt;0,Main!BE18,"")</f>
        <v>42017</v>
      </c>
      <c r="AF17" s="263">
        <f>IF(Main!BM18&gt;0,Main!BM18,"")</f>
        <v>42017</v>
      </c>
      <c r="AG17" s="263">
        <f>IF(Main!BN18&gt;0,Main!BN18,"")</f>
        <v>42017</v>
      </c>
      <c r="AH17" s="263">
        <f>IF(Main!BO18&gt;0,Main!BO18,"")</f>
        <v>42017</v>
      </c>
      <c r="AI17" s="263">
        <f>IF(Main!BR18&gt;0,Main!BR18,"")</f>
        <v>42017</v>
      </c>
      <c r="AJ17" s="263">
        <f>IF(Main!BQ18&gt;0,Main!BQ18,"")</f>
        <v>42017</v>
      </c>
      <c r="AK17" s="263">
        <f>IF(Main!AV18&gt;0,Main!AV18,"")</f>
        <v>42017</v>
      </c>
      <c r="AL17" s="263">
        <f>IF(Main!AU18&gt;0,Main!AU18,"")</f>
        <v>42017</v>
      </c>
      <c r="AM17" s="263">
        <f>IF(Main!AT18&gt;0,Main!AT18,"")</f>
        <v>42017</v>
      </c>
      <c r="AN17" s="259" t="str">
        <f>Main!BW18</f>
        <v xml:space="preserve">1905 (for processing) 1/13/2015, 2305 (for processing) 1/13/2015, MDR 1/13/2015, </v>
      </c>
    </row>
    <row r="18" spans="1:40" s="265" customFormat="1" ht="15.75" thickBot="1" x14ac:dyDescent="0.3">
      <c r="A18" s="258">
        <f>Main!C19</f>
        <v>1082233</v>
      </c>
      <c r="B18" s="259" t="str">
        <f>Main!D19</f>
        <v>TOLIONGCO, Maria Karina</v>
      </c>
      <c r="C18" s="259" t="str">
        <f>Main!AH19</f>
        <v>Discontinuance - Failed Training</v>
      </c>
      <c r="D18" s="260">
        <f>Main!B19</f>
        <v>42016</v>
      </c>
      <c r="E18" s="260" t="str">
        <f>IF(Main!AI19&lt;1,"",Main!AI19)</f>
        <v/>
      </c>
      <c r="F18" s="260" t="str">
        <f>IF(Main!AJ19&lt;1,"",Main!AJ19)</f>
        <v/>
      </c>
      <c r="G18" s="260" t="str">
        <f>IF(Main!AK19&lt;1,"",Main!AK19)</f>
        <v/>
      </c>
      <c r="H18" s="259" t="str">
        <f>Main!Y19</f>
        <v>Senior Recruiter</v>
      </c>
      <c r="I18" s="259" t="str">
        <f>Main!Z19</f>
        <v>Level 1</v>
      </c>
      <c r="J18" s="259">
        <f>IF(Main!A19&lt;1,"",Main!A19)</f>
        <v>179</v>
      </c>
      <c r="K18" s="260">
        <f>IF(Main!AN19&gt;0,Main!AN19,"")</f>
        <v>31254</v>
      </c>
      <c r="L18" s="258" t="str">
        <f>IF(Main!Q19&gt;0,Main!Q19,"")</f>
        <v>karinatoliongco@yahoo.com</v>
      </c>
      <c r="M18" s="410">
        <f>VALUE(IF(Main!S19&gt;0,Main!S19,""))</f>
        <v>9057402208</v>
      </c>
      <c r="N18" s="261" t="str">
        <f>Main!T19</f>
        <v/>
      </c>
      <c r="O18" s="258" t="str">
        <f>IF(Main!AO19&gt;0,Main!AO19,"")</f>
        <v>#219 Road 1 Brgy. Pag-asa Quezon City</v>
      </c>
      <c r="P18" s="258" t="str">
        <f>IF(Main!AP19&gt;0,Main!AP19,"")</f>
        <v/>
      </c>
      <c r="Q18" s="258" t="str">
        <f>IF(Main!AR19&gt;0,Main!AR19,"")</f>
        <v/>
      </c>
      <c r="R18" s="259" t="str">
        <f>IF(Main!AQ19&gt;0,Main!AQ19,"")</f>
        <v>Female</v>
      </c>
      <c r="S18" s="259" t="str">
        <f>IF(Main!BD19&gt;0,Main!BD19,"")</f>
        <v>34-3384497-9</v>
      </c>
      <c r="T18" s="259" t="str">
        <f>IF(Main!AX19&gt;0,Main!AX19,"")</f>
        <v>312-875-976</v>
      </c>
      <c r="U18" s="259" t="str">
        <f>IF(Main!BH19&gt;0,Main!BH19,"")</f>
        <v>03-051048552-8</v>
      </c>
      <c r="V18" s="268" t="str">
        <f>IF(Main!BF19&gt;0,Main!BF19,"")</f>
        <v>1210-5891-3791</v>
      </c>
      <c r="W18" s="263">
        <f>IF(Main!BS19&gt;0,Main!BS19,"")</f>
        <v>42017</v>
      </c>
      <c r="X18" s="263">
        <f>IF(Main!BT19&gt;0,Main!BT19,"")</f>
        <v>42017</v>
      </c>
      <c r="Y18" s="263">
        <f>IF(Main!BU19&gt;0,Main!BU19,"")</f>
        <v>42017</v>
      </c>
      <c r="Z18" s="263">
        <f>IF(Main!AS19&gt;0,Main!AS19,"")</f>
        <v>42017</v>
      </c>
      <c r="AA18" s="263">
        <f>IF(Main!BJ19&gt;0,Main!BJ19,"")</f>
        <v>42017</v>
      </c>
      <c r="AB18" s="263">
        <f>IF(Main!BC19&gt;0,Main!BC19,"")</f>
        <v>42017</v>
      </c>
      <c r="AC18" s="263">
        <f>IF(Main!AW19&gt;0,Main!AW19,"")</f>
        <v>42017</v>
      </c>
      <c r="AD18" s="263">
        <f>IF(Main!BG19&gt;0,Main!BG19,"")</f>
        <v>42017</v>
      </c>
      <c r="AE18" s="263">
        <f>IF(Main!BE19&gt;0,Main!BE19,"")</f>
        <v>42017</v>
      </c>
      <c r="AF18" s="263">
        <f>IF(Main!BM19&gt;0,Main!BM19,"")</f>
        <v>42017</v>
      </c>
      <c r="AG18" s="263">
        <f>IF(Main!BN19&gt;0,Main!BN19,"")</f>
        <v>42017</v>
      </c>
      <c r="AH18" s="263">
        <f>IF(Main!BO19&gt;0,Main!BO19,"")</f>
        <v>42017</v>
      </c>
      <c r="AI18" s="263">
        <f>IF(Main!BR19&gt;0,Main!BR19,"")</f>
        <v>42017</v>
      </c>
      <c r="AJ18" s="263">
        <f>IF(Main!BQ19&gt;0,Main!BQ19,"")</f>
        <v>42017</v>
      </c>
      <c r="AK18" s="263">
        <f>IF(Main!AV19&gt;0,Main!AV19,"")</f>
        <v>42017</v>
      </c>
      <c r="AL18" s="263">
        <f>IF(Main!AU19&gt;0,Main!AU19,"")</f>
        <v>42017</v>
      </c>
      <c r="AM18" s="263">
        <f>IF(Main!AT19&gt;0,Main!AT19,"")</f>
        <v>42017</v>
      </c>
      <c r="AN18" s="259" t="str">
        <f>Main!BW19</f>
        <v xml:space="preserve">1905 (for processing) 1/13/2015, 2305 (for processing) 1/13/2015, MDR 1/13/2015, </v>
      </c>
    </row>
    <row r="19" spans="1:40" ht="15.75" thickTop="1" x14ac:dyDescent="0.25">
      <c r="A19" s="258">
        <f>Main!C20</f>
        <v>1082234</v>
      </c>
      <c r="B19" s="259" t="str">
        <f>Main!D20</f>
        <v>AGAPITO, Sandra Joanne M.</v>
      </c>
      <c r="C19" s="259" t="str">
        <f>Main!AH20</f>
        <v>Probationary</v>
      </c>
      <c r="D19" s="260">
        <f>Main!B20</f>
        <v>42023</v>
      </c>
      <c r="E19" s="260" t="str">
        <f>IF(Main!AI20&lt;1,"",Main!AI20)</f>
        <v/>
      </c>
      <c r="F19" s="260" t="str">
        <f>IF(Main!AJ20&lt;1,"",Main!AJ20)</f>
        <v/>
      </c>
      <c r="G19" s="260" t="str">
        <f>IF(Main!AK20&lt;1,"",Main!AK20)</f>
        <v/>
      </c>
      <c r="H19" s="259" t="str">
        <f>Main!Y20</f>
        <v>Senior Recruiter</v>
      </c>
      <c r="I19" s="259" t="str">
        <f>Main!Z20</f>
        <v>Level 2</v>
      </c>
      <c r="J19" s="259">
        <f>IF(Main!A20&lt;1,"",Main!A20)</f>
        <v>180</v>
      </c>
      <c r="K19" s="260">
        <f>IF(Main!AN20&gt;0,Main!AN20,"")</f>
        <v>29870</v>
      </c>
      <c r="L19" s="258" t="str">
        <f>IF(Main!Q20&gt;0,Main!Q20,"")</f>
        <v>anotherpoet08@gmail.com</v>
      </c>
      <c r="M19" s="410">
        <f>VALUE(IF(Main!S20&gt;0,Main!S20,""))</f>
        <v>9162450098</v>
      </c>
      <c r="N19" s="261" t="str">
        <f>Main!T20</f>
        <v/>
      </c>
      <c r="O19" s="258" t="str">
        <f>IF(Main!AO20&gt;0,Main!AO20,"")</f>
        <v>8778-B Santol Street, San Antonio Village, Makati City</v>
      </c>
      <c r="P19" s="258" t="str">
        <f>IF(Main!AP20&gt;0,Main!AP20,"")</f>
        <v/>
      </c>
      <c r="Q19" s="258" t="str">
        <f>IF(Main!AR20&gt;0,Main!AR20,"")</f>
        <v/>
      </c>
      <c r="R19" s="259" t="str">
        <f>IF(Main!AQ20&gt;0,Main!AQ20,"")</f>
        <v>Female</v>
      </c>
      <c r="S19" s="259" t="str">
        <f>IF(Main!BD20&gt;0,Main!BD20,"")</f>
        <v>01-1524968-8</v>
      </c>
      <c r="T19" s="259" t="str">
        <f>IF(Main!AX20&gt;0,Main!AX20,"")</f>
        <v/>
      </c>
      <c r="U19" s="259" t="str">
        <f>IF(Main!BH20&gt;0,Main!BH20,"")</f>
        <v>01-050426353-9</v>
      </c>
      <c r="V19" s="268" t="str">
        <f>IF(Main!BF20&gt;0,Main!BF20,"")</f>
        <v>1211-0392-5532</v>
      </c>
      <c r="W19" s="263">
        <f>IF(Main!BS20&gt;0,Main!BS20,"")</f>
        <v>42024</v>
      </c>
      <c r="X19" s="263">
        <f>IF(Main!BT20&gt;0,Main!BT20,"")</f>
        <v>42024</v>
      </c>
      <c r="Y19" s="263">
        <f>IF(Main!BU20&gt;0,Main!BU20,"")</f>
        <v>42024</v>
      </c>
      <c r="Z19" s="263">
        <f>IF(Main!AS20&gt;0,Main!AS20,"")</f>
        <v>42024</v>
      </c>
      <c r="AA19" s="263" t="str">
        <f>IF(Main!BJ20&gt;0,Main!BJ20,"")</f>
        <v/>
      </c>
      <c r="AB19" s="263">
        <f>IF(Main!BC20&gt;0,Main!BC20,"")</f>
        <v>42024</v>
      </c>
      <c r="AC19" s="263" t="str">
        <f>IF(Main!AW20&gt;0,Main!AW20,"")</f>
        <v/>
      </c>
      <c r="AD19" s="263">
        <f>IF(Main!BG20&gt;0,Main!BG20,"")</f>
        <v>42024</v>
      </c>
      <c r="AE19" s="263">
        <f>IF(Main!BE20&gt;0,Main!BE20,"")</f>
        <v>42031</v>
      </c>
      <c r="AF19" s="263">
        <f>IF(Main!BM20&gt;0,Main!BM20,"")</f>
        <v>42024</v>
      </c>
      <c r="AG19" s="263" t="str">
        <f>IF(Main!BN20&gt;0,Main!BN20,"")</f>
        <v/>
      </c>
      <c r="AH19" s="263" t="str">
        <f>IF(Main!BO20&gt;0,Main!BO20,"")</f>
        <v/>
      </c>
      <c r="AI19" s="263">
        <f>IF(Main!BR20&gt;0,Main!BR20,"")</f>
        <v>42024</v>
      </c>
      <c r="AJ19" s="263" t="str">
        <f>IF(Main!BQ20&gt;0,Main!BQ20,"")</f>
        <v/>
      </c>
      <c r="AK19" s="263" t="str">
        <f>IF(Main!AV20&gt;0,Main!AV20,"")</f>
        <v/>
      </c>
      <c r="AL19" s="263">
        <f>IF(Main!AU20&gt;0,Main!AU20,"")</f>
        <v>42024</v>
      </c>
      <c r="AM19" s="263">
        <f>IF(Main!AT20&gt;0,Main!AT20,"")</f>
        <v>42024</v>
      </c>
      <c r="AN19" s="259" t="str">
        <f>Main!BW20</f>
        <v xml:space="preserve">2305 (for processing) 1/21/2015, MDR 1/22/2015, </v>
      </c>
    </row>
    <row r="20" spans="1:40" x14ac:dyDescent="0.25">
      <c r="A20" s="258">
        <f>Main!C21</f>
        <v>1082235</v>
      </c>
      <c r="B20" s="259" t="str">
        <f>Main!D21</f>
        <v>ANDAYA, Mary Rose L.</v>
      </c>
      <c r="C20" s="259" t="str">
        <f>Main!AH21</f>
        <v>Probationary</v>
      </c>
      <c r="D20" s="260">
        <f>Main!B21</f>
        <v>42023</v>
      </c>
      <c r="E20" s="260" t="str">
        <f>IF(Main!AI21&lt;1,"",Main!AI21)</f>
        <v/>
      </c>
      <c r="F20" s="260" t="str">
        <f>IF(Main!AJ21&lt;1,"",Main!AJ21)</f>
        <v/>
      </c>
      <c r="G20" s="260" t="str">
        <f>IF(Main!AK21&lt;1,"",Main!AK21)</f>
        <v/>
      </c>
      <c r="H20" s="259" t="str">
        <f>Main!Y21</f>
        <v>Senior Recruiter</v>
      </c>
      <c r="I20" s="259" t="str">
        <f>Main!Z21</f>
        <v>Level 2</v>
      </c>
      <c r="J20" s="259">
        <f>IF(Main!A21&lt;1,"",Main!A21)</f>
        <v>180</v>
      </c>
      <c r="K20" s="260">
        <f>IF(Main!AN21&gt;0,Main!AN21,"")</f>
        <v>33707</v>
      </c>
      <c r="L20" s="258" t="str">
        <f>IF(Main!Q21&gt;0,Main!Q21,"")</f>
        <v>mroseandaya@gmail.com</v>
      </c>
      <c r="M20" s="410">
        <f>VALUE(IF(Main!S21&gt;0,Main!S21,""))</f>
        <v>9266623461</v>
      </c>
      <c r="N20" s="261" t="str">
        <f>Main!T21</f>
        <v/>
      </c>
      <c r="O20" s="258" t="str">
        <f>IF(Main!AO21&gt;0,Main!AO21,"")</f>
        <v>M. Calixto Street, Wawang Pulo, Valenzuela City</v>
      </c>
      <c r="P20" s="258" t="str">
        <f>IF(Main!AP21&gt;0,Main!AP21,"")</f>
        <v/>
      </c>
      <c r="Q20" s="258" t="str">
        <f>IF(Main!AR21&gt;0,Main!AR21,"")</f>
        <v/>
      </c>
      <c r="R20" s="259" t="str">
        <f>IF(Main!AQ21&gt;0,Main!AQ21,"")</f>
        <v>Female</v>
      </c>
      <c r="S20" s="259" t="str">
        <f>IF(Main!BD21&gt;0,Main!BD21,"")</f>
        <v>34-2590376-3</v>
      </c>
      <c r="T20" s="259" t="str">
        <f>IF(Main!AX21&gt;0,Main!AX21,"")</f>
        <v>309-136-188</v>
      </c>
      <c r="U20" s="259" t="str">
        <f>IF(Main!BH21&gt;0,Main!BH21,"")</f>
        <v>01-051508466-0</v>
      </c>
      <c r="V20" s="268" t="str">
        <f>IF(Main!BF21&gt;0,Main!BF21,"")</f>
        <v>1210-881-4239</v>
      </c>
      <c r="W20" s="263">
        <f>IF(Main!BS21&gt;0,Main!BS21,"")</f>
        <v>42024</v>
      </c>
      <c r="X20" s="263">
        <f>IF(Main!BT21&gt;0,Main!BT21,"")</f>
        <v>42024</v>
      </c>
      <c r="Y20" s="263">
        <f>IF(Main!BU21&gt;0,Main!BU21,"")</f>
        <v>42024</v>
      </c>
      <c r="Z20" s="263">
        <f>IF(Main!AS21&gt;0,Main!AS21,"")</f>
        <v>42026</v>
      </c>
      <c r="AA20" s="263">
        <f>IF(Main!BJ21&gt;0,Main!BJ21,"")</f>
        <v>42026</v>
      </c>
      <c r="AB20" s="263">
        <f>IF(Main!BC21&gt;0,Main!BC21,"")</f>
        <v>42026</v>
      </c>
      <c r="AC20" s="263">
        <f>IF(Main!AW21&gt;0,Main!AW21,"")</f>
        <v>42041</v>
      </c>
      <c r="AD20" s="263">
        <f>IF(Main!BG21&gt;0,Main!BG21,"")</f>
        <v>42026</v>
      </c>
      <c r="AE20" s="263">
        <f>IF(Main!BE21&gt;0,Main!BE21,"")</f>
        <v>42026</v>
      </c>
      <c r="AF20" s="263">
        <f>IF(Main!BM21&gt;0,Main!BM21,"")</f>
        <v>42041</v>
      </c>
      <c r="AG20" s="263" t="str">
        <f>IF(Main!BN21&gt;0,Main!BN21,"")</f>
        <v/>
      </c>
      <c r="AH20" s="263" t="str">
        <f>IF(Main!BO21&gt;0,Main!BO21,"")</f>
        <v/>
      </c>
      <c r="AI20" s="263">
        <f>IF(Main!BR21&gt;0,Main!BR21,"")</f>
        <v>42041</v>
      </c>
      <c r="AJ20" s="263">
        <f>IF(Main!BQ21&gt;0,Main!BQ21,"")</f>
        <v>42041</v>
      </c>
      <c r="AK20" s="263">
        <f>IF(Main!AV21&gt;0,Main!AV21,"")</f>
        <v>42026</v>
      </c>
      <c r="AL20" s="263">
        <f>IF(Main!AU21&gt;0,Main!AU21,"")</f>
        <v>42026</v>
      </c>
      <c r="AM20" s="263">
        <f>IF(Main!AT21&gt;0,Main!AT21,"")</f>
        <v>42026</v>
      </c>
      <c r="AN20" s="259" t="str">
        <f>Main!BW21</f>
        <v xml:space="preserve">1905 2/6/2015, 2305 1/21/2015, MDR 2/6/2015, </v>
      </c>
    </row>
    <row r="21" spans="1:40" x14ac:dyDescent="0.25">
      <c r="A21" s="258">
        <f>Main!C22</f>
        <v>1082236</v>
      </c>
      <c r="B21" s="259" t="str">
        <f>Main!D22</f>
        <v>BONIFACIO, Aljon S.</v>
      </c>
      <c r="C21" s="259" t="str">
        <f>Main!AH22</f>
        <v>Terminated - AWOL</v>
      </c>
      <c r="D21" s="260">
        <f>Main!B22</f>
        <v>42023</v>
      </c>
      <c r="E21" s="260" t="str">
        <f>IF(Main!AI22&lt;1,"",Main!AI22)</f>
        <v/>
      </c>
      <c r="F21" s="260" t="str">
        <f>IF(Main!AJ22&lt;1,"",Main!AJ22)</f>
        <v/>
      </c>
      <c r="G21" s="260" t="str">
        <f>IF(Main!AK22&lt;1,"",Main!AK22)</f>
        <v/>
      </c>
      <c r="H21" s="259" t="str">
        <f>Main!Y22</f>
        <v>Senior Recruiter</v>
      </c>
      <c r="I21" s="259" t="str">
        <f>Main!Z22</f>
        <v>Level 2</v>
      </c>
      <c r="J21" s="259">
        <f>IF(Main!A22&lt;1,"",Main!A22)</f>
        <v>180</v>
      </c>
      <c r="K21" s="260">
        <f>IF(Main!AN22&gt;0,Main!AN22,"")</f>
        <v>33774</v>
      </c>
      <c r="L21" s="258" t="str">
        <f>IF(Main!Q22&gt;0,Main!Q22,"")</f>
        <v>ajbjcj123@gmail.com</v>
      </c>
      <c r="M21" s="410"/>
      <c r="N21" s="261" t="str">
        <f>Main!T22</f>
        <v/>
      </c>
      <c r="O21" s="258" t="str">
        <f>IF(Main!AO22&gt;0,Main!AO22,"")</f>
        <v>87 Masikap Street, Bagong Barrio Caloocan City</v>
      </c>
      <c r="P21" s="258" t="str">
        <f>IF(Main!AP22&gt;0,Main!AP22,"")</f>
        <v/>
      </c>
      <c r="Q21" s="258" t="str">
        <f>IF(Main!AR22&gt;0,Main!AR22,"")</f>
        <v/>
      </c>
      <c r="R21" s="259" t="str">
        <f>IF(Main!AQ22&gt;0,Main!AQ22,"")</f>
        <v>Male</v>
      </c>
      <c r="S21" s="259" t="str">
        <f>IF(Main!BD22&gt;0,Main!BD22,"")</f>
        <v/>
      </c>
      <c r="T21" s="259" t="str">
        <f>IF(Main!AX22&gt;0,Main!AX22,"")</f>
        <v/>
      </c>
      <c r="U21" s="259" t="str">
        <f>IF(Main!BH22&gt;0,Main!BH22,"")</f>
        <v/>
      </c>
      <c r="V21" s="268" t="str">
        <f>IF(Main!BF22&gt;0,Main!BF22,"")</f>
        <v/>
      </c>
      <c r="W21" s="263">
        <f>IF(Main!BS22&gt;0,Main!BS22,"")</f>
        <v>42024</v>
      </c>
      <c r="X21" s="263">
        <f>IF(Main!BT22&gt;0,Main!BT22,"")</f>
        <v>42024</v>
      </c>
      <c r="Y21" s="263">
        <f>IF(Main!BU22&gt;0,Main!BU22,"")</f>
        <v>42024</v>
      </c>
      <c r="Z21" s="263" t="str">
        <f>IF(Main!AS22&gt;0,Main!AS22,"")</f>
        <v/>
      </c>
      <c r="AA21" s="263" t="str">
        <f>IF(Main!BJ22&gt;0,Main!BJ22,"")</f>
        <v/>
      </c>
      <c r="AB21" s="263" t="str">
        <f>IF(Main!BC22&gt;0,Main!BC22,"")</f>
        <v/>
      </c>
      <c r="AC21" s="263" t="str">
        <f>IF(Main!AW22&gt;0,Main!AW22,"")</f>
        <v/>
      </c>
      <c r="AD21" s="263" t="str">
        <f>IF(Main!BG22&gt;0,Main!BG22,"")</f>
        <v/>
      </c>
      <c r="AE21" s="263" t="str">
        <f>IF(Main!BE22&gt;0,Main!BE22,"")</f>
        <v/>
      </c>
      <c r="AF21" s="263" t="str">
        <f>IF(Main!BM22&gt;0,Main!BM22,"")</f>
        <v/>
      </c>
      <c r="AG21" s="263" t="str">
        <f>IF(Main!BN22&gt;0,Main!BN22,"")</f>
        <v/>
      </c>
      <c r="AH21" s="263" t="str">
        <f>IF(Main!BO22&gt;0,Main!BO22,"")</f>
        <v/>
      </c>
      <c r="AI21" s="263" t="str">
        <f>IF(Main!BR22&gt;0,Main!BR22,"")</f>
        <v/>
      </c>
      <c r="AJ21" s="263" t="str">
        <f>IF(Main!BQ22&gt;0,Main!BQ22,"")</f>
        <v/>
      </c>
      <c r="AK21" s="263" t="str">
        <f>IF(Main!AV22&gt;0,Main!AV22,"")</f>
        <v/>
      </c>
      <c r="AL21" s="263" t="str">
        <f>IF(Main!AU22&gt;0,Main!AU22,"")</f>
        <v/>
      </c>
      <c r="AM21" s="263" t="str">
        <f>IF(Main!AT22&gt;0,Main!AT22,"")</f>
        <v/>
      </c>
      <c r="AN21" s="259" t="str">
        <f>Main!BW22</f>
        <v xml:space="preserve">2305 (for processing) 1/21/2015, </v>
      </c>
    </row>
    <row r="22" spans="1:40" x14ac:dyDescent="0.25">
      <c r="A22" s="258">
        <f>Main!C23</f>
        <v>1082237</v>
      </c>
      <c r="B22" s="259" t="str">
        <f>Main!D23</f>
        <v>CRUZ, Rafha Ralf P.</v>
      </c>
      <c r="C22" s="259" t="str">
        <f>Main!AH23</f>
        <v>Probationary</v>
      </c>
      <c r="D22" s="260">
        <f>Main!B23</f>
        <v>42023</v>
      </c>
      <c r="E22" s="260" t="str">
        <f>IF(Main!AI23&lt;1,"",Main!AI23)</f>
        <v/>
      </c>
      <c r="F22" s="260" t="str">
        <f>IF(Main!AJ23&lt;1,"",Main!AJ23)</f>
        <v/>
      </c>
      <c r="G22" s="260" t="str">
        <f>IF(Main!AK23&lt;1,"",Main!AK23)</f>
        <v/>
      </c>
      <c r="H22" s="259" t="str">
        <f>Main!Y23</f>
        <v>Senior Recruiter</v>
      </c>
      <c r="I22" s="259" t="str">
        <f>Main!Z23</f>
        <v>Level 2</v>
      </c>
      <c r="J22" s="259">
        <f>IF(Main!A23&lt;1,"",Main!A23)</f>
        <v>180</v>
      </c>
      <c r="K22" s="260">
        <f>IF(Main!AN23&gt;0,Main!AN23,"")</f>
        <v>33029</v>
      </c>
      <c r="L22" s="258" t="str">
        <f>IF(Main!Q23&gt;0,Main!Q23,"")</f>
        <v/>
      </c>
      <c r="M22" s="410">
        <f>VALUE(IF(Main!S23&gt;0,Main!S23,""))</f>
        <v>9985492486</v>
      </c>
      <c r="N22" s="261" t="str">
        <f>Main!T23</f>
        <v/>
      </c>
      <c r="O22" s="258" t="str">
        <f>IF(Main!AO23&gt;0,Main!AO23,"")</f>
        <v>54 Marigold St., Rivera Village, Pasay City</v>
      </c>
      <c r="P22" s="258" t="str">
        <f>IF(Main!AP23&gt;0,Main!AP23,"")</f>
        <v/>
      </c>
      <c r="Q22" s="258" t="str">
        <f>IF(Main!AR23&gt;0,Main!AR23,"")</f>
        <v/>
      </c>
      <c r="R22" s="259" t="str">
        <f>IF(Main!AQ23&gt;0,Main!AQ23,"")</f>
        <v>Male</v>
      </c>
      <c r="S22" s="259" t="str">
        <f>IF(Main!BD23&gt;0,Main!BD23,"")</f>
        <v/>
      </c>
      <c r="T22" s="259" t="str">
        <f>IF(Main!AX23&gt;0,Main!AX23,"")</f>
        <v/>
      </c>
      <c r="U22" s="259" t="str">
        <f>IF(Main!BH23&gt;0,Main!BH23,"")</f>
        <v>01-051241640-9</v>
      </c>
      <c r="V22" s="268" t="str">
        <f>IF(Main!BF23&gt;0,Main!BF23,"")</f>
        <v/>
      </c>
      <c r="W22" s="263">
        <f>IF(Main!BS23&gt;0,Main!BS23,"")</f>
        <v>42024</v>
      </c>
      <c r="X22" s="263">
        <f>IF(Main!BT23&gt;0,Main!BT23,"")</f>
        <v>42024</v>
      </c>
      <c r="Y22" s="263">
        <f>IF(Main!BU23&gt;0,Main!BU23,"")</f>
        <v>42024</v>
      </c>
      <c r="Z22" s="263">
        <f>IF(Main!AS23&gt;0,Main!AS23,"")</f>
        <v>42027</v>
      </c>
      <c r="AA22" s="263" t="str">
        <f>IF(Main!BJ23&gt;0,Main!BJ23,"")</f>
        <v/>
      </c>
      <c r="AB22" s="263" t="str">
        <f>IF(Main!BC23&gt;0,Main!BC23,"")</f>
        <v/>
      </c>
      <c r="AC22" s="263" t="str">
        <f>IF(Main!AW23&gt;0,Main!AW23,"")</f>
        <v/>
      </c>
      <c r="AD22" s="263">
        <f>IF(Main!BG23&gt;0,Main!BG23,"")</f>
        <v>42034</v>
      </c>
      <c r="AE22" s="263" t="str">
        <f>IF(Main!BE23&gt;0,Main!BE23,"")</f>
        <v/>
      </c>
      <c r="AF22" s="263">
        <f>IF(Main!BM23&gt;0,Main!BM23,"")</f>
        <v>42034</v>
      </c>
      <c r="AG22" s="263" t="str">
        <f>IF(Main!BN23&gt;0,Main!BN23,"")</f>
        <v/>
      </c>
      <c r="AH22" s="263" t="str">
        <f>IF(Main!BO23&gt;0,Main!BO23,"")</f>
        <v/>
      </c>
      <c r="AI22" s="263" t="str">
        <f>IF(Main!BR23&gt;0,Main!BR23,"")</f>
        <v/>
      </c>
      <c r="AJ22" s="263">
        <f>IF(Main!BQ23&gt;0,Main!BQ23,"")</f>
        <v>42034</v>
      </c>
      <c r="AK22" s="263">
        <f>IF(Main!AV23&gt;0,Main!AV23,"")</f>
        <v>42027</v>
      </c>
      <c r="AL22" s="263">
        <f>IF(Main!AU23&gt;0,Main!AU23,"")</f>
        <v>42027</v>
      </c>
      <c r="AM22" s="263">
        <f>IF(Main!AT23&gt;0,Main!AT23,"")</f>
        <v>42027</v>
      </c>
      <c r="AN22" s="259" t="str">
        <f>Main!BW23</f>
        <v xml:space="preserve">2305 (for processing) 1/21/2015, MDR 1/30/2015, </v>
      </c>
    </row>
    <row r="23" spans="1:40" x14ac:dyDescent="0.25">
      <c r="A23" s="258">
        <f>Main!C24</f>
        <v>1082239</v>
      </c>
      <c r="B23" s="259" t="str">
        <f>Main!D24</f>
        <v>DE VERA, Kristine Margaret M.</v>
      </c>
      <c r="C23" s="259" t="str">
        <f>Main!AH24</f>
        <v>Probationary</v>
      </c>
      <c r="D23" s="260">
        <f>Main!B24</f>
        <v>42023</v>
      </c>
      <c r="E23" s="260" t="str">
        <f>IF(Main!AI24&lt;1,"",Main!AI24)</f>
        <v/>
      </c>
      <c r="F23" s="260" t="str">
        <f>IF(Main!AJ24&lt;1,"",Main!AJ24)</f>
        <v/>
      </c>
      <c r="G23" s="260" t="str">
        <f>IF(Main!AK24&lt;1,"",Main!AK24)</f>
        <v/>
      </c>
      <c r="H23" s="259" t="str">
        <f>Main!Y24</f>
        <v>Senior Recruiter</v>
      </c>
      <c r="I23" s="259" t="str">
        <f>Main!Z24</f>
        <v>Level 2</v>
      </c>
      <c r="J23" s="259">
        <f>IF(Main!A24&lt;1,"",Main!A24)</f>
        <v>180</v>
      </c>
      <c r="K23" s="260">
        <f>IF(Main!AN24&gt;0,Main!AN24,"")</f>
        <v>33426</v>
      </c>
      <c r="L23" s="258" t="str">
        <f>IF(Main!Q24&gt;0,Main!Q24,"")</f>
        <v/>
      </c>
      <c r="M23" s="410">
        <f>VALUE(IF(Main!S24&gt;0,Main!S24,""))</f>
        <v>9262039596</v>
      </c>
      <c r="N23" s="261" t="str">
        <f>Main!T24</f>
        <v/>
      </c>
      <c r="O23" s="258" t="str">
        <f>IF(Main!AO24&gt;0,Main!AO24,"")</f>
        <v>E51a Gueventille II, Libertad St., Mandaluyon City</v>
      </c>
      <c r="P23" s="258" t="str">
        <f>IF(Main!AP24&gt;0,Main!AP24,"")</f>
        <v/>
      </c>
      <c r="Q23" s="258" t="str">
        <f>IF(Main!AR24&gt;0,Main!AR24,"")</f>
        <v/>
      </c>
      <c r="R23" s="259" t="str">
        <f>IF(Main!AQ24&gt;0,Main!AQ24,"")</f>
        <v>Female</v>
      </c>
      <c r="S23" s="259" t="str">
        <f>IF(Main!BD24&gt;0,Main!BD24,"")</f>
        <v>34-3287312-9</v>
      </c>
      <c r="T23" s="259" t="str">
        <f>IF(Main!AX24&gt;0,Main!AX24,"")</f>
        <v>311-600-443</v>
      </c>
      <c r="U23" s="259" t="str">
        <f>IF(Main!BH24&gt;0,Main!BH24,"")</f>
        <v>01-051822901-5</v>
      </c>
      <c r="V23" s="268" t="str">
        <f>IF(Main!BF24&gt;0,Main!BF24,"")</f>
        <v>1210-3580-4431</v>
      </c>
      <c r="W23" s="263">
        <f>IF(Main!BS24&gt;0,Main!BS24,"")</f>
        <v>42024</v>
      </c>
      <c r="X23" s="263">
        <f>IF(Main!BT24&gt;0,Main!BT24,"")</f>
        <v>42024</v>
      </c>
      <c r="Y23" s="263">
        <f>IF(Main!BU24&gt;0,Main!BU24,"")</f>
        <v>42025</v>
      </c>
      <c r="Z23" s="263">
        <f>IF(Main!AS24&gt;0,Main!AS24,"")</f>
        <v>42026</v>
      </c>
      <c r="AA23" s="263">
        <f>IF(Main!BJ24&gt;0,Main!BJ24,"")</f>
        <v>42027</v>
      </c>
      <c r="AB23" s="263">
        <f>IF(Main!BC24&gt;0,Main!BC24,"")</f>
        <v>42027</v>
      </c>
      <c r="AC23" s="263">
        <f>IF(Main!AW24&gt;0,Main!AW24,"")</f>
        <v>42027</v>
      </c>
      <c r="AD23" s="263">
        <f>IF(Main!BG24&gt;0,Main!BG24,"")</f>
        <v>42027</v>
      </c>
      <c r="AE23" s="263">
        <f>IF(Main!BE24&gt;0,Main!BE24,"")</f>
        <v>42027</v>
      </c>
      <c r="AF23" s="263">
        <f>IF(Main!BM24&gt;0,Main!BM24,"")</f>
        <v>42027</v>
      </c>
      <c r="AG23" s="263" t="str">
        <f>IF(Main!BN24&gt;0,Main!BN24,"")</f>
        <v/>
      </c>
      <c r="AH23" s="263" t="str">
        <f>IF(Main!BO24&gt;0,Main!BO24,"")</f>
        <v/>
      </c>
      <c r="AI23" s="263">
        <f>IF(Main!BR24&gt;0,Main!BR24,"")</f>
        <v>42027</v>
      </c>
      <c r="AJ23" s="263">
        <f>IF(Main!BQ24&gt;0,Main!BQ24,"")</f>
        <v>42027</v>
      </c>
      <c r="AK23" s="263">
        <f>IF(Main!AV24&gt;0,Main!AV24,"")</f>
        <v>42026</v>
      </c>
      <c r="AL23" s="263">
        <f>IF(Main!AU24&gt;0,Main!AU24,"")</f>
        <v>42026</v>
      </c>
      <c r="AM23" s="263">
        <f>IF(Main!AT24&gt;0,Main!AT24,"")</f>
        <v>42026</v>
      </c>
      <c r="AN23" s="259" t="str">
        <f>Main!BW24</f>
        <v/>
      </c>
    </row>
    <row r="24" spans="1:40" x14ac:dyDescent="0.25">
      <c r="A24" s="258">
        <f>Main!C25</f>
        <v>1082240</v>
      </c>
      <c r="B24" s="259" t="str">
        <f>Main!D25</f>
        <v>FABROA, Jamee Marie Calaguian</v>
      </c>
      <c r="C24" s="259" t="str">
        <f>Main!AH25</f>
        <v>Probationary</v>
      </c>
      <c r="D24" s="260">
        <f>Main!B25</f>
        <v>42023</v>
      </c>
      <c r="E24" s="260" t="str">
        <f>IF(Main!AI25&lt;1,"",Main!AI25)</f>
        <v/>
      </c>
      <c r="F24" s="260" t="str">
        <f>IF(Main!AJ25&lt;1,"",Main!AJ25)</f>
        <v/>
      </c>
      <c r="G24" s="260" t="str">
        <f>IF(Main!AK25&lt;1,"",Main!AK25)</f>
        <v/>
      </c>
      <c r="H24" s="259" t="str">
        <f>Main!Y25</f>
        <v>Senior Recruiter</v>
      </c>
      <c r="I24" s="259" t="str">
        <f>Main!Z25</f>
        <v>Level 2</v>
      </c>
      <c r="J24" s="259">
        <f>IF(Main!A25&lt;1,"",Main!A25)</f>
        <v>180</v>
      </c>
      <c r="K24" s="260">
        <f>IF(Main!AN25&gt;0,Main!AN25,"")</f>
        <v>33059</v>
      </c>
      <c r="L24" s="258" t="str">
        <f>IF(Main!Q25&gt;0,Main!Q25,"")</f>
        <v>meefabroa@gmail.com</v>
      </c>
      <c r="M24" s="410">
        <f>VALUE(IF(Main!S25&gt;0,Main!S25,""))</f>
        <v>9323016346</v>
      </c>
      <c r="N24" s="261" t="str">
        <f>Main!T25</f>
        <v/>
      </c>
      <c r="O24" s="258" t="str">
        <f>IF(Main!AO25&gt;0,Main!AO25,"")</f>
        <v>#8 B San Jose St. Brgy. Batis San Juan City</v>
      </c>
      <c r="P24" s="258" t="str">
        <f>IF(Main!AP25&gt;0,Main!AP25,"")</f>
        <v/>
      </c>
      <c r="Q24" s="258" t="str">
        <f>IF(Main!AR25&gt;0,Main!AR25,"")</f>
        <v/>
      </c>
      <c r="R24" s="259" t="str">
        <f>IF(Main!AQ25&gt;0,Main!AQ25,"")</f>
        <v>Female</v>
      </c>
      <c r="S24" s="259" t="str">
        <f>IF(Main!BD25&gt;0,Main!BD25,"")</f>
        <v>340-578-2276</v>
      </c>
      <c r="T24" s="259" t="str">
        <f>IF(Main!AX25&gt;0,Main!AX25,"")</f>
        <v>309-740-064</v>
      </c>
      <c r="U24" s="259" t="str">
        <f>IF(Main!BH25&gt;0,Main!BH25,"")</f>
        <v>01-051331632-7</v>
      </c>
      <c r="V24" s="268" t="str">
        <f>IF(Main!BF25&gt;0,Main!BF25,"")</f>
        <v>1210-2414-8040</v>
      </c>
      <c r="W24" s="263">
        <f>IF(Main!BS25&gt;0,Main!BS25,"")</f>
        <v>42024</v>
      </c>
      <c r="X24" s="263">
        <f>IF(Main!BT25&gt;0,Main!BT25,"")</f>
        <v>42024</v>
      </c>
      <c r="Y24" s="263">
        <f>IF(Main!BU25&gt;0,Main!BU25,"")</f>
        <v>42024</v>
      </c>
      <c r="Z24" s="263">
        <f>IF(Main!AS25&gt;0,Main!AS25,"")</f>
        <v>42024</v>
      </c>
      <c r="AA24" s="263" t="str">
        <f>IF(Main!BJ25&gt;0,Main!BJ25,"")</f>
        <v/>
      </c>
      <c r="AB24" s="263">
        <f>IF(Main!BC25&gt;0,Main!BC25,"")</f>
        <v>42024</v>
      </c>
      <c r="AC24" s="263">
        <f>IF(Main!AW25&gt;0,Main!AW25,"")</f>
        <v>42030</v>
      </c>
      <c r="AD24" s="263">
        <f>IF(Main!BG25&gt;0,Main!BG25,"")</f>
        <v>42024</v>
      </c>
      <c r="AE24" s="263">
        <f>IF(Main!BE25&gt;0,Main!BE25,"")</f>
        <v>42024</v>
      </c>
      <c r="AF24" s="263">
        <f>IF(Main!BM25&gt;0,Main!BM25,"")</f>
        <v>42024</v>
      </c>
      <c r="AG24" s="263" t="str">
        <f>IF(Main!BN25&gt;0,Main!BN25,"")</f>
        <v/>
      </c>
      <c r="AH24" s="263">
        <f>IF(Main!BO25&gt;0,Main!BO25,"")</f>
        <v>42025</v>
      </c>
      <c r="AI24" s="263" t="str">
        <f>IF(Main!BR25&gt;0,Main!BR25,"")</f>
        <v/>
      </c>
      <c r="AJ24" s="263">
        <f>IF(Main!BQ25&gt;0,Main!BQ25,"")</f>
        <v>42030</v>
      </c>
      <c r="AK24" s="263">
        <f>IF(Main!AV25&gt;0,Main!AV25,"")</f>
        <v>42041</v>
      </c>
      <c r="AL24" s="263">
        <f>IF(Main!AU25&gt;0,Main!AU25,"")</f>
        <v>42024</v>
      </c>
      <c r="AM24" s="263">
        <f>IF(Main!AT25&gt;0,Main!AT25,"")</f>
        <v>42024</v>
      </c>
      <c r="AN24" s="259" t="str">
        <f>Main!BW25</f>
        <v xml:space="preserve">1905 1/26/2015, 2305 1/21/2015, </v>
      </c>
    </row>
    <row r="25" spans="1:40" x14ac:dyDescent="0.25">
      <c r="A25" s="258">
        <f>Main!C26</f>
        <v>1082241</v>
      </c>
      <c r="B25" s="259" t="str">
        <f>Main!D26</f>
        <v>LIQUE, Mark Jeffrey</v>
      </c>
      <c r="C25" s="259" t="str">
        <f>Main!AH26</f>
        <v>Probationary</v>
      </c>
      <c r="D25" s="260">
        <f>Main!B26</f>
        <v>42023</v>
      </c>
      <c r="E25" s="260" t="str">
        <f>IF(Main!AI26&lt;1,"",Main!AI26)</f>
        <v/>
      </c>
      <c r="F25" s="260" t="str">
        <f>IF(Main!AJ26&lt;1,"",Main!AJ26)</f>
        <v/>
      </c>
      <c r="G25" s="260" t="str">
        <f>IF(Main!AK26&lt;1,"",Main!AK26)</f>
        <v/>
      </c>
      <c r="H25" s="259" t="str">
        <f>Main!Y26</f>
        <v>Senior Recruiter</v>
      </c>
      <c r="I25" s="259" t="str">
        <f>Main!Z26</f>
        <v>Level 2</v>
      </c>
      <c r="J25" s="259">
        <f>IF(Main!A26&lt;1,"",Main!A26)</f>
        <v>180</v>
      </c>
      <c r="K25" s="260">
        <f>IF(Main!AN26&gt;0,Main!AN26,"")</f>
        <v>31336</v>
      </c>
      <c r="L25" s="258" t="str">
        <f>IF(Main!Q26&gt;0,Main!Q26,"")</f>
        <v/>
      </c>
      <c r="M25" s="410">
        <f>VALUE(IF(Main!S26&gt;0,Main!S26,""))</f>
        <v>9081558696</v>
      </c>
      <c r="N25" s="261" t="str">
        <f>Main!T26</f>
        <v/>
      </c>
      <c r="O25" s="258" t="str">
        <f>IF(Main!AO26&gt;0,Main!AO26,"")</f>
        <v/>
      </c>
      <c r="P25" s="258" t="str">
        <f>IF(Main!AP26&gt;0,Main!AP26,"")</f>
        <v/>
      </c>
      <c r="Q25" s="258" t="str">
        <f>IF(Main!AR26&gt;0,Main!AR26,"")</f>
        <v/>
      </c>
      <c r="R25" s="259" t="str">
        <f>IF(Main!AQ26&gt;0,Main!AQ26,"")</f>
        <v/>
      </c>
      <c r="S25" s="259" t="str">
        <f>IF(Main!BD26&gt;0,Main!BD26,"")</f>
        <v/>
      </c>
      <c r="T25" s="259" t="str">
        <f>IF(Main!AX26&gt;0,Main!AX26,"")</f>
        <v/>
      </c>
      <c r="U25" s="259" t="str">
        <f>IF(Main!BH26&gt;0,Main!BH26,"")</f>
        <v/>
      </c>
      <c r="V25" s="268" t="str">
        <f>IF(Main!BF26&gt;0,Main!BF26,"")</f>
        <v/>
      </c>
      <c r="W25" s="263">
        <f>IF(Main!BS26&gt;0,Main!BS26,"")</f>
        <v>42025</v>
      </c>
      <c r="X25" s="263">
        <f>IF(Main!BT26&gt;0,Main!BT26,"")</f>
        <v>42025</v>
      </c>
      <c r="Y25" s="263">
        <f>IF(Main!BU26&gt;0,Main!BU26,"")</f>
        <v>42025</v>
      </c>
      <c r="Z25" s="263" t="str">
        <f>IF(Main!AS26&gt;0,Main!AS26,"")</f>
        <v/>
      </c>
      <c r="AA25" s="263" t="str">
        <f>IF(Main!BJ26&gt;0,Main!BJ26,"")</f>
        <v/>
      </c>
      <c r="AB25" s="263" t="str">
        <f>IF(Main!BC26&gt;0,Main!BC26,"")</f>
        <v/>
      </c>
      <c r="AC25" s="263" t="str">
        <f>IF(Main!AW26&gt;0,Main!AW26,"")</f>
        <v/>
      </c>
      <c r="AD25" s="263" t="str">
        <f>IF(Main!BG26&gt;0,Main!BG26,"")</f>
        <v/>
      </c>
      <c r="AE25" s="263" t="str">
        <f>IF(Main!BE26&gt;0,Main!BE26,"")</f>
        <v/>
      </c>
      <c r="AF25" s="263" t="str">
        <f>IF(Main!BM26&gt;0,Main!BM26,"")</f>
        <v/>
      </c>
      <c r="AG25" s="263" t="str">
        <f>IF(Main!BN26&gt;0,Main!BN26,"")</f>
        <v/>
      </c>
      <c r="AH25" s="263" t="str">
        <f>IF(Main!BO26&gt;0,Main!BO26,"")</f>
        <v/>
      </c>
      <c r="AI25" s="263" t="str">
        <f>IF(Main!BR26&gt;0,Main!BR26,"")</f>
        <v/>
      </c>
      <c r="AJ25" s="263" t="str">
        <f>IF(Main!BQ26&gt;0,Main!BQ26,"")</f>
        <v/>
      </c>
      <c r="AK25" s="263" t="str">
        <f>IF(Main!AV26&gt;0,Main!AV26,"")</f>
        <v/>
      </c>
      <c r="AL25" s="263" t="str">
        <f>IF(Main!AU26&gt;0,Main!AU26,"")</f>
        <v/>
      </c>
      <c r="AM25" s="263" t="str">
        <f>IF(Main!AT26&gt;0,Main!AT26,"")</f>
        <v/>
      </c>
      <c r="AN25" s="259" t="str">
        <f>Main!BW26</f>
        <v/>
      </c>
    </row>
    <row r="26" spans="1:40" x14ac:dyDescent="0.25">
      <c r="A26" s="258">
        <f>Main!C27</f>
        <v>1082243</v>
      </c>
      <c r="B26" s="259" t="str">
        <f>Main!D27</f>
        <v>SARTE, Paul Vincent</v>
      </c>
      <c r="C26" s="259" t="str">
        <f>Main!AH27</f>
        <v>Probationary</v>
      </c>
      <c r="D26" s="260">
        <f>Main!B27</f>
        <v>42023</v>
      </c>
      <c r="E26" s="260" t="str">
        <f>IF(Main!AI27&lt;1,"",Main!AI27)</f>
        <v/>
      </c>
      <c r="F26" s="260" t="str">
        <f>IF(Main!AJ27&lt;1,"",Main!AJ27)</f>
        <v/>
      </c>
      <c r="G26" s="260" t="str">
        <f>IF(Main!AK27&lt;1,"",Main!AK27)</f>
        <v/>
      </c>
      <c r="H26" s="259" t="str">
        <f>Main!Y27</f>
        <v>Senior Recruiter</v>
      </c>
      <c r="I26" s="259" t="str">
        <f>Main!Z27</f>
        <v>Level 2</v>
      </c>
      <c r="J26" s="259">
        <f>IF(Main!A27&lt;1,"",Main!A27)</f>
        <v>180</v>
      </c>
      <c r="K26" s="260">
        <f>IF(Main!AN27&gt;0,Main!AN27,"")</f>
        <v>31529</v>
      </c>
      <c r="L26" s="258" t="str">
        <f>IF(Main!Q27&gt;0,Main!Q27,"")</f>
        <v>aulvin_paulvincent@yahoo.com</v>
      </c>
      <c r="M26" s="410">
        <f>VALUE(IF(Main!S27&gt;0,Main!S27,""))</f>
        <v>9175447459</v>
      </c>
      <c r="N26" s="261" t="str">
        <f>Main!T27</f>
        <v/>
      </c>
      <c r="O26" s="258" t="str">
        <f>IF(Main!AO27&gt;0,Main!AO27,"")</f>
        <v>46 G Felipe St. San Francisco Del Monte Quezon City</v>
      </c>
      <c r="P26" s="258" t="str">
        <f>IF(Main!AP27&gt;0,Main!AP27,"")</f>
        <v>46 G Felipe St. San Francisco Del Monte Quezon City</v>
      </c>
      <c r="Q26" s="258" t="str">
        <f>IF(Main!AR27&gt;0,Main!AR27,"")</f>
        <v/>
      </c>
      <c r="R26" s="259" t="str">
        <f>IF(Main!AQ27&gt;0,Main!AQ27,"")</f>
        <v>Male</v>
      </c>
      <c r="S26" s="259" t="str">
        <f>IF(Main!BD27&gt;0,Main!BD27,"")</f>
        <v>34-1789470-9</v>
      </c>
      <c r="T26" s="259" t="str">
        <f>IF(Main!AX27&gt;0,Main!AX27,"")</f>
        <v>950-249-509</v>
      </c>
      <c r="U26" s="259" t="str">
        <f>IF(Main!BH27&gt;0,Main!BH27,"")</f>
        <v>01-050854388-9</v>
      </c>
      <c r="V26" s="268" t="str">
        <f>IF(Main!BF27&gt;0,Main!BF27,"")</f>
        <v>1210-6494-1877</v>
      </c>
      <c r="W26" s="263">
        <f>IF(Main!BS27&gt;0,Main!BS27,"")</f>
        <v>42024</v>
      </c>
      <c r="X26" s="263">
        <f>IF(Main!BT27&gt;0,Main!BT27,"")</f>
        <v>42024</v>
      </c>
      <c r="Y26" s="263">
        <f>IF(Main!BU27&gt;0,Main!BU27,"")</f>
        <v>42024</v>
      </c>
      <c r="Z26" s="263">
        <f>IF(Main!AS27&gt;0,Main!AS27,"")</f>
        <v>42039</v>
      </c>
      <c r="AA26" s="263">
        <f>IF(Main!BJ27&gt;0,Main!BJ27,"")</f>
        <v>42046</v>
      </c>
      <c r="AB26" s="263">
        <f>IF(Main!BC27&gt;0,Main!BC27,"")</f>
        <v>42039</v>
      </c>
      <c r="AC26" s="263">
        <f>IF(Main!AW27&gt;0,Main!AW27,"")</f>
        <v>42048</v>
      </c>
      <c r="AD26" s="263">
        <f>IF(Main!BG27&gt;0,Main!BG27,"")</f>
        <v>42039</v>
      </c>
      <c r="AE26" s="263">
        <f>IF(Main!BE27&gt;0,Main!BE27,"")</f>
        <v>42048</v>
      </c>
      <c r="AF26" s="263">
        <f>IF(Main!BM27&gt;0,Main!BM27,"")</f>
        <v>42039</v>
      </c>
      <c r="AG26" s="263" t="str">
        <f>IF(Main!BN27&gt;0,Main!BN27,"")</f>
        <v/>
      </c>
      <c r="AH26" s="263" t="str">
        <f>IF(Main!BO27&gt;0,Main!BO27,"")</f>
        <v/>
      </c>
      <c r="AI26" s="263" t="str">
        <f>IF(Main!BR27&gt;0,Main!BR27,"")</f>
        <v/>
      </c>
      <c r="AJ26" s="263">
        <f>IF(Main!BQ27&gt;0,Main!BQ27,"")</f>
        <v>42039</v>
      </c>
      <c r="AK26" s="263">
        <f>IF(Main!AV27&gt;0,Main!AV27,"")</f>
        <v>42039</v>
      </c>
      <c r="AL26" s="263">
        <f>IF(Main!AU27&gt;0,Main!AU27,"")</f>
        <v>42039</v>
      </c>
      <c r="AM26" s="263">
        <f>IF(Main!AT27&gt;0,Main!AT27,"")</f>
        <v>42039</v>
      </c>
      <c r="AN26" s="259" t="str">
        <f>Main!BW27</f>
        <v xml:space="preserve">1905 2/13/2015, 2305 1/21/2015, </v>
      </c>
    </row>
    <row r="27" spans="1:40" x14ac:dyDescent="0.25">
      <c r="A27" s="258">
        <f>Main!C28</f>
        <v>1082244</v>
      </c>
      <c r="B27" s="259" t="str">
        <f>Main!D28</f>
        <v>SUMAIT, Abigael Lumapas</v>
      </c>
      <c r="C27" s="259" t="str">
        <f>Main!AH28</f>
        <v>Probationary</v>
      </c>
      <c r="D27" s="260">
        <f>Main!B28</f>
        <v>42023</v>
      </c>
      <c r="E27" s="260" t="str">
        <f>IF(Main!AI28&lt;1,"",Main!AI28)</f>
        <v/>
      </c>
      <c r="F27" s="260" t="str">
        <f>IF(Main!AJ28&lt;1,"",Main!AJ28)</f>
        <v/>
      </c>
      <c r="G27" s="260" t="str">
        <f>IF(Main!AK28&lt;1,"",Main!AK28)</f>
        <v/>
      </c>
      <c r="H27" s="259" t="str">
        <f>Main!Y28</f>
        <v>Senior Recruiter</v>
      </c>
      <c r="I27" s="259" t="str">
        <f>Main!Z28</f>
        <v>Level 1</v>
      </c>
      <c r="J27" s="259">
        <f>IF(Main!A28&lt;1,"",Main!A28)</f>
        <v>180</v>
      </c>
      <c r="K27" s="260">
        <f>IF(Main!AN28&gt;0,Main!AN28,"")</f>
        <v>32909</v>
      </c>
      <c r="L27" s="258" t="str">
        <f>IF(Main!Q28&gt;0,Main!Q28,"")</f>
        <v>abigael_maristela05@yahoo.com</v>
      </c>
      <c r="M27" s="410">
        <f>VALUE(IF(Main!S28&gt;0,Main!S28,""))</f>
        <v>9085687425</v>
      </c>
      <c r="N27" s="261" t="str">
        <f>Main!T28</f>
        <v/>
      </c>
      <c r="O27" s="258" t="str">
        <f>IF(Main!AO28&gt;0,Main!AO28,"")</f>
        <v>1280 Gana Compound, Balintawak, Quezon City</v>
      </c>
      <c r="P27" s="258" t="str">
        <f>IF(Main!AP28&gt;0,Main!AP28,"")</f>
        <v/>
      </c>
      <c r="Q27" s="258" t="str">
        <f>IF(Main!AR28&gt;0,Main!AR28,"")</f>
        <v/>
      </c>
      <c r="R27" s="259" t="str">
        <f>IF(Main!AQ28&gt;0,Main!AQ28,"")</f>
        <v>Female</v>
      </c>
      <c r="S27" s="259" t="str">
        <f>IF(Main!BD28&gt;0,Main!BD28,"")</f>
        <v>34-0853831-7</v>
      </c>
      <c r="T27" s="259" t="str">
        <f>IF(Main!AX28&gt;0,Main!AX28,"")</f>
        <v/>
      </c>
      <c r="U27" s="259" t="str">
        <f>IF(Main!BH28&gt;0,Main!BH28,"")</f>
        <v>10-50642847-0</v>
      </c>
      <c r="V27" s="268" t="str">
        <f>IF(Main!BF28&gt;0,Main!BF28,"")</f>
        <v>1010-0310-7908</v>
      </c>
      <c r="W27" s="263">
        <f>IF(Main!BS28&gt;0,Main!BS28,"")</f>
        <v>42024</v>
      </c>
      <c r="X27" s="263">
        <f>IF(Main!BT28&gt;0,Main!BT28,"")</f>
        <v>42024</v>
      </c>
      <c r="Y27" s="263">
        <f>IF(Main!BU28&gt;0,Main!BU28,"")</f>
        <v>42024</v>
      </c>
      <c r="Z27" s="263">
        <f>IF(Main!AS28&gt;0,Main!AS28,"")</f>
        <v>42026</v>
      </c>
      <c r="AA27" s="263">
        <f>IF(Main!BJ28&gt;0,Main!BJ28,"")</f>
        <v>42033</v>
      </c>
      <c r="AB27" s="263">
        <f>IF(Main!BC28&gt;0,Main!BC28,"")</f>
        <v>42026</v>
      </c>
      <c r="AC27" s="263" t="str">
        <f>IF(Main!AW28&gt;0,Main!AW28,"")</f>
        <v/>
      </c>
      <c r="AD27" s="263">
        <f>IF(Main!BG28&gt;0,Main!BG28,"")</f>
        <v>42026</v>
      </c>
      <c r="AE27" s="263">
        <f>IF(Main!BE28&gt;0,Main!BE28,"")</f>
        <v>42026</v>
      </c>
      <c r="AF27" s="263">
        <f>IF(Main!BM28&gt;0,Main!BM28,"")</f>
        <v>42026</v>
      </c>
      <c r="AG27" s="263">
        <f>IF(Main!BN28&gt;0,Main!BN28,"")</f>
        <v>42026</v>
      </c>
      <c r="AH27" s="263">
        <f>IF(Main!BO28&gt;0,Main!BO28,"")</f>
        <v>42026</v>
      </c>
      <c r="AI27" s="263">
        <f>IF(Main!BR28&gt;0,Main!BR28,"")</f>
        <v>42031</v>
      </c>
      <c r="AJ27" s="263">
        <f>IF(Main!BQ28&gt;0,Main!BQ28,"")</f>
        <v>42027</v>
      </c>
      <c r="AK27" s="263" t="str">
        <f>IF(Main!AV28&gt;0,Main!AV28,"")</f>
        <v/>
      </c>
      <c r="AL27" s="263">
        <f>IF(Main!AU28&gt;0,Main!AU28,"")</f>
        <v>42027</v>
      </c>
      <c r="AM27" s="263">
        <f>IF(Main!AT28&gt;0,Main!AT28,"")</f>
        <v>42027</v>
      </c>
      <c r="AN27" s="259" t="str">
        <f>Main!BW28</f>
        <v xml:space="preserve">2305 (for processing) 1/21/2015, MDR 1/22/2015, </v>
      </c>
    </row>
    <row r="28" spans="1:40" x14ac:dyDescent="0.25">
      <c r="A28" s="258">
        <f>Main!C29</f>
        <v>1082245</v>
      </c>
      <c r="B28" s="259" t="str">
        <f>Main!D29</f>
        <v>TARROZA, Christopher Pascua</v>
      </c>
      <c r="C28" s="259" t="str">
        <f>Main!AH29</f>
        <v>Probationary</v>
      </c>
      <c r="D28" s="260">
        <f>Main!B29</f>
        <v>42023</v>
      </c>
      <c r="E28" s="260" t="str">
        <f>IF(Main!AI29&lt;1,"",Main!AI29)</f>
        <v/>
      </c>
      <c r="F28" s="260" t="str">
        <f>IF(Main!AJ29&lt;1,"",Main!AJ29)</f>
        <v/>
      </c>
      <c r="G28" s="260" t="str">
        <f>IF(Main!AK29&lt;1,"",Main!AK29)</f>
        <v/>
      </c>
      <c r="H28" s="259" t="str">
        <f>Main!Y29</f>
        <v>Senior Recruiter</v>
      </c>
      <c r="I28" s="259" t="str">
        <f>Main!Z29</f>
        <v>Level 1</v>
      </c>
      <c r="J28" s="259">
        <f>IF(Main!A29&lt;1,"",Main!A29)</f>
        <v>180</v>
      </c>
      <c r="K28" s="260">
        <f>IF(Main!AN29&gt;0,Main!AN29,"")</f>
        <v>29200</v>
      </c>
      <c r="L28" s="258" t="str">
        <f>IF(Main!Q29&gt;0,Main!Q29,"")</f>
        <v>chris.tarroza@yahoo.com</v>
      </c>
      <c r="M28" s="410">
        <f>VALUE(IF(Main!S29&gt;0,Main!S29,""))</f>
        <v>9051473810</v>
      </c>
      <c r="N28" s="261" t="str">
        <f>Main!T29</f>
        <v/>
      </c>
      <c r="O28" s="258" t="str">
        <f>IF(Main!AO29&gt;0,Main!AO29,"")</f>
        <v>Bldg 13-14 BLPC Road 3 Brgy. Bagong Pagasa, Quezon City</v>
      </c>
      <c r="P28" s="258" t="str">
        <f>IF(Main!AP29&gt;0,Main!AP29,"")</f>
        <v/>
      </c>
      <c r="Q28" s="258" t="str">
        <f>IF(Main!AR29&gt;0,Main!AR29,"")</f>
        <v/>
      </c>
      <c r="R28" s="259" t="str">
        <f>IF(Main!AQ29&gt;0,Main!AQ29,"")</f>
        <v>Male</v>
      </c>
      <c r="S28" s="259" t="str">
        <f>IF(Main!BD29&gt;0,Main!BD29,"")</f>
        <v>02-1843096-7</v>
      </c>
      <c r="T28" s="259" t="str">
        <f>IF(Main!AX29&gt;0,Main!AX29,"")</f>
        <v>922-596-660</v>
      </c>
      <c r="U28" s="259" t="str">
        <f>IF(Main!BH29&gt;0,Main!BH29,"")</f>
        <v>06-050054690-8</v>
      </c>
      <c r="V28" s="268" t="str">
        <f>IF(Main!BF29&gt;0,Main!BF29,"")</f>
        <v>1090-0142-8449</v>
      </c>
      <c r="W28" s="263">
        <f>IF(Main!BS29&gt;0,Main!BS29,"")</f>
        <v>42024</v>
      </c>
      <c r="X28" s="263">
        <f>IF(Main!BT29&gt;0,Main!BT29,"")</f>
        <v>42024</v>
      </c>
      <c r="Y28" s="263">
        <f>IF(Main!BU29&gt;0,Main!BU29,"")</f>
        <v>42024</v>
      </c>
      <c r="Z28" s="263">
        <f>IF(Main!AS29&gt;0,Main!AS29,"")</f>
        <v>42024</v>
      </c>
      <c r="AA28" s="263">
        <f>IF(Main!BJ29&gt;0,Main!BJ29,"")</f>
        <v>42038</v>
      </c>
      <c r="AB28" s="263">
        <f>IF(Main!BC29&gt;0,Main!BC29,"")</f>
        <v>42024</v>
      </c>
      <c r="AC28" s="263">
        <f>IF(Main!AW29&gt;0,Main!AW29,"")</f>
        <v>42024</v>
      </c>
      <c r="AD28" s="263">
        <f>IF(Main!BG29&gt;0,Main!BG29,"")</f>
        <v>42024</v>
      </c>
      <c r="AE28" s="263">
        <f>IF(Main!BE29&gt;0,Main!BE29,"")</f>
        <v>42025</v>
      </c>
      <c r="AF28" s="263">
        <f>IF(Main!BM29&gt;0,Main!BM29,"")</f>
        <v>42038</v>
      </c>
      <c r="AG28" s="263" t="str">
        <f>IF(Main!BN29&gt;0,Main!BN29,"")</f>
        <v/>
      </c>
      <c r="AH28" s="263" t="str">
        <f>IF(Main!BO29&gt;0,Main!BO29,"")</f>
        <v/>
      </c>
      <c r="AI28" s="263">
        <f>IF(Main!BR29&gt;0,Main!BR29,"")</f>
        <v>42025</v>
      </c>
      <c r="AJ28" s="263">
        <f>IF(Main!BQ29&gt;0,Main!BQ29,"")</f>
        <v>42025</v>
      </c>
      <c r="AK28" s="263">
        <f>IF(Main!AV29&gt;0,Main!AV29,"")</f>
        <v>42024</v>
      </c>
      <c r="AL28" s="263">
        <f>IF(Main!AU29&gt;0,Main!AU29,"")</f>
        <v>42024</v>
      </c>
      <c r="AM28" s="263">
        <f>IF(Main!AT29&gt;0,Main!AT29,"")</f>
        <v>42024</v>
      </c>
      <c r="AN28" s="259" t="str">
        <f>Main!BW29</f>
        <v xml:space="preserve">1905 1/23/2015, 2305 1/23/2015, MDR 1/24/2015, </v>
      </c>
    </row>
    <row r="29" spans="1:40" x14ac:dyDescent="0.25">
      <c r="A29" s="258">
        <f>Main!C30</f>
        <v>1082246</v>
      </c>
      <c r="B29" s="259" t="str">
        <f>Main!D30</f>
        <v>Urdabe, Gayzle</v>
      </c>
      <c r="C29" s="259" t="str">
        <f>Main!AH30</f>
        <v>Probationary</v>
      </c>
      <c r="D29" s="260">
        <f>Main!B30</f>
        <v>42023</v>
      </c>
      <c r="E29" s="260" t="str">
        <f>IF(Main!AI30&lt;1,"",Main!AI30)</f>
        <v/>
      </c>
      <c r="F29" s="260" t="str">
        <f>IF(Main!AJ30&lt;1,"",Main!AJ30)</f>
        <v/>
      </c>
      <c r="G29" s="260" t="str">
        <f>IF(Main!AK30&lt;1,"",Main!AK30)</f>
        <v/>
      </c>
      <c r="H29" s="259" t="str">
        <f>Main!Y30</f>
        <v>Senior Recruiter</v>
      </c>
      <c r="I29" s="259" t="str">
        <f>Main!Z30</f>
        <v>Level 2</v>
      </c>
      <c r="J29" s="259">
        <f>IF(Main!A30&lt;1,"",Main!A30)</f>
        <v>180</v>
      </c>
      <c r="K29" s="260">
        <f>IF(Main!AN30&gt;0,Main!AN30,"")</f>
        <v>30033</v>
      </c>
      <c r="L29" s="258" t="str">
        <f>IF(Main!Q30&gt;0,Main!Q30,"")</f>
        <v/>
      </c>
      <c r="M29" s="410">
        <f>VALUE(IF(Main!S30&gt;0,Main!S30,""))</f>
        <v>9159472039</v>
      </c>
      <c r="N29" s="261" t="str">
        <f>Main!T30</f>
        <v/>
      </c>
      <c r="O29" s="258" t="str">
        <f>IF(Main!AO30&gt;0,Main!AO30,"")</f>
        <v/>
      </c>
      <c r="P29" s="258" t="str">
        <f>IF(Main!AP30&gt;0,Main!AP30,"")</f>
        <v/>
      </c>
      <c r="Q29" s="258" t="str">
        <f>IF(Main!AR30&gt;0,Main!AR30,"")</f>
        <v/>
      </c>
      <c r="R29" s="259" t="str">
        <f>IF(Main!AQ30&gt;0,Main!AQ30,"")</f>
        <v>Female</v>
      </c>
      <c r="S29" s="259" t="str">
        <f>IF(Main!BD30&gt;0,Main!BD30,"")</f>
        <v/>
      </c>
      <c r="T29" s="259" t="str">
        <f>IF(Main!AX30&gt;0,Main!AX30,"")</f>
        <v/>
      </c>
      <c r="U29" s="259" t="str">
        <f>IF(Main!BH30&gt;0,Main!BH30,"")</f>
        <v/>
      </c>
      <c r="V29" s="268" t="str">
        <f>IF(Main!BF30&gt;0,Main!BF30,"")</f>
        <v/>
      </c>
      <c r="W29" s="263" t="str">
        <f>IF(Main!BS30&gt;0,Main!BS30,"")</f>
        <v/>
      </c>
      <c r="X29" s="263" t="str">
        <f>IF(Main!BT30&gt;0,Main!BT30,"")</f>
        <v/>
      </c>
      <c r="Y29" s="263" t="str">
        <f>IF(Main!BU30&gt;0,Main!BU30,"")</f>
        <v/>
      </c>
      <c r="Z29" s="263" t="str">
        <f>IF(Main!AS30&gt;0,Main!AS30,"")</f>
        <v/>
      </c>
      <c r="AA29" s="263" t="str">
        <f>IF(Main!BJ30&gt;0,Main!BJ30,"")</f>
        <v/>
      </c>
      <c r="AB29" s="263" t="str">
        <f>IF(Main!BC30&gt;0,Main!BC30,"")</f>
        <v/>
      </c>
      <c r="AC29" s="263" t="str">
        <f>IF(Main!AW30&gt;0,Main!AW30,"")</f>
        <v/>
      </c>
      <c r="AD29" s="263" t="str">
        <f>IF(Main!BG30&gt;0,Main!BG30,"")</f>
        <v/>
      </c>
      <c r="AE29" s="263" t="str">
        <f>IF(Main!BE30&gt;0,Main!BE30,"")</f>
        <v/>
      </c>
      <c r="AF29" s="263" t="str">
        <f>IF(Main!BM30&gt;0,Main!BM30,"")</f>
        <v/>
      </c>
      <c r="AG29" s="263" t="str">
        <f>IF(Main!BN30&gt;0,Main!BN30,"")</f>
        <v/>
      </c>
      <c r="AH29" s="263" t="str">
        <f>IF(Main!BO30&gt;0,Main!BO30,"")</f>
        <v/>
      </c>
      <c r="AI29" s="263" t="str">
        <f>IF(Main!BR30&gt;0,Main!BR30,"")</f>
        <v/>
      </c>
      <c r="AJ29" s="263" t="str">
        <f>IF(Main!BQ30&gt;0,Main!BQ30,"")</f>
        <v/>
      </c>
      <c r="AK29" s="263" t="str">
        <f>IF(Main!AV30&gt;0,Main!AV30,"")</f>
        <v/>
      </c>
      <c r="AL29" s="263" t="str">
        <f>IF(Main!AU30&gt;0,Main!AU30,"")</f>
        <v/>
      </c>
      <c r="AM29" s="263" t="str">
        <f>IF(Main!AT30&gt;0,Main!AT30,"")</f>
        <v/>
      </c>
      <c r="AN29" s="259" t="str">
        <f>Main!BW30</f>
        <v/>
      </c>
    </row>
    <row r="30" spans="1:40" x14ac:dyDescent="0.25">
      <c r="A30" s="258">
        <f>Main!C31</f>
        <v>1082247</v>
      </c>
      <c r="B30" s="259" t="str">
        <f>Main!D31</f>
        <v>REGALADO, Voltaire John Celles</v>
      </c>
      <c r="C30" s="259" t="str">
        <f>Main!AH31</f>
        <v>Probationary</v>
      </c>
      <c r="D30" s="260">
        <f>Main!B31</f>
        <v>42023</v>
      </c>
      <c r="E30" s="260" t="str">
        <f>IF(Main!AI31&lt;1,"",Main!AI31)</f>
        <v/>
      </c>
      <c r="F30" s="260" t="str">
        <f>IF(Main!AJ31&lt;1,"",Main!AJ31)</f>
        <v/>
      </c>
      <c r="G30" s="260" t="str">
        <f>IF(Main!AK31&lt;1,"",Main!AK31)</f>
        <v/>
      </c>
      <c r="H30" s="259" t="str">
        <f>Main!Y31</f>
        <v>Communication and Culture Trainer</v>
      </c>
      <c r="I30" s="259" t="str">
        <f>Main!Z31</f>
        <v>N/A</v>
      </c>
      <c r="J30" s="259">
        <f>IF(Main!A31&lt;1,"",Main!A31)</f>
        <v>180</v>
      </c>
      <c r="K30" s="260">
        <f>IF(Main!AN31&gt;0,Main!AN31,"")</f>
        <v>30750</v>
      </c>
      <c r="L30" s="258" t="str">
        <f>IF(Main!Q31&gt;0,Main!Q31,"")</f>
        <v>wasabesyrup@gmail.com</v>
      </c>
      <c r="M30" s="410">
        <f>VALUE(IF(Main!S31&gt;0,Main!S31,""))</f>
        <v>9179198486</v>
      </c>
      <c r="N30" s="261" t="str">
        <f>Main!T31</f>
        <v/>
      </c>
      <c r="O30" s="258" t="str">
        <f>IF(Main!AO31&gt;0,Main!AO31,"")</f>
        <v>56 Celso T. Catambay Street Barangay Mag-Ampon, Tanay, Rizal 1980</v>
      </c>
      <c r="P30" s="258" t="str">
        <f>IF(Main!AP31&gt;0,Main!AP31,"")</f>
        <v/>
      </c>
      <c r="Q30" s="258" t="str">
        <f>IF(Main!AR31&gt;0,Main!AR31,"")</f>
        <v>Single</v>
      </c>
      <c r="R30" s="259" t="str">
        <f>IF(Main!AQ31&gt;0,Main!AQ31,"")</f>
        <v>Male</v>
      </c>
      <c r="S30" s="259" t="str">
        <f>IF(Main!BD31&gt;0,Main!BD31,"")</f>
        <v>33-7797305-8</v>
      </c>
      <c r="T30" s="259" t="str">
        <f>IF(Main!AX31&gt;0,Main!AX31,"")</f>
        <v>220-753-412</v>
      </c>
      <c r="U30" s="259" t="str">
        <f>IF(Main!BH31&gt;0,Main!BH31,"")</f>
        <v>01-050219039-9</v>
      </c>
      <c r="V30" s="268" t="str">
        <f>IF(Main!BF31&gt;0,Main!BF31,"")</f>
        <v>1020-0108-7641</v>
      </c>
      <c r="W30" s="263">
        <f>IF(Main!BS31&gt;0,Main!BS31,"")</f>
        <v>42023</v>
      </c>
      <c r="X30" s="263" t="str">
        <f>IF(Main!BT31&gt;0,Main!BT31,"")</f>
        <v/>
      </c>
      <c r="Y30" s="263">
        <f>IF(Main!BU31&gt;0,Main!BU31,"")</f>
        <v>42024</v>
      </c>
      <c r="Z30" s="263">
        <f>IF(Main!AS31&gt;0,Main!AS31,"")</f>
        <v>42026</v>
      </c>
      <c r="AA30" s="263">
        <f>IF(Main!BJ31&gt;0,Main!BJ31,"")</f>
        <v>42068</v>
      </c>
      <c r="AB30" s="263">
        <f>IF(Main!BC31&gt;0,Main!BC31,"")</f>
        <v>42024</v>
      </c>
      <c r="AC30" s="263">
        <f>IF(Main!AW31&gt;0,Main!AW31,"")</f>
        <v>42026</v>
      </c>
      <c r="AD30" s="263">
        <f>IF(Main!BG31&gt;0,Main!BG31,"")</f>
        <v>42024</v>
      </c>
      <c r="AE30" s="263">
        <f>IF(Main!BE31&gt;0,Main!BE31,"")</f>
        <v>42046</v>
      </c>
      <c r="AF30" s="263">
        <f>IF(Main!BM31&gt;0,Main!BM31,"")</f>
        <v>42039</v>
      </c>
      <c r="AG30" s="263" t="str">
        <f>IF(Main!BN31&gt;0,Main!BN31,"")</f>
        <v/>
      </c>
      <c r="AH30" s="263" t="str">
        <f>IF(Main!BO31&gt;0,Main!BO31,"")</f>
        <v/>
      </c>
      <c r="AI30" s="263">
        <f>IF(Main!BR31&gt;0,Main!BR31,"")</f>
        <v>42081</v>
      </c>
      <c r="AJ30" s="263" t="str">
        <f>IF(Main!BQ31&gt;0,Main!BQ31,"")</f>
        <v/>
      </c>
      <c r="AK30" s="263">
        <f>IF(Main!AV31&gt;0,Main!AV31,"")</f>
        <v>42026</v>
      </c>
      <c r="AL30" s="263">
        <f>IF(Main!AU31&gt;0,Main!AU31,"")</f>
        <v>42026</v>
      </c>
      <c r="AM30" s="263">
        <f>IF(Main!AT31&gt;0,Main!AT31,"")</f>
        <v>42026</v>
      </c>
      <c r="AN30" s="259" t="str">
        <f>Main!BW31</f>
        <v xml:space="preserve">1905 2/24/2015, 2305 1/22/2015, MDR 3/18/2015, NBI receipt 2/26/2015, </v>
      </c>
    </row>
    <row r="31" spans="1:40" s="265" customFormat="1" ht="15.75" thickBot="1" x14ac:dyDescent="0.3">
      <c r="A31" s="258">
        <f>Main!C32</f>
        <v>1082248</v>
      </c>
      <c r="B31" s="259" t="str">
        <f>Main!D32</f>
        <v>DOQUENIA, Veronica Cheng</v>
      </c>
      <c r="C31" s="259" t="str">
        <f>Main!AH32</f>
        <v>Probationary</v>
      </c>
      <c r="D31" s="260">
        <f>Main!B32</f>
        <v>42023</v>
      </c>
      <c r="E31" s="260" t="str">
        <f>IF(Main!AI32&lt;1,"",Main!AI32)</f>
        <v/>
      </c>
      <c r="F31" s="260" t="str">
        <f>IF(Main!AJ32&lt;1,"",Main!AJ32)</f>
        <v/>
      </c>
      <c r="G31" s="260" t="str">
        <f>IF(Main!AK32&lt;1,"",Main!AK32)</f>
        <v/>
      </c>
      <c r="H31" s="259" t="str">
        <f>Main!Y32</f>
        <v>Senior Recruiter</v>
      </c>
      <c r="I31" s="259" t="str">
        <f>Main!Z32</f>
        <v>Level 1</v>
      </c>
      <c r="J31" s="259">
        <f>IF(Main!A32&lt;1,"",Main!A32)</f>
        <v>180</v>
      </c>
      <c r="K31" s="260">
        <f>IF(Main!AN32&gt;0,Main!AN32,"")</f>
        <v>33829</v>
      </c>
      <c r="L31" s="258" t="str">
        <f>IF(Main!Q32&gt;0,Main!Q32,"")</f>
        <v>veronica_0823@yahoo.com</v>
      </c>
      <c r="M31" s="410">
        <f>VALUE(IF(Main!S32&gt;0,Main!S32,""))</f>
        <v>9155771488</v>
      </c>
      <c r="N31" s="261" t="str">
        <f>Main!T32</f>
        <v/>
      </c>
      <c r="O31" s="258" t="str">
        <f>IF(Main!AO32&gt;0,Main!AO32,"")</f>
        <v>Block 2 Lot 4 Sapphire St. palmera Homes 2 , Taytay, Rizal</v>
      </c>
      <c r="P31" s="258" t="str">
        <f>IF(Main!AP32&gt;0,Main!AP32,"")</f>
        <v/>
      </c>
      <c r="Q31" s="258" t="str">
        <f>IF(Main!AR32&gt;0,Main!AR32,"")</f>
        <v/>
      </c>
      <c r="R31" s="259" t="str">
        <f>IF(Main!AQ32&gt;0,Main!AQ32,"")</f>
        <v>Female</v>
      </c>
      <c r="S31" s="259" t="str">
        <f>IF(Main!BD32&gt;0,Main!BD32,"")</f>
        <v>34-2772583-9</v>
      </c>
      <c r="T31" s="259" t="str">
        <f>IF(Main!AX32&gt;0,Main!AX32,"")</f>
        <v>312-150-086</v>
      </c>
      <c r="U31" s="259" t="str">
        <f>IF(Main!BH32&gt;0,Main!BH32,"")</f>
        <v>01-051436271-3</v>
      </c>
      <c r="V31" s="268" t="str">
        <f>IF(Main!BF32&gt;0,Main!BF32,"")</f>
        <v>1210-6828-5117</v>
      </c>
      <c r="W31" s="263">
        <f>IF(Main!BS32&gt;0,Main!BS32,"")</f>
        <v>42024</v>
      </c>
      <c r="X31" s="263">
        <f>IF(Main!BT32&gt;0,Main!BT32,"")</f>
        <v>42024</v>
      </c>
      <c r="Y31" s="263">
        <f>IF(Main!BU32&gt;0,Main!BU32,"")</f>
        <v>42024</v>
      </c>
      <c r="Z31" s="263">
        <f>IF(Main!AS32&gt;0,Main!AS32,"")</f>
        <v>42024</v>
      </c>
      <c r="AA31" s="263">
        <f>IF(Main!BJ32&gt;0,Main!BJ32,"")</f>
        <v>42026</v>
      </c>
      <c r="AB31" s="263">
        <f>IF(Main!BC32&gt;0,Main!BC32,"")</f>
        <v>42024</v>
      </c>
      <c r="AC31" s="263">
        <f>IF(Main!AW32&gt;0,Main!AW32,"")</f>
        <v>42024</v>
      </c>
      <c r="AD31" s="263">
        <f>IF(Main!BG32&gt;0,Main!BG32,"")</f>
        <v>42024</v>
      </c>
      <c r="AE31" s="263">
        <f>IF(Main!BE32&gt;0,Main!BE32,"")</f>
        <v>42024</v>
      </c>
      <c r="AF31" s="263">
        <f>IF(Main!BM32&gt;0,Main!BM32,"")</f>
        <v>42024</v>
      </c>
      <c r="AG31" s="263" t="str">
        <f>IF(Main!BN32&gt;0,Main!BN32,"")</f>
        <v/>
      </c>
      <c r="AH31" s="263" t="str">
        <f>IF(Main!BO32&gt;0,Main!BO32,"")</f>
        <v/>
      </c>
      <c r="AI31" s="263">
        <f>IF(Main!BR32&gt;0,Main!BR32,"")</f>
        <v>42024</v>
      </c>
      <c r="AJ31" s="263">
        <f>IF(Main!BQ32&gt;0,Main!BQ32,"")</f>
        <v>42024</v>
      </c>
      <c r="AK31" s="263">
        <f>IF(Main!AV32&gt;0,Main!AV32,"")</f>
        <v>42024</v>
      </c>
      <c r="AL31" s="263">
        <f>IF(Main!AU32&gt;0,Main!AU32,"")</f>
        <v>42024</v>
      </c>
      <c r="AM31" s="263">
        <f>IF(Main!AT32&gt;0,Main!AT32,"")</f>
        <v>42024</v>
      </c>
      <c r="AN31" s="259" t="str">
        <f>Main!BW32</f>
        <v xml:space="preserve">1905 1/23/2015, 2305 1/21/2015, MDR 1/20/2015, </v>
      </c>
    </row>
    <row r="32" spans="1:40" s="266" customFormat="1" ht="16.5" thickTop="1" thickBot="1" x14ac:dyDescent="0.3">
      <c r="A32" s="258">
        <f>Main!C33</f>
        <v>1082249</v>
      </c>
      <c r="B32" s="259" t="str">
        <f>Main!D33</f>
        <v>PITTS, Joseph</v>
      </c>
      <c r="C32" s="259" t="str">
        <f>Main!AH33</f>
        <v>Probationary</v>
      </c>
      <c r="D32" s="260">
        <f>Main!B33</f>
        <v>42031</v>
      </c>
      <c r="E32" s="260" t="str">
        <f>IF(Main!AI33&lt;1,"",Main!AI33)</f>
        <v/>
      </c>
      <c r="F32" s="260" t="str">
        <f>IF(Main!AJ33&lt;1,"",Main!AJ33)</f>
        <v/>
      </c>
      <c r="G32" s="260" t="str">
        <f>IF(Main!AK33&lt;1,"",Main!AK33)</f>
        <v/>
      </c>
      <c r="H32" s="259" t="str">
        <f>Main!Y33</f>
        <v/>
      </c>
      <c r="I32" s="259" t="str">
        <f>Main!Z33</f>
        <v/>
      </c>
      <c r="J32" s="259">
        <f>IF(Main!A33&lt;1,"",Main!A33)</f>
        <v>181</v>
      </c>
      <c r="K32" s="260" t="str">
        <f>IF(Main!AN33&gt;0,Main!AN33,"")</f>
        <v/>
      </c>
      <c r="L32" s="258" t="str">
        <f>IF(Main!Q33&gt;0,Main!Q33,"")</f>
        <v/>
      </c>
      <c r="M32" s="410"/>
      <c r="N32" s="261" t="str">
        <f>Main!T33</f>
        <v/>
      </c>
      <c r="O32" s="258" t="str">
        <f>IF(Main!AO33&gt;0,Main!AO33,"")</f>
        <v/>
      </c>
      <c r="P32" s="258" t="str">
        <f>IF(Main!AP33&gt;0,Main!AP33,"")</f>
        <v/>
      </c>
      <c r="Q32" s="258" t="str">
        <f>IF(Main!AR33&gt;0,Main!AR33,"")</f>
        <v/>
      </c>
      <c r="R32" s="259" t="str">
        <f>IF(Main!AQ33&gt;0,Main!AQ33,"")</f>
        <v/>
      </c>
      <c r="S32" s="259" t="str">
        <f>IF(Main!BD33&gt;0,Main!BD33,"")</f>
        <v/>
      </c>
      <c r="T32" s="259" t="str">
        <f>IF(Main!AX33&gt;0,Main!AX33,"")</f>
        <v/>
      </c>
      <c r="U32" s="259" t="str">
        <f>IF(Main!BH33&gt;0,Main!BH33,"")</f>
        <v/>
      </c>
      <c r="V32" s="268" t="str">
        <f>IF(Main!BF33&gt;0,Main!BF33,"")</f>
        <v/>
      </c>
      <c r="W32" s="263" t="str">
        <f>IF(Main!BS33&gt;0,Main!BS33,"")</f>
        <v/>
      </c>
      <c r="X32" s="263" t="str">
        <f>IF(Main!BT33&gt;0,Main!BT33,"")</f>
        <v/>
      </c>
      <c r="Y32" s="263" t="str">
        <f>IF(Main!BU33&gt;0,Main!BU33,"")</f>
        <v/>
      </c>
      <c r="Z32" s="263" t="str">
        <f>IF(Main!AS33&gt;0,Main!AS33,"")</f>
        <v/>
      </c>
      <c r="AA32" s="263" t="str">
        <f>IF(Main!BJ33&gt;0,Main!BJ33,"")</f>
        <v/>
      </c>
      <c r="AB32" s="263" t="str">
        <f>IF(Main!BC33&gt;0,Main!BC33,"")</f>
        <v/>
      </c>
      <c r="AC32" s="263" t="str">
        <f>IF(Main!AW33&gt;0,Main!AW33,"")</f>
        <v/>
      </c>
      <c r="AD32" s="263" t="str">
        <f>IF(Main!BG33&gt;0,Main!BG33,"")</f>
        <v/>
      </c>
      <c r="AE32" s="263" t="str">
        <f>IF(Main!BE33&gt;0,Main!BE33,"")</f>
        <v/>
      </c>
      <c r="AF32" s="263" t="str">
        <f>IF(Main!BM33&gt;0,Main!BM33,"")</f>
        <v/>
      </c>
      <c r="AG32" s="263" t="str">
        <f>IF(Main!BN33&gt;0,Main!BN33,"")</f>
        <v/>
      </c>
      <c r="AH32" s="263" t="str">
        <f>IF(Main!BO33&gt;0,Main!BO33,"")</f>
        <v/>
      </c>
      <c r="AI32" s="263" t="str">
        <f>IF(Main!BR33&gt;0,Main!BR33,"")</f>
        <v/>
      </c>
      <c r="AJ32" s="263" t="str">
        <f>IF(Main!BQ33&gt;0,Main!BQ33,"")</f>
        <v/>
      </c>
      <c r="AK32" s="263" t="str">
        <f>IF(Main!AV33&gt;0,Main!AV33,"")</f>
        <v/>
      </c>
      <c r="AL32" s="263" t="str">
        <f>IF(Main!AU33&gt;0,Main!AU33,"")</f>
        <v/>
      </c>
      <c r="AM32" s="263" t="str">
        <f>IF(Main!AT33&gt;0,Main!AT33,"")</f>
        <v/>
      </c>
      <c r="AN32" s="259" t="str">
        <f>Main!BW33</f>
        <v/>
      </c>
    </row>
    <row r="33" spans="1:40" ht="15.75" thickTop="1" x14ac:dyDescent="0.25">
      <c r="A33" s="258">
        <f>Main!C34</f>
        <v>1082250</v>
      </c>
      <c r="B33" s="259" t="str">
        <f>Main!D34</f>
        <v>YCASAS, Phoebus Apollo Manuel</v>
      </c>
      <c r="C33" s="259" t="str">
        <f>Main!AH34</f>
        <v>Probationary</v>
      </c>
      <c r="D33" s="260">
        <f>Main!B34</f>
        <v>42031</v>
      </c>
      <c r="E33" s="260" t="str">
        <f>IF(Main!AI34&lt;1,"",Main!AI34)</f>
        <v>ERP</v>
      </c>
      <c r="F33" s="260" t="str">
        <f>IF(Main!AJ34&lt;1,"",Main!AJ34)</f>
        <v/>
      </c>
      <c r="G33" s="260" t="str">
        <f>IF(Main!AK34&lt;1,"",Main!AK34)</f>
        <v/>
      </c>
      <c r="H33" s="259" t="str">
        <f>Main!Y34</f>
        <v>Internal Recruiter</v>
      </c>
      <c r="I33" s="259" t="str">
        <f>Main!Z34</f>
        <v>N/A</v>
      </c>
      <c r="J33" s="259">
        <f>IF(Main!A34&lt;1,"",Main!A34)</f>
        <v>181</v>
      </c>
      <c r="K33" s="260">
        <f>IF(Main!AN34&gt;0,Main!AN34,"")</f>
        <v>33046</v>
      </c>
      <c r="L33" s="258" t="str">
        <f>IF(Main!Q34&gt;0,Main!Q34,"")</f>
        <v>apollo.ycasas@yahoo.com</v>
      </c>
      <c r="M33" s="410">
        <f>VALUE(IF(Main!S34&gt;0,Main!S34,""))</f>
        <v>9055254072</v>
      </c>
      <c r="N33" s="261" t="str">
        <f>Main!T34</f>
        <v/>
      </c>
      <c r="O33" s="258" t="str">
        <f>IF(Main!AO34&gt;0,Main!AO34,"")</f>
        <v>180 San Pedro St., Hermosa, Bataan City</v>
      </c>
      <c r="P33" s="258" t="str">
        <f>IF(Main!AP34&gt;0,Main!AP34,"")</f>
        <v>180 San Pedro St., Hermosa, Bataan City</v>
      </c>
      <c r="Q33" s="258" t="str">
        <f>IF(Main!AR34&gt;0,Main!AR34,"")</f>
        <v>Single</v>
      </c>
      <c r="R33" s="259" t="str">
        <f>IF(Main!AQ34&gt;0,Main!AQ34,"")</f>
        <v>Male</v>
      </c>
      <c r="S33" s="259" t="str">
        <f>IF(Main!BD34&gt;0,Main!BD34,"")</f>
        <v>02-2540787-3</v>
      </c>
      <c r="T33" s="259" t="str">
        <f>IF(Main!AX34&gt;0,Main!AX34,"")</f>
        <v>309-658-375</v>
      </c>
      <c r="U33" s="259" t="str">
        <f>IF(Main!BH34&gt;0,Main!BH34,"")</f>
        <v>01-025388275-7</v>
      </c>
      <c r="V33" s="268" t="str">
        <f>IF(Main!BF34&gt;0,Main!BF34,"")</f>
        <v>1211-3859-4198</v>
      </c>
      <c r="W33" s="263">
        <f>IF(Main!BS34&gt;0,Main!BS34,"")</f>
        <v>42030</v>
      </c>
      <c r="X33" s="263">
        <f>IF(Main!BT34&gt;0,Main!BT34,"")</f>
        <v>42030</v>
      </c>
      <c r="Y33" s="263">
        <f>IF(Main!BU34&gt;0,Main!BU34,"")</f>
        <v>42030</v>
      </c>
      <c r="Z33" s="263">
        <f>IF(Main!AS34&gt;0,Main!AS34,"")</f>
        <v>42059</v>
      </c>
      <c r="AA33" s="263">
        <f>IF(Main!BJ34&gt;0,Main!BJ34,"")</f>
        <v>42065</v>
      </c>
      <c r="AB33" s="263">
        <f>IF(Main!BC34&gt;0,Main!BC34,"")</f>
        <v>42059</v>
      </c>
      <c r="AC33" s="263">
        <f>IF(Main!AW34&gt;0,Main!AW34,"")</f>
        <v>42046</v>
      </c>
      <c r="AD33" s="263">
        <f>IF(Main!BG34&gt;0,Main!BG34,"")</f>
        <v>42047</v>
      </c>
      <c r="AE33" s="263">
        <f>IF(Main!BE34&gt;0,Main!BE34,"")</f>
        <v>42060</v>
      </c>
      <c r="AF33" s="263">
        <f>IF(Main!BM34&gt;0,Main!BM34,"")</f>
        <v>42059</v>
      </c>
      <c r="AG33" s="263" t="str">
        <f>IF(Main!BN34&gt;0,Main!BN34,"")</f>
        <v/>
      </c>
      <c r="AH33" s="263" t="str">
        <f>IF(Main!BO34&gt;0,Main!BO34,"")</f>
        <v/>
      </c>
      <c r="AI33" s="263" t="str">
        <f>IF(Main!BR34&gt;0,Main!BR34,"")</f>
        <v/>
      </c>
      <c r="AJ33" s="263">
        <f>IF(Main!BQ34&gt;0,Main!BQ34,"")</f>
        <v>42059</v>
      </c>
      <c r="AK33" s="263">
        <f>IF(Main!AV34&gt;0,Main!AV34,"")</f>
        <v>42047</v>
      </c>
      <c r="AL33" s="263">
        <f>IF(Main!AU34&gt;0,Main!AU34,"")</f>
        <v>42047</v>
      </c>
      <c r="AM33" s="263">
        <f>IF(Main!AT34&gt;0,Main!AT34,"")</f>
        <v>42047</v>
      </c>
      <c r="AN33" s="259" t="str">
        <f>Main!BW34</f>
        <v xml:space="preserve">2305 2/9/2015, NBI receipt 2/25/2015, </v>
      </c>
    </row>
    <row r="34" spans="1:40" x14ac:dyDescent="0.25">
      <c r="A34" s="258">
        <f>Main!C35</f>
        <v>1082251</v>
      </c>
      <c r="B34" s="259" t="str">
        <f>Main!D35</f>
        <v>ROGELIO, Earl Nazario</v>
      </c>
      <c r="C34" s="259" t="str">
        <f>Main!AH35</f>
        <v>Probationary</v>
      </c>
      <c r="D34" s="260">
        <f>Main!B35</f>
        <v>42031</v>
      </c>
      <c r="E34" s="260" t="str">
        <f>IF(Main!AI35&lt;1,"",Main!AI35)</f>
        <v>Jobstreet</v>
      </c>
      <c r="F34" s="260" t="str">
        <f>IF(Main!AJ35&lt;1,"",Main!AJ35)</f>
        <v/>
      </c>
      <c r="G34" s="260" t="str">
        <f>IF(Main!AK35&lt;1,"",Main!AK35)</f>
        <v/>
      </c>
      <c r="H34" s="259" t="str">
        <f>Main!Y35</f>
        <v>HR Generalist</v>
      </c>
      <c r="I34" s="259" t="str">
        <f>Main!Z35</f>
        <v>N/A</v>
      </c>
      <c r="J34" s="259">
        <f>IF(Main!A35&lt;1,"",Main!A35)</f>
        <v>181</v>
      </c>
      <c r="K34" s="260">
        <f>IF(Main!AN35&gt;0,Main!AN35,"")</f>
        <v>30043</v>
      </c>
      <c r="L34" s="258" t="str">
        <f>IF(Main!Q35&gt;0,Main!Q35,"")</f>
        <v>navigator_earl@yahoo.com</v>
      </c>
      <c r="M34" s="410">
        <f>VALUE(IF(Main!S35&gt;0,Main!S35,""))</f>
        <v>9985398034</v>
      </c>
      <c r="N34" s="261" t="str">
        <f>Main!T35</f>
        <v/>
      </c>
      <c r="O34" s="258" t="str">
        <f>IF(Main!AO35&gt;0,Main!AO35,"")</f>
        <v>#1 National Rd. Country Homes Putatan Munitnlupa City</v>
      </c>
      <c r="P34" s="258" t="str">
        <f>IF(Main!AP35&gt;0,Main!AP35,"")</f>
        <v/>
      </c>
      <c r="Q34" s="258" t="str">
        <f>IF(Main!AR35&gt;0,Main!AR35,"")</f>
        <v/>
      </c>
      <c r="R34" s="259" t="str">
        <f>IF(Main!AQ35&gt;0,Main!AQ35,"")</f>
        <v>Male</v>
      </c>
      <c r="S34" s="259" t="str">
        <f>IF(Main!BD35&gt;0,Main!BD35,"")</f>
        <v>33-8364165-9</v>
      </c>
      <c r="T34" s="259" t="str">
        <f>IF(Main!AX35&gt;0,Main!AX35,"")</f>
        <v>239-205-342</v>
      </c>
      <c r="U34" s="259" t="str">
        <f>IF(Main!BH35&gt;0,Main!BH35,"")</f>
        <v>01-050125479-2</v>
      </c>
      <c r="V34" s="268" t="str">
        <f>IF(Main!BF35&gt;0,Main!BF35,"")</f>
        <v>1470-0014-4966</v>
      </c>
      <c r="W34" s="263">
        <f>IF(Main!BS35&gt;0,Main!BS35,"")</f>
        <v>42030</v>
      </c>
      <c r="X34" s="263">
        <f>IF(Main!BT35&gt;0,Main!BT35,"")</f>
        <v>42030</v>
      </c>
      <c r="Y34" s="263">
        <f>IF(Main!BU35&gt;0,Main!BU35,"")</f>
        <v>42030</v>
      </c>
      <c r="Z34" s="263">
        <f>IF(Main!AS35&gt;0,Main!AS35,"")</f>
        <v>42031</v>
      </c>
      <c r="AA34" s="263">
        <f>IF(Main!BJ35&gt;0,Main!BJ35,"")</f>
        <v>42087</v>
      </c>
      <c r="AB34" s="263">
        <f>IF(Main!BC35&gt;0,Main!BC35,"")</f>
        <v>42034</v>
      </c>
      <c r="AC34" s="263">
        <f>IF(Main!AW35&gt;0,Main!AW35,"")</f>
        <v>42044</v>
      </c>
      <c r="AD34" s="263">
        <f>IF(Main!BG35&gt;0,Main!BG35,"")</f>
        <v>42045</v>
      </c>
      <c r="AE34" s="263">
        <f>IF(Main!BE35&gt;0,Main!BE35,"")</f>
        <v>42045</v>
      </c>
      <c r="AF34" s="263">
        <f>IF(Main!BM35&gt;0,Main!BM35,"")</f>
        <v>42034</v>
      </c>
      <c r="AG34" s="263">
        <f>IF(Main!BN35&gt;0,Main!BN35,"")</f>
        <v>42045</v>
      </c>
      <c r="AH34" s="263" t="str">
        <f>IF(Main!BO35&gt;0,Main!BO35,"")</f>
        <v/>
      </c>
      <c r="AI34" s="263" t="str">
        <f>IF(Main!BR35&gt;0,Main!BR35,"")</f>
        <v/>
      </c>
      <c r="AJ34" s="263">
        <f>IF(Main!BQ35&gt;0,Main!BQ35,"")</f>
        <v>42034</v>
      </c>
      <c r="AK34" s="263">
        <f>IF(Main!AV35&gt;0,Main!AV35,"")</f>
        <v>42031</v>
      </c>
      <c r="AL34" s="263">
        <f>IF(Main!AU35&gt;0,Main!AU35,"")</f>
        <v>42031</v>
      </c>
      <c r="AM34" s="263">
        <f>IF(Main!AT35&gt;0,Main!AT35,"")</f>
        <v>42031</v>
      </c>
      <c r="AN34" s="259" t="str">
        <f>Main!BW35</f>
        <v xml:space="preserve">1905 3/10/2015, 2305 1/30/2015, </v>
      </c>
    </row>
    <row r="35" spans="1:40" x14ac:dyDescent="0.25">
      <c r="A35" s="258">
        <f>Main!C36</f>
        <v>1082252</v>
      </c>
      <c r="B35" s="259" t="str">
        <f>Main!D36</f>
        <v>ASPI Jr., Melanio Primavera</v>
      </c>
      <c r="C35" s="259" t="str">
        <f>Main!AH36</f>
        <v>Probationary</v>
      </c>
      <c r="D35" s="260">
        <f>Main!B36</f>
        <v>42030</v>
      </c>
      <c r="E35" s="260" t="str">
        <f>IF(Main!AI36&lt;1,"",Main!AI36)</f>
        <v>Jobstreet</v>
      </c>
      <c r="F35" s="260" t="str">
        <f>IF(Main!AJ36&lt;1,"",Main!AJ36)</f>
        <v/>
      </c>
      <c r="G35" s="260" t="str">
        <f>IF(Main!AK36&lt;1,"",Main!AK36)</f>
        <v/>
      </c>
      <c r="H35" s="259" t="str">
        <f>Main!Y36</f>
        <v>Sr. Recruiter</v>
      </c>
      <c r="I35" s="259" t="str">
        <f>Main!Z36</f>
        <v>Level 2</v>
      </c>
      <c r="J35" s="259">
        <f>IF(Main!A36&lt;1,"",Main!A36)</f>
        <v>181</v>
      </c>
      <c r="K35" s="260">
        <f>IF(Main!AN36&gt;0,Main!AN36,"")</f>
        <v>30980</v>
      </c>
      <c r="L35" s="258" t="str">
        <f>IF(Main!Q36&gt;0,Main!Q36,"")</f>
        <v>melanio.primavera.aspi@gmail.com</v>
      </c>
      <c r="M35" s="410">
        <f>VALUE(IF(Main!S36&gt;0,Main!S36,""))</f>
        <v>9175868202</v>
      </c>
      <c r="N35" s="261" t="str">
        <f>Main!T36</f>
        <v/>
      </c>
      <c r="O35" s="258" t="str">
        <f>IF(Main!AO36&gt;0,Main!AO36,"")</f>
        <v>1131 Vergara St. Quiapo, Manila</v>
      </c>
      <c r="P35" s="258" t="str">
        <f>IF(Main!AP36&gt;0,Main!AP36,"")</f>
        <v>1131 Vergara St. Quiapo, Manila</v>
      </c>
      <c r="Q35" s="258" t="str">
        <f>IF(Main!AR36&gt;0,Main!AR36,"")</f>
        <v>Married</v>
      </c>
      <c r="R35" s="259" t="str">
        <f>IF(Main!AQ36&gt;0,Main!AQ36,"")</f>
        <v>Male</v>
      </c>
      <c r="S35" s="259" t="str">
        <f>IF(Main!BD36&gt;0,Main!BD36,"")</f>
        <v>33-9641152-0</v>
      </c>
      <c r="T35" s="259" t="str">
        <f>IF(Main!AX36&gt;0,Main!AX36,"")</f>
        <v>239-554-463</v>
      </c>
      <c r="U35" s="259" t="str">
        <f>IF(Main!BH36&gt;0,Main!BH36,"")</f>
        <v>01-025266018-1</v>
      </c>
      <c r="V35" s="268" t="str">
        <f>IF(Main!BF36&gt;0,Main!BF36,"")</f>
        <v>1211-3601-6281</v>
      </c>
      <c r="W35" s="263">
        <f>IF(Main!BS36&gt;0,Main!BS36,"")</f>
        <v>42030</v>
      </c>
      <c r="X35" s="263">
        <f>IF(Main!BT36&gt;0,Main!BT36,"")</f>
        <v>42030</v>
      </c>
      <c r="Y35" s="263">
        <f>IF(Main!BU36&gt;0,Main!BU36,"")</f>
        <v>42030</v>
      </c>
      <c r="Z35" s="263">
        <f>IF(Main!AS36&gt;0,Main!AS36,"")</f>
        <v>42033</v>
      </c>
      <c r="AA35" s="263">
        <f>IF(Main!BJ36&gt;0,Main!BJ36,"")</f>
        <v>42028</v>
      </c>
      <c r="AB35" s="263">
        <f>IF(Main!BC36&gt;0,Main!BC36,"")</f>
        <v>42028</v>
      </c>
      <c r="AC35" s="263">
        <f>IF(Main!AW36&gt;0,Main!AW36,"")</f>
        <v>42033</v>
      </c>
      <c r="AD35" s="263">
        <f>IF(Main!BG36&gt;0,Main!BG36,"")</f>
        <v>42033</v>
      </c>
      <c r="AE35" s="263">
        <f>IF(Main!BE36&gt;0,Main!BE36,"")</f>
        <v>42034</v>
      </c>
      <c r="AF35" s="263">
        <f>IF(Main!BM36&gt;0,Main!BM36,"")</f>
        <v>42028</v>
      </c>
      <c r="AG35" s="263" t="str">
        <f>IF(Main!BN36&gt;0,Main!BN36,"")</f>
        <v/>
      </c>
      <c r="AH35" s="263">
        <f>IF(Main!BO36&gt;0,Main!BO36,"")</f>
        <v>42028</v>
      </c>
      <c r="AI35" s="263" t="str">
        <f>IF(Main!BR36&gt;0,Main!BR36,"")</f>
        <v/>
      </c>
      <c r="AJ35" s="263" t="str">
        <f>IF(Main!BQ36&gt;0,Main!BQ36,"")</f>
        <v/>
      </c>
      <c r="AK35" s="263">
        <f>IF(Main!AV36&gt;0,Main!AV36,"")</f>
        <v>42038</v>
      </c>
      <c r="AL35" s="263">
        <f>IF(Main!AU36&gt;0,Main!AU36,"")</f>
        <v>42033</v>
      </c>
      <c r="AM35" s="263">
        <f>IF(Main!AT36&gt;0,Main!AT36,"")</f>
        <v>42033</v>
      </c>
      <c r="AN35" s="259" t="str">
        <f>Main!BW36</f>
        <v xml:space="preserve">2305 (for processing) 1/28/2015, 2316 1/29/2015, </v>
      </c>
    </row>
    <row r="36" spans="1:40" x14ac:dyDescent="0.25">
      <c r="A36" s="258">
        <f>Main!C37</f>
        <v>1082253</v>
      </c>
      <c r="B36" s="259" t="str">
        <f>Main!D37</f>
        <v>BASCO, Eileen Zamudio</v>
      </c>
      <c r="C36" s="259" t="str">
        <f>Main!AH37</f>
        <v>Probationary</v>
      </c>
      <c r="D36" s="260">
        <f>Main!B37</f>
        <v>42030</v>
      </c>
      <c r="E36" s="260" t="str">
        <f>IF(Main!AI37&lt;1,"",Main!AI37)</f>
        <v>Jobstreet</v>
      </c>
      <c r="F36" s="260" t="str">
        <f>IF(Main!AJ37&lt;1,"",Main!AJ37)</f>
        <v/>
      </c>
      <c r="G36" s="260" t="str">
        <f>IF(Main!AK37&lt;1,"",Main!AK37)</f>
        <v/>
      </c>
      <c r="H36" s="259" t="str">
        <f>Main!Y37</f>
        <v>Sr. Recruiter</v>
      </c>
      <c r="I36" s="259" t="str">
        <f>Main!Z37</f>
        <v>Level 2</v>
      </c>
      <c r="J36" s="259">
        <f>IF(Main!A37&lt;1,"",Main!A37)</f>
        <v>181</v>
      </c>
      <c r="K36" s="260">
        <f>IF(Main!AN37&gt;0,Main!AN37,"")</f>
        <v>30386</v>
      </c>
      <c r="L36" s="258" t="str">
        <f>IF(Main!Q37&gt;0,Main!Q37,"")</f>
        <v>babylhai@yahoo.com</v>
      </c>
      <c r="M36" s="410">
        <f>VALUE(IF(Main!S37&gt;0,Main!S37,""))</f>
        <v>9062243135</v>
      </c>
      <c r="N36" s="261" t="str">
        <f>Main!T37</f>
        <v/>
      </c>
      <c r="O36" s="258" t="str">
        <f>IF(Main!AO37&gt;0,Main!AO37,"")</f>
        <v>Blk 5 L65 Ambrosia Dr. Robinsons Homes East, Antipolo City</v>
      </c>
      <c r="P36" s="258" t="str">
        <f>IF(Main!AP37&gt;0,Main!AP37,"")</f>
        <v/>
      </c>
      <c r="Q36" s="258" t="str">
        <f>IF(Main!AR37&gt;0,Main!AR37,"")</f>
        <v/>
      </c>
      <c r="R36" s="259" t="str">
        <f>IF(Main!AQ37&gt;0,Main!AQ37,"")</f>
        <v>Female</v>
      </c>
      <c r="S36" s="259" t="str">
        <f>IF(Main!BD37&gt;0,Main!BD37,"")</f>
        <v>34-0097363-7</v>
      </c>
      <c r="T36" s="259" t="str">
        <f>IF(Main!AX37&gt;0,Main!AX37,"")</f>
        <v>307-995-784</v>
      </c>
      <c r="U36" s="259" t="str">
        <f>IF(Main!BH37&gt;0,Main!BH37,"")</f>
        <v>01-050501975-5</v>
      </c>
      <c r="V36" s="268" t="str">
        <f>IF(Main!BF37&gt;0,Main!BF37,"")</f>
        <v>1210-4082-4823</v>
      </c>
      <c r="W36" s="263">
        <f>IF(Main!BS37&gt;0,Main!BS37,"")</f>
        <v>42030</v>
      </c>
      <c r="X36" s="263">
        <f>IF(Main!BT37&gt;0,Main!BT37,"")</f>
        <v>42030</v>
      </c>
      <c r="Y36" s="263">
        <f>IF(Main!BU37&gt;0,Main!BU37,"")</f>
        <v>42030</v>
      </c>
      <c r="Z36" s="263">
        <f>IF(Main!AS37&gt;0,Main!AS37,"")</f>
        <v>42031</v>
      </c>
      <c r="AA36" s="263">
        <f>IF(Main!BJ37&gt;0,Main!BJ37,"")</f>
        <v>42034</v>
      </c>
      <c r="AB36" s="263">
        <f>IF(Main!BC37&gt;0,Main!BC37,"")</f>
        <v>42031</v>
      </c>
      <c r="AC36" s="263">
        <f>IF(Main!AW37&gt;0,Main!AW37,"")</f>
        <v>42031</v>
      </c>
      <c r="AD36" s="263">
        <f>IF(Main!BG37&gt;0,Main!BG37,"")</f>
        <v>42031</v>
      </c>
      <c r="AE36" s="263">
        <f>IF(Main!BE37&gt;0,Main!BE37,"")</f>
        <v>42031</v>
      </c>
      <c r="AF36" s="263">
        <f>IF(Main!BM37&gt;0,Main!BM37,"")</f>
        <v>42031</v>
      </c>
      <c r="AG36" s="263" t="str">
        <f>IF(Main!BN37&gt;0,Main!BN37,"")</f>
        <v/>
      </c>
      <c r="AH36" s="263">
        <f>IF(Main!BO37&gt;0,Main!BO37,"")</f>
        <v>42031</v>
      </c>
      <c r="AI36" s="263">
        <f>IF(Main!BR37&gt;0,Main!BR37,"")</f>
        <v>42031</v>
      </c>
      <c r="AJ36" s="263">
        <f>IF(Main!BQ37&gt;0,Main!BQ37,"")</f>
        <v>42031</v>
      </c>
      <c r="AK36" s="263">
        <f>IF(Main!AV37&gt;0,Main!AV37,"")</f>
        <v>42038</v>
      </c>
      <c r="AL36" s="263">
        <f>IF(Main!AU37&gt;0,Main!AU37,"")</f>
        <v>42031</v>
      </c>
      <c r="AM36" s="263">
        <f>IF(Main!AT37&gt;0,Main!AT37,"")</f>
        <v>42031</v>
      </c>
      <c r="AN36" s="259" t="str">
        <f>Main!BW37</f>
        <v xml:space="preserve">1905 1/28/2015, 2305 1/28/2015, MDR 2/17/2015, </v>
      </c>
    </row>
    <row r="37" spans="1:40" x14ac:dyDescent="0.25">
      <c r="A37" s="258">
        <f>Main!C38</f>
        <v>1082254</v>
      </c>
      <c r="B37" s="259" t="str">
        <f>Main!D38</f>
        <v>CARANDANG, Jomel Cortez</v>
      </c>
      <c r="C37" s="259" t="str">
        <f>Main!AH38</f>
        <v>Probationary</v>
      </c>
      <c r="D37" s="260">
        <f>Main!B38</f>
        <v>42030</v>
      </c>
      <c r="E37" s="260" t="str">
        <f>IF(Main!AI38&lt;1,"",Main!AI38)</f>
        <v>ERP</v>
      </c>
      <c r="F37" s="260" t="str">
        <f>IF(Main!AJ38&lt;1,"",Main!AJ38)</f>
        <v>Philip Ogalina</v>
      </c>
      <c r="G37" s="260" t="str">
        <f>IF(Main!AK38&lt;1,"",Main!AK38)</f>
        <v/>
      </c>
      <c r="H37" s="259" t="str">
        <f>Main!Y38</f>
        <v>Sr. Recruiter</v>
      </c>
      <c r="I37" s="259" t="str">
        <f>Main!Z38</f>
        <v>Level 1</v>
      </c>
      <c r="J37" s="259">
        <f>IF(Main!A38&lt;1,"",Main!A38)</f>
        <v>181</v>
      </c>
      <c r="K37" s="260">
        <f>IF(Main!AN38&gt;0,Main!AN38,"")</f>
        <v>33480</v>
      </c>
      <c r="L37" s="258" t="str">
        <f>IF(Main!Q38&gt;0,Main!Q38,"")</f>
        <v>clipe101@gmail.com</v>
      </c>
      <c r="M37" s="410">
        <f>VALUE(IF(Main!S38&gt;0,Main!S38,""))</f>
        <v>9097299229</v>
      </c>
      <c r="N37" s="261" t="str">
        <f>Main!T38</f>
        <v/>
      </c>
      <c r="O37" s="258" t="str">
        <f>IF(Main!AO38&gt;0,Main!AO38,"")</f>
        <v>7276 J Victor St. Brgy. Pio Del Pilar Makati City, 1230</v>
      </c>
      <c r="P37" s="258" t="str">
        <f>IF(Main!AP38&gt;0,Main!AP38,"")</f>
        <v/>
      </c>
      <c r="Q37" s="258" t="str">
        <f>IF(Main!AR38&gt;0,Main!AR38,"")</f>
        <v/>
      </c>
      <c r="R37" s="259" t="str">
        <f>IF(Main!AQ38&gt;0,Main!AQ38,"")</f>
        <v>Male</v>
      </c>
      <c r="S37" s="259" t="str">
        <f>IF(Main!BD38&gt;0,Main!BD38,"")</f>
        <v>34-2622018-6</v>
      </c>
      <c r="T37" s="259" t="str">
        <f>IF(Main!AX38&gt;0,Main!AX38,"")</f>
        <v>309-393-231</v>
      </c>
      <c r="U37" s="259" t="str">
        <f>IF(Main!BH38&gt;0,Main!BH38,"")</f>
        <v>01-051262925-9</v>
      </c>
      <c r="V37" s="268" t="str">
        <f>IF(Main!BF38&gt;0,Main!BF38,"")</f>
        <v>1210-3556-5318</v>
      </c>
      <c r="W37" s="263">
        <f>IF(Main!BS38&gt;0,Main!BS38,"")</f>
        <v>42030</v>
      </c>
      <c r="X37" s="263">
        <f>IF(Main!BT38&gt;0,Main!BT38,"")</f>
        <v>42030</v>
      </c>
      <c r="Y37" s="263">
        <f>IF(Main!BU38&gt;0,Main!BU38,"")</f>
        <v>42030</v>
      </c>
      <c r="Z37" s="263">
        <f>IF(Main!AS38&gt;0,Main!AS38,"")</f>
        <v>42032</v>
      </c>
      <c r="AA37" s="263">
        <f>IF(Main!BJ38&gt;0,Main!BJ38,"")</f>
        <v>42033</v>
      </c>
      <c r="AB37" s="263">
        <f>IF(Main!BC38&gt;0,Main!BC38,"")</f>
        <v>42033</v>
      </c>
      <c r="AC37" s="263">
        <f>IF(Main!AW38&gt;0,Main!AW38,"")</f>
        <v>42033</v>
      </c>
      <c r="AD37" s="263">
        <f>IF(Main!BG38&gt;0,Main!BG38,"")</f>
        <v>42032</v>
      </c>
      <c r="AE37" s="263">
        <f>IF(Main!BE38&gt;0,Main!BE38,"")</f>
        <v>42032</v>
      </c>
      <c r="AF37" s="263">
        <f>IF(Main!BM38&gt;0,Main!BM38,"")</f>
        <v>42032</v>
      </c>
      <c r="AG37" s="263" t="str">
        <f>IF(Main!BN38&gt;0,Main!BN38,"")</f>
        <v/>
      </c>
      <c r="AH37" s="263" t="str">
        <f>IF(Main!BO38&gt;0,Main!BO38,"")</f>
        <v/>
      </c>
      <c r="AI37" s="263">
        <f>IF(Main!BR38&gt;0,Main!BR38,"")</f>
        <v>42132</v>
      </c>
      <c r="AJ37" s="263" t="str">
        <f>IF(Main!BQ38&gt;0,Main!BQ38,"")</f>
        <v/>
      </c>
      <c r="AK37" s="263">
        <f>IF(Main!AV38&gt;0,Main!AV38,"")</f>
        <v>42038</v>
      </c>
      <c r="AL37" s="263">
        <f>IF(Main!AU38&gt;0,Main!AU38,"")</f>
        <v>42032</v>
      </c>
      <c r="AM37" s="263">
        <f>IF(Main!AT38&gt;0,Main!AT38,"")</f>
        <v>42032</v>
      </c>
      <c r="AN37" s="259" t="str">
        <f>Main!BW38</f>
        <v xml:space="preserve">2305 1/30/2015, MDR 1/29/2015, </v>
      </c>
    </row>
    <row r="38" spans="1:40" x14ac:dyDescent="0.25">
      <c r="A38" s="258">
        <f>Main!C39</f>
        <v>1082255</v>
      </c>
      <c r="B38" s="259" t="str">
        <f>Main!D39</f>
        <v>CORDOVA Jr., Henry Sagun</v>
      </c>
      <c r="C38" s="259" t="str">
        <f>Main!AH39</f>
        <v>Probationary</v>
      </c>
      <c r="D38" s="260">
        <f>Main!B39</f>
        <v>42030</v>
      </c>
      <c r="E38" s="260" t="str">
        <f>IF(Main!AI39&lt;1,"",Main!AI39)</f>
        <v>Jobstreet</v>
      </c>
      <c r="F38" s="260" t="str">
        <f>IF(Main!AJ39&lt;1,"",Main!AJ39)</f>
        <v/>
      </c>
      <c r="G38" s="260" t="str">
        <f>IF(Main!AK39&lt;1,"",Main!AK39)</f>
        <v/>
      </c>
      <c r="H38" s="259" t="str">
        <f>Main!Y39</f>
        <v>Sr. Recruiter</v>
      </c>
      <c r="I38" s="259" t="str">
        <f>Main!Z39</f>
        <v>Level 1</v>
      </c>
      <c r="J38" s="259">
        <f>IF(Main!A39&lt;1,"",Main!A39)</f>
        <v>181</v>
      </c>
      <c r="K38" s="260">
        <f>IF(Main!AN39&gt;0,Main!AN39,"")</f>
        <v>33555</v>
      </c>
      <c r="L38" s="258" t="str">
        <f>IF(Main!Q39&gt;0,Main!Q39,"")</f>
        <v>clipe101@gmail.com</v>
      </c>
      <c r="M38" s="410">
        <f>VALUE(IF(Main!S39&gt;0,Main!S39,""))</f>
        <v>9158566619</v>
      </c>
      <c r="N38" s="261" t="str">
        <f>Main!T39</f>
        <v/>
      </c>
      <c r="O38" s="258" t="str">
        <f>IF(Main!AO39&gt;0,Main!AO39,"")</f>
        <v>#37 Mapagbigay St. Brgy. Pinyahan Quezon City</v>
      </c>
      <c r="P38" s="258" t="str">
        <f>IF(Main!AP39&gt;0,Main!AP39,"")</f>
        <v/>
      </c>
      <c r="Q38" s="258" t="str">
        <f>IF(Main!AR39&gt;0,Main!AR39,"")</f>
        <v>Single</v>
      </c>
      <c r="R38" s="259" t="str">
        <f>IF(Main!AQ39&gt;0,Main!AQ39,"")</f>
        <v>Male</v>
      </c>
      <c r="S38" s="259" t="str">
        <f>IF(Main!BD39&gt;0,Main!BD39,"")</f>
        <v>02-3415278-2</v>
      </c>
      <c r="T38" s="259" t="str">
        <f>IF(Main!AX39&gt;0,Main!AX39,"")</f>
        <v>313-102-123</v>
      </c>
      <c r="U38" s="259" t="str">
        <f>IF(Main!BH39&gt;0,Main!BH39,"")</f>
        <v>01-051570834-6</v>
      </c>
      <c r="V38" s="268" t="str">
        <f>IF(Main!BF39&gt;0,Main!BF39,"")</f>
        <v>1210-7750-0002</v>
      </c>
      <c r="W38" s="263">
        <f>IF(Main!BS39&gt;0,Main!BS39,"")</f>
        <v>42030</v>
      </c>
      <c r="X38" s="263">
        <f>IF(Main!BT39&gt;0,Main!BT39,"")</f>
        <v>42030</v>
      </c>
      <c r="Y38" s="263">
        <f>IF(Main!BU39&gt;0,Main!BU39,"")</f>
        <v>42030</v>
      </c>
      <c r="Z38" s="263">
        <f>IF(Main!AS39&gt;0,Main!AS39,"")</f>
        <v>42031</v>
      </c>
      <c r="AA38" s="263">
        <f>IF(Main!BJ39&gt;0,Main!BJ39,"")</f>
        <v>42034</v>
      </c>
      <c r="AB38" s="263">
        <f>IF(Main!BC39&gt;0,Main!BC39,"")</f>
        <v>42031</v>
      </c>
      <c r="AC38" s="263">
        <f>IF(Main!AW39&gt;0,Main!AW39,"")</f>
        <v>42062</v>
      </c>
      <c r="AD38" s="263">
        <f>IF(Main!BG39&gt;0,Main!BG39,"")</f>
        <v>42033</v>
      </c>
      <c r="AE38" s="263">
        <f>IF(Main!BE39&gt;0,Main!BE39,"")</f>
        <v>42031</v>
      </c>
      <c r="AF38" s="263">
        <f>IF(Main!BM39&gt;0,Main!BM39,"")</f>
        <v>42031</v>
      </c>
      <c r="AG38" s="263" t="str">
        <f>IF(Main!BN39&gt;0,Main!BN39,"")</f>
        <v/>
      </c>
      <c r="AH38" s="263" t="str">
        <f>IF(Main!BO39&gt;0,Main!BO39,"")</f>
        <v/>
      </c>
      <c r="AI38" s="263" t="str">
        <f>IF(Main!BR39&gt;0,Main!BR39,"")</f>
        <v/>
      </c>
      <c r="AJ38" s="263">
        <f>IF(Main!BQ39&gt;0,Main!BQ39,"")</f>
        <v>42031</v>
      </c>
      <c r="AK38" s="263">
        <f>IF(Main!AV39&gt;0,Main!AV39,"")</f>
        <v>42038</v>
      </c>
      <c r="AL38" s="263">
        <f>IF(Main!AU39&gt;0,Main!AU39,"")</f>
        <v>42031</v>
      </c>
      <c r="AM38" s="263">
        <f>IF(Main!AT39&gt;0,Main!AT39,"")</f>
        <v>42031</v>
      </c>
      <c r="AN38" s="259" t="str">
        <f>Main!BW39</f>
        <v xml:space="preserve">2305 2/18/2015, MDR 1/29/2015, </v>
      </c>
    </row>
    <row r="39" spans="1:40" x14ac:dyDescent="0.25">
      <c r="A39" s="258">
        <f>Main!C40</f>
        <v>1082256</v>
      </c>
      <c r="B39" s="259" t="str">
        <f>Main!D40</f>
        <v>NABLE, Ramon Christopher Amago</v>
      </c>
      <c r="C39" s="259" t="str">
        <f>Main!AH40</f>
        <v>Probationary</v>
      </c>
      <c r="D39" s="260">
        <f>Main!B40</f>
        <v>42030</v>
      </c>
      <c r="E39" s="260" t="str">
        <f>IF(Main!AI40&lt;1,"",Main!AI40)</f>
        <v>Jobstreet</v>
      </c>
      <c r="F39" s="260" t="str">
        <f>IF(Main!AJ40&lt;1,"",Main!AJ40)</f>
        <v/>
      </c>
      <c r="G39" s="260" t="str">
        <f>IF(Main!AK40&lt;1,"",Main!AK40)</f>
        <v/>
      </c>
      <c r="H39" s="259" t="str">
        <f>Main!Y40</f>
        <v>Sr. Recruiter</v>
      </c>
      <c r="I39" s="259" t="str">
        <f>Main!Z40</f>
        <v>Level 2</v>
      </c>
      <c r="J39" s="259">
        <f>IF(Main!A40&lt;1,"",Main!A40)</f>
        <v>181</v>
      </c>
      <c r="K39" s="260">
        <f>IF(Main!AN40&gt;0,Main!AN40,"")</f>
        <v>31186</v>
      </c>
      <c r="L39" s="258" t="str">
        <f>IF(Main!Q40&gt;0,Main!Q40,"")</f>
        <v>arcienable@gmail.com</v>
      </c>
      <c r="M39" s="410">
        <f>VALUE(IF(Main!S40&gt;0,Main!S40,""))</f>
        <v>9066351853</v>
      </c>
      <c r="N39" s="261" t="str">
        <f>Main!T40</f>
        <v/>
      </c>
      <c r="O39" s="258" t="str">
        <f>IF(Main!AO40&gt;0,Main!AO40,"")</f>
        <v>14 Flaviana St, Suarezville, Pinagbuhatan Pasig City</v>
      </c>
      <c r="P39" s="258" t="str">
        <f>IF(Main!AP40&gt;0,Main!AP40,"")</f>
        <v/>
      </c>
      <c r="Q39" s="258" t="str">
        <f>IF(Main!AR40&gt;0,Main!AR40,"")</f>
        <v/>
      </c>
      <c r="R39" s="259" t="str">
        <f>IF(Main!AQ40&gt;0,Main!AQ40,"")</f>
        <v>Male</v>
      </c>
      <c r="S39" s="259" t="str">
        <f>IF(Main!BD40&gt;0,Main!BD40,"")</f>
        <v/>
      </c>
      <c r="T39" s="259" t="str">
        <f>IF(Main!AX40&gt;0,Main!AX40,"")</f>
        <v/>
      </c>
      <c r="U39" s="259" t="str">
        <f>IF(Main!BH40&gt;0,Main!BH40,"")</f>
        <v/>
      </c>
      <c r="V39" s="268" t="str">
        <f>IF(Main!BF40&gt;0,Main!BF40,"")</f>
        <v/>
      </c>
      <c r="W39" s="263">
        <f>IF(Main!BS40&gt;0,Main!BS40,"")</f>
        <v>42030</v>
      </c>
      <c r="X39" s="263">
        <f>IF(Main!BT40&gt;0,Main!BT40,"")</f>
        <v>42030</v>
      </c>
      <c r="Y39" s="263">
        <f>IF(Main!BU40&gt;0,Main!BU40,"")</f>
        <v>42030</v>
      </c>
      <c r="Z39" s="263" t="str">
        <f>IF(Main!AS40&gt;0,Main!AS40,"")</f>
        <v/>
      </c>
      <c r="AA39" s="263" t="str">
        <f>IF(Main!BJ40&gt;0,Main!BJ40,"")</f>
        <v/>
      </c>
      <c r="AB39" s="263" t="str">
        <f>IF(Main!BC40&gt;0,Main!BC40,"")</f>
        <v/>
      </c>
      <c r="AC39" s="263" t="str">
        <f>IF(Main!AW40&gt;0,Main!AW40,"")</f>
        <v/>
      </c>
      <c r="AD39" s="263" t="str">
        <f>IF(Main!BG40&gt;0,Main!BG40,"")</f>
        <v/>
      </c>
      <c r="AE39" s="263" t="str">
        <f>IF(Main!BE40&gt;0,Main!BE40,"")</f>
        <v/>
      </c>
      <c r="AF39" s="263" t="str">
        <f>IF(Main!BM40&gt;0,Main!BM40,"")</f>
        <v/>
      </c>
      <c r="AG39" s="263" t="str">
        <f>IF(Main!BN40&gt;0,Main!BN40,"")</f>
        <v/>
      </c>
      <c r="AH39" s="263" t="str">
        <f>IF(Main!BO40&gt;0,Main!BO40,"")</f>
        <v/>
      </c>
      <c r="AI39" s="263" t="str">
        <f>IF(Main!BR40&gt;0,Main!BR40,"")</f>
        <v/>
      </c>
      <c r="AJ39" s="263" t="str">
        <f>IF(Main!BQ40&gt;0,Main!BQ40,"")</f>
        <v/>
      </c>
      <c r="AK39" s="263">
        <f>IF(Main!AV40&gt;0,Main!AV40,"")</f>
        <v>42038</v>
      </c>
      <c r="AL39" s="263" t="str">
        <f>IF(Main!AU40&gt;0,Main!AU40,"")</f>
        <v/>
      </c>
      <c r="AM39" s="263" t="str">
        <f>IF(Main!AT40&gt;0,Main!AT40,"")</f>
        <v/>
      </c>
      <c r="AN39" s="259" t="str">
        <f>Main!BW40</f>
        <v xml:space="preserve">2305 (for processing) 1/28/2015, </v>
      </c>
    </row>
    <row r="40" spans="1:40" x14ac:dyDescent="0.25">
      <c r="A40" s="258">
        <f>Main!C41</f>
        <v>1082257</v>
      </c>
      <c r="B40" s="259" t="str">
        <f>Main!D41</f>
        <v>PAZ, Mary Joy Guerrero</v>
      </c>
      <c r="C40" s="259" t="str">
        <f>Main!AH41</f>
        <v>Probationary</v>
      </c>
      <c r="D40" s="260">
        <f>Main!B41</f>
        <v>42030</v>
      </c>
      <c r="E40" s="260" t="str">
        <f>IF(Main!AI41&lt;1,"",Main!AI41)</f>
        <v>Facebook</v>
      </c>
      <c r="F40" s="260" t="str">
        <f>IF(Main!AJ41&lt;1,"",Main!AJ41)</f>
        <v/>
      </c>
      <c r="G40" s="260" t="str">
        <f>IF(Main!AK41&lt;1,"",Main!AK41)</f>
        <v/>
      </c>
      <c r="H40" s="259" t="str">
        <f>Main!Y41</f>
        <v>Sr. Recruiter</v>
      </c>
      <c r="I40" s="259" t="str">
        <f>Main!Z41</f>
        <v>Level 1</v>
      </c>
      <c r="J40" s="259">
        <f>IF(Main!A41&lt;1,"",Main!A41)</f>
        <v>181</v>
      </c>
      <c r="K40" s="260">
        <f>IF(Main!AN41&gt;0,Main!AN41,"")</f>
        <v>32586</v>
      </c>
      <c r="L40" s="258" t="str">
        <f>IF(Main!Q41&gt;0,Main!Q41,"")</f>
        <v>mjgpaz@yahoo.com</v>
      </c>
      <c r="M40" s="410">
        <f>VALUE(IF(Main!S41&gt;0,Main!S41,""))</f>
        <v>9056008178</v>
      </c>
      <c r="N40" s="261" t="str">
        <f>Main!T41</f>
        <v/>
      </c>
      <c r="O40" s="258" t="str">
        <f>IF(Main!AO41&gt;0,Main!AO41,"")</f>
        <v>8027 Hondradez St. Unit 2C, Brgy. Olypia, Makati City 1200</v>
      </c>
      <c r="P40" s="258" t="str">
        <f>IF(Main!AP41&gt;0,Main!AP41,"")</f>
        <v/>
      </c>
      <c r="Q40" s="258" t="str">
        <f>IF(Main!AR41&gt;0,Main!AR41,"")</f>
        <v/>
      </c>
      <c r="R40" s="259" t="str">
        <f>IF(Main!AQ41&gt;0,Main!AQ41,"")</f>
        <v>Female</v>
      </c>
      <c r="S40" s="259" t="str">
        <f>IF(Main!BD41&gt;0,Main!BD41,"")</f>
        <v>01-2055590-1</v>
      </c>
      <c r="T40" s="259" t="str">
        <f>IF(Main!AX41&gt;0,Main!AX41,"")</f>
        <v>286-381-333</v>
      </c>
      <c r="U40" s="259" t="str">
        <f>IF(Main!BH41&gt;0,Main!BH41,"")</f>
        <v>04-050130173-8</v>
      </c>
      <c r="V40" s="268" t="str">
        <f>IF(Main!BF41&gt;0,Main!BF41,"")</f>
        <v>1210-3510-5199</v>
      </c>
      <c r="W40" s="263">
        <f>IF(Main!BS41&gt;0,Main!BS41,"")</f>
        <v>42030</v>
      </c>
      <c r="X40" s="263">
        <f>IF(Main!BT41&gt;0,Main!BT41,"")</f>
        <v>42030</v>
      </c>
      <c r="Y40" s="263">
        <f>IF(Main!BU41&gt;0,Main!BU41,"")</f>
        <v>42030</v>
      </c>
      <c r="Z40" s="263">
        <f>IF(Main!AS41&gt;0,Main!AS41,"")</f>
        <v>42031</v>
      </c>
      <c r="AA40" s="263" t="str">
        <f>IF(Main!BJ41&gt;0,Main!BJ41,"")</f>
        <v/>
      </c>
      <c r="AB40" s="263">
        <f>IF(Main!BC41&gt;0,Main!BC41,"")</f>
        <v>42031</v>
      </c>
      <c r="AC40" s="263">
        <f>IF(Main!AW41&gt;0,Main!AW41,"")</f>
        <v>42031</v>
      </c>
      <c r="AD40" s="263">
        <f>IF(Main!BG41&gt;0,Main!BG41,"")</f>
        <v>42031</v>
      </c>
      <c r="AE40" s="263">
        <f>IF(Main!BE41&gt;0,Main!BE41,"")</f>
        <v>42031</v>
      </c>
      <c r="AF40" s="263">
        <f>IF(Main!BM41&gt;0,Main!BM41,"")</f>
        <v>42031</v>
      </c>
      <c r="AG40" s="263" t="str">
        <f>IF(Main!BN41&gt;0,Main!BN41,"")</f>
        <v/>
      </c>
      <c r="AH40" s="263" t="str">
        <f>IF(Main!BO41&gt;0,Main!BO41,"")</f>
        <v/>
      </c>
      <c r="AI40" s="263">
        <f>IF(Main!BR41&gt;0,Main!BR41,"")</f>
        <v>42031</v>
      </c>
      <c r="AJ40" s="263">
        <f>IF(Main!BQ41&gt;0,Main!BQ41,"")</f>
        <v>42031</v>
      </c>
      <c r="AK40" s="263">
        <f>IF(Main!AV41&gt;0,Main!AV41,"")</f>
        <v>42038</v>
      </c>
      <c r="AL40" s="263">
        <f>IF(Main!AU41&gt;0,Main!AU41,"")</f>
        <v>42031</v>
      </c>
      <c r="AM40" s="263">
        <f>IF(Main!AT41&gt;0,Main!AT41,"")</f>
        <v>42031</v>
      </c>
      <c r="AN40" s="259" t="str">
        <f>Main!BW41</f>
        <v xml:space="preserve">2305 (for processing) 1/28/2015, </v>
      </c>
    </row>
    <row r="41" spans="1:40" x14ac:dyDescent="0.25">
      <c r="A41" s="258">
        <f>Main!C42</f>
        <v>1082258</v>
      </c>
      <c r="B41" s="259" t="str">
        <f>Main!D42</f>
        <v>RITEZA, Rochelle Ann Celeste</v>
      </c>
      <c r="C41" s="259" t="str">
        <f>Main!AH42</f>
        <v>Probationary</v>
      </c>
      <c r="D41" s="260">
        <f>Main!B42</f>
        <v>42030</v>
      </c>
      <c r="E41" s="260" t="str">
        <f>IF(Main!AI42&lt;1,"",Main!AI42)</f>
        <v>Jobstreet</v>
      </c>
      <c r="F41" s="260" t="str">
        <f>IF(Main!AJ42&lt;1,"",Main!AJ42)</f>
        <v/>
      </c>
      <c r="G41" s="260" t="str">
        <f>IF(Main!AK42&lt;1,"",Main!AK42)</f>
        <v/>
      </c>
      <c r="H41" s="259" t="str">
        <f>Main!Y42</f>
        <v>Sr. Recruiter</v>
      </c>
      <c r="I41" s="259" t="str">
        <f>Main!Z42</f>
        <v>Level 2</v>
      </c>
      <c r="J41" s="259">
        <f>IF(Main!A42&lt;1,"",Main!A42)</f>
        <v>181</v>
      </c>
      <c r="K41" s="260">
        <f>IF(Main!AN42&gt;0,Main!AN42,"")</f>
        <v>34328</v>
      </c>
      <c r="L41" s="258" t="str">
        <f>IF(Main!Q42&gt;0,Main!Q42,"")</f>
        <v>ritezarac@yahoo.com</v>
      </c>
      <c r="M41" s="410">
        <f>VALUE(IF(Main!S42&gt;0,Main!S42,""))</f>
        <v>9069101612</v>
      </c>
      <c r="N41" s="261" t="str">
        <f>Main!T42</f>
        <v/>
      </c>
      <c r="O41" s="258" t="str">
        <f>IF(Main!AO42&gt;0,Main!AO42,"")</f>
        <v>10 B Kaingin Rd. Brgy. Apolonio Samson Q.C.</v>
      </c>
      <c r="P41" s="258" t="str">
        <f>IF(Main!AP42&gt;0,Main!AP42,"")</f>
        <v/>
      </c>
      <c r="Q41" s="258" t="str">
        <f>IF(Main!AR42&gt;0,Main!AR42,"")</f>
        <v/>
      </c>
      <c r="R41" s="259" t="str">
        <f>IF(Main!AQ42&gt;0,Main!AQ42,"")</f>
        <v>Female</v>
      </c>
      <c r="S41" s="259" t="str">
        <f>IF(Main!BD42&gt;0,Main!BD42,"")</f>
        <v>34-3214879-9</v>
      </c>
      <c r="T41" s="259" t="str">
        <f>IF(Main!AX42&gt;0,Main!AX42,"")</f>
        <v>315-551-004</v>
      </c>
      <c r="U41" s="259" t="str">
        <f>IF(Main!BH42&gt;0,Main!BH42,"")</f>
        <v>03-050967560-7</v>
      </c>
      <c r="V41" s="268" t="str">
        <f>IF(Main!BF42&gt;0,Main!BF42,"")</f>
        <v>1211-2086-7257</v>
      </c>
      <c r="W41" s="263">
        <f>IF(Main!BS42&gt;0,Main!BS42,"")</f>
        <v>42030</v>
      </c>
      <c r="X41" s="263">
        <f>IF(Main!BT42&gt;0,Main!BT42,"")</f>
        <v>42030</v>
      </c>
      <c r="Y41" s="263">
        <f>IF(Main!BU42&gt;0,Main!BU42,"")</f>
        <v>42030</v>
      </c>
      <c r="Z41" s="263">
        <f>IF(Main!AS42&gt;0,Main!AS42,"")</f>
        <v>42031</v>
      </c>
      <c r="AA41" s="263">
        <f>IF(Main!BJ42&gt;0,Main!BJ42,"")</f>
        <v>42060</v>
      </c>
      <c r="AB41" s="263">
        <f>IF(Main!BC42&gt;0,Main!BC42,"")</f>
        <v>42031</v>
      </c>
      <c r="AC41" s="263">
        <f>IF(Main!AW42&gt;0,Main!AW42,"")</f>
        <v>42033</v>
      </c>
      <c r="AD41" s="263">
        <f>IF(Main!BG42&gt;0,Main!BG42,"")</f>
        <v>42034</v>
      </c>
      <c r="AE41" s="263">
        <f>IF(Main!BE42&gt;0,Main!BE42,"")</f>
        <v>42033</v>
      </c>
      <c r="AF41" s="263">
        <f>IF(Main!BM42&gt;0,Main!BM42,"")</f>
        <v>42031</v>
      </c>
      <c r="AG41" s="263" t="str">
        <f>IF(Main!BN42&gt;0,Main!BN42,"")</f>
        <v/>
      </c>
      <c r="AH41" s="263" t="str">
        <f>IF(Main!BO42&gt;0,Main!BO42,"")</f>
        <v/>
      </c>
      <c r="AI41" s="263">
        <f>IF(Main!BR42&gt;0,Main!BR42,"")</f>
        <v>42031</v>
      </c>
      <c r="AJ41" s="263" t="str">
        <f>IF(Main!BQ42&gt;0,Main!BQ42,"")</f>
        <v/>
      </c>
      <c r="AK41" s="263">
        <f>IF(Main!AV42&gt;0,Main!AV42,"")</f>
        <v>42038</v>
      </c>
      <c r="AL41" s="263">
        <f>IF(Main!AU42&gt;0,Main!AU42,"")</f>
        <v>42031</v>
      </c>
      <c r="AM41" s="263">
        <f>IF(Main!AT42&gt;0,Main!AT42,"")</f>
        <v>42031</v>
      </c>
      <c r="AN41" s="259" t="str">
        <f>Main!BW42</f>
        <v xml:space="preserve">1905 1/29/2015, 2305 2/3/2015, MDR 1/30/2015, </v>
      </c>
    </row>
    <row r="42" spans="1:40" x14ac:dyDescent="0.25">
      <c r="A42" s="258">
        <f>Main!C43</f>
        <v>1082259</v>
      </c>
      <c r="B42" s="259" t="str">
        <f>Main!D43</f>
        <v>SANTOS, Bianca Bolaños</v>
      </c>
      <c r="C42" s="259" t="str">
        <f>Main!AH43</f>
        <v>Probationary</v>
      </c>
      <c r="D42" s="260">
        <f>Main!B43</f>
        <v>42030</v>
      </c>
      <c r="E42" s="260" t="str">
        <f>IF(Main!AI43&lt;1,"",Main!AI43)</f>
        <v>Jobstreet</v>
      </c>
      <c r="F42" s="260" t="str">
        <f>IF(Main!AJ43&lt;1,"",Main!AJ43)</f>
        <v/>
      </c>
      <c r="G42" s="260" t="str">
        <f>IF(Main!AK43&lt;1,"",Main!AK43)</f>
        <v/>
      </c>
      <c r="H42" s="259" t="str">
        <f>Main!Y43</f>
        <v>Sr. Recruiter</v>
      </c>
      <c r="I42" s="259" t="str">
        <f>Main!Z43</f>
        <v>Level 2</v>
      </c>
      <c r="J42" s="259">
        <f>IF(Main!A43&lt;1,"",Main!A43)</f>
        <v>181</v>
      </c>
      <c r="K42" s="260">
        <f>IF(Main!AN43&gt;0,Main!AN43,"")</f>
        <v>33281</v>
      </c>
      <c r="L42" s="258" t="str">
        <f>IF(Main!Q43&gt;0,Main!Q43,"")</f>
        <v>santosbianca.md@gmail.com</v>
      </c>
      <c r="M42" s="410">
        <f>VALUE(IF(Main!S43&gt;0,Main!S43,""))</f>
        <v>9064716835</v>
      </c>
      <c r="N42" s="261" t="str">
        <f>Main!T43</f>
        <v/>
      </c>
      <c r="O42" s="258" t="str">
        <f>IF(Main!AO43&gt;0,Main!AO43,"")</f>
        <v>#597 E. Rodriguez Extension Malibay Pasay City</v>
      </c>
      <c r="P42" s="258" t="str">
        <f>IF(Main!AP43&gt;0,Main!AP43,"")</f>
        <v>#27 Malipayo Champaca St. Marikina Heights Marikina City</v>
      </c>
      <c r="Q42" s="258" t="str">
        <f>IF(Main!AR43&gt;0,Main!AR43,"")</f>
        <v>Single</v>
      </c>
      <c r="R42" s="259" t="str">
        <f>IF(Main!AQ43&gt;0,Main!AQ43,"")</f>
        <v>Female</v>
      </c>
      <c r="S42" s="259" t="str">
        <f>IF(Main!BD43&gt;0,Main!BD43,"")</f>
        <v>34-1288461-7</v>
      </c>
      <c r="T42" s="259" t="str">
        <f>IF(Main!AX43&gt;0,Main!AX43,"")</f>
        <v>307-995-784</v>
      </c>
      <c r="U42" s="259" t="str">
        <f>IF(Main!BH43&gt;0,Main!BH43,"")</f>
        <v>03-050592617-6</v>
      </c>
      <c r="V42" s="268" t="str">
        <f>IF(Main!BF43&gt;0,Main!BF43,"")</f>
        <v>1210-3596-5881</v>
      </c>
      <c r="W42" s="263">
        <f>IF(Main!BS43&gt;0,Main!BS43,"")</f>
        <v>42030</v>
      </c>
      <c r="X42" s="263">
        <f>IF(Main!BT43&gt;0,Main!BT43,"")</f>
        <v>42030</v>
      </c>
      <c r="Y42" s="263">
        <f>IF(Main!BU43&gt;0,Main!BU43,"")</f>
        <v>42030</v>
      </c>
      <c r="Z42" s="263">
        <f>IF(Main!AS43&gt;0,Main!AS43,"")</f>
        <v>42031</v>
      </c>
      <c r="AA42" s="263">
        <f>IF(Main!BJ43&gt;0,Main!BJ43,"")</f>
        <v>42059</v>
      </c>
      <c r="AB42" s="263">
        <f>IF(Main!BC43&gt;0,Main!BC43,"")</f>
        <v>42031</v>
      </c>
      <c r="AC42" s="263">
        <f>IF(Main!AW43&gt;0,Main!AW43,"")</f>
        <v>42046</v>
      </c>
      <c r="AD42" s="263">
        <f>IF(Main!BG43&gt;0,Main!BG43,"")</f>
        <v>42059</v>
      </c>
      <c r="AE42" s="263">
        <f>IF(Main!BE43&gt;0,Main!BE43,"")</f>
        <v>42059</v>
      </c>
      <c r="AF42" s="263">
        <f>IF(Main!BM43&gt;0,Main!BM43,"")</f>
        <v>42031</v>
      </c>
      <c r="AG42" s="263" t="str">
        <f>IF(Main!BN43&gt;0,Main!BN43,"")</f>
        <v/>
      </c>
      <c r="AH42" s="263" t="str">
        <f>IF(Main!BO43&gt;0,Main!BO43,"")</f>
        <v/>
      </c>
      <c r="AI42" s="263" t="str">
        <f>IF(Main!BR43&gt;0,Main!BR43,"")</f>
        <v/>
      </c>
      <c r="AJ42" s="263">
        <f>IF(Main!BQ43&gt;0,Main!BQ43,"")</f>
        <v>42031</v>
      </c>
      <c r="AK42" s="263">
        <f>IF(Main!AV43&gt;0,Main!AV43,"")</f>
        <v>42038</v>
      </c>
      <c r="AL42" s="263">
        <f>IF(Main!AU43&gt;0,Main!AU43,"")</f>
        <v>42031</v>
      </c>
      <c r="AM42" s="263">
        <f>IF(Main!AT43&gt;0,Main!AT43,"")</f>
        <v>42031</v>
      </c>
      <c r="AN42" s="259" t="str">
        <f>Main!BW43</f>
        <v xml:space="preserve">2305 2/3/2015, MDR 2/24/2015, </v>
      </c>
    </row>
    <row r="43" spans="1:40" x14ac:dyDescent="0.25">
      <c r="A43" s="258">
        <f>Main!C44</f>
        <v>1082260</v>
      </c>
      <c r="B43" s="259" t="str">
        <f>Main!D44</f>
        <v>SANTOS, Richard Dean Olmida</v>
      </c>
      <c r="C43" s="259" t="str">
        <f>Main!AH44</f>
        <v>Probationary</v>
      </c>
      <c r="D43" s="260">
        <f>Main!B44</f>
        <v>42030</v>
      </c>
      <c r="E43" s="260" t="str">
        <f>IF(Main!AI44&lt;1,"",Main!AI44)</f>
        <v>Jobstreet</v>
      </c>
      <c r="F43" s="260" t="str">
        <f>IF(Main!AJ44&lt;1,"",Main!AJ44)</f>
        <v/>
      </c>
      <c r="G43" s="260" t="str">
        <f>IF(Main!AK44&lt;1,"",Main!AK44)</f>
        <v/>
      </c>
      <c r="H43" s="259" t="str">
        <f>Main!Y44</f>
        <v>Sr. Recruiter</v>
      </c>
      <c r="I43" s="259" t="str">
        <f>Main!Z44</f>
        <v>Level 2</v>
      </c>
      <c r="J43" s="259">
        <f>IF(Main!A44&lt;1,"",Main!A44)</f>
        <v>181</v>
      </c>
      <c r="K43" s="260">
        <f>IF(Main!AN44&gt;0,Main!AN44,"")</f>
        <v>33505</v>
      </c>
      <c r="L43" s="258" t="str">
        <f>IF(Main!Q44&gt;0,Main!Q44,"")</f>
        <v>ardietran24@gmail.com</v>
      </c>
      <c r="M43" s="410">
        <f>VALUE(IF(Main!S44&gt;0,Main!S44,""))</f>
        <v>9286876147</v>
      </c>
      <c r="N43" s="261" t="str">
        <f>Main!T44</f>
        <v/>
      </c>
      <c r="O43" s="258" t="str">
        <f>IF(Main!AO44&gt;0,Main!AO44,"")</f>
        <v>Lot 2 Blk 2 Green Acres Subd. San Isidro Balanti Cainta Rizal</v>
      </c>
      <c r="P43" s="258" t="str">
        <f>IF(Main!AP44&gt;0,Main!AP44,"")</f>
        <v/>
      </c>
      <c r="Q43" s="258" t="str">
        <f>IF(Main!AR44&gt;0,Main!AR44,"")</f>
        <v/>
      </c>
      <c r="R43" s="259" t="str">
        <f>IF(Main!AQ44&gt;0,Main!AQ44,"")</f>
        <v>Male</v>
      </c>
      <c r="S43" s="259" t="str">
        <f>IF(Main!BD44&gt;0,Main!BD44,"")</f>
        <v>34-3343998-6</v>
      </c>
      <c r="T43" s="259" t="str">
        <f>IF(Main!AX44&gt;0,Main!AX44,"")</f>
        <v>312-170-925</v>
      </c>
      <c r="U43" s="259" t="str">
        <f>IF(Main!BH44&gt;0,Main!BH44,"")</f>
        <v>01-051501674-6</v>
      </c>
      <c r="V43" s="268" t="str">
        <f>IF(Main!BF44&gt;0,Main!BF44,"")</f>
        <v>1210-7722-1216</v>
      </c>
      <c r="W43" s="263">
        <f>IF(Main!BS44&gt;0,Main!BS44,"")</f>
        <v>42030</v>
      </c>
      <c r="X43" s="263">
        <f>IF(Main!BT44&gt;0,Main!BT44,"")</f>
        <v>42030</v>
      </c>
      <c r="Y43" s="263">
        <f>IF(Main!BU44&gt;0,Main!BU44,"")</f>
        <v>42030</v>
      </c>
      <c r="Z43" s="263">
        <f>IF(Main!AS44&gt;0,Main!AS44,"")</f>
        <v>42031</v>
      </c>
      <c r="AA43" s="263" t="str">
        <f>IF(Main!BJ44&gt;0,Main!BJ44,"")</f>
        <v/>
      </c>
      <c r="AB43" s="263">
        <f>IF(Main!BC44&gt;0,Main!BC44,"")</f>
        <v>42031</v>
      </c>
      <c r="AC43" s="263">
        <f>IF(Main!AW44&gt;0,Main!AW44,"")</f>
        <v>42032</v>
      </c>
      <c r="AD43" s="263">
        <f>IF(Main!BG44&gt;0,Main!BG44,"")</f>
        <v>42033</v>
      </c>
      <c r="AE43" s="263">
        <f>IF(Main!BE44&gt;0,Main!BE44,"")</f>
        <v>42033</v>
      </c>
      <c r="AF43" s="263">
        <f>IF(Main!BM44&gt;0,Main!BM44,"")</f>
        <v>42031</v>
      </c>
      <c r="AG43" s="263" t="str">
        <f>IF(Main!BN44&gt;0,Main!BN44,"")</f>
        <v/>
      </c>
      <c r="AH43" s="263" t="str">
        <f>IF(Main!BO44&gt;0,Main!BO44,"")</f>
        <v/>
      </c>
      <c r="AI43" s="263">
        <f>IF(Main!BR44&gt;0,Main!BR44,"")</f>
        <v>42031</v>
      </c>
      <c r="AJ43" s="263" t="str">
        <f>IF(Main!BQ44&gt;0,Main!BQ44,"")</f>
        <v/>
      </c>
      <c r="AK43" s="263">
        <f>IF(Main!AV44&gt;0,Main!AV44,"")</f>
        <v>42038</v>
      </c>
      <c r="AL43" s="263">
        <f>IF(Main!AU44&gt;0,Main!AU44,"")</f>
        <v>42031</v>
      </c>
      <c r="AM43" s="263">
        <f>IF(Main!AT44&gt;0,Main!AT44,"")</f>
        <v>42031</v>
      </c>
      <c r="AN43" s="259" t="str">
        <f>Main!BW44</f>
        <v xml:space="preserve">1905 (for processing) 1/28/2015, MDR 1/29/2015, </v>
      </c>
    </row>
    <row r="44" spans="1:40" x14ac:dyDescent="0.25">
      <c r="A44" s="258">
        <f>Main!C45</f>
        <v>1082261</v>
      </c>
      <c r="B44" s="259" t="str">
        <f>Main!D45</f>
        <v>TIMAJO, Myra Plaza</v>
      </c>
      <c r="C44" s="259" t="str">
        <f>Main!AH45</f>
        <v>Probationary</v>
      </c>
      <c r="D44" s="260">
        <f>Main!B45</f>
        <v>42030</v>
      </c>
      <c r="E44" s="260" t="str">
        <f>IF(Main!AI45&lt;1,"",Main!AI45)</f>
        <v>Jobstreet</v>
      </c>
      <c r="F44" s="260" t="str">
        <f>IF(Main!AJ45&lt;1,"",Main!AJ45)</f>
        <v/>
      </c>
      <c r="G44" s="260" t="str">
        <f>IF(Main!AK45&lt;1,"",Main!AK45)</f>
        <v/>
      </c>
      <c r="H44" s="259" t="str">
        <f>Main!Y45</f>
        <v>Sr. Recruiter</v>
      </c>
      <c r="I44" s="259" t="str">
        <f>Main!Z45</f>
        <v>Level 2</v>
      </c>
      <c r="J44" s="259">
        <f>IF(Main!A45&lt;1,"",Main!A45)</f>
        <v>181</v>
      </c>
      <c r="K44" s="260">
        <f>IF(Main!AN45&gt;0,Main!AN45,"")</f>
        <v>30938</v>
      </c>
      <c r="L44" s="258" t="str">
        <f>IF(Main!Q45&gt;0,Main!Q45,"")</f>
        <v>timajom@gmail.com</v>
      </c>
      <c r="M44" s="410">
        <f>VALUE(IF(Main!S45&gt;0,Main!S45,""))</f>
        <v>9154173728</v>
      </c>
      <c r="N44" s="261" t="str">
        <f>Main!T45</f>
        <v/>
      </c>
      <c r="O44" s="258" t="str">
        <f>IF(Main!AO45&gt;0,Main!AO45,"")</f>
        <v>Blk 15 Samagta St. Floodway Taytay Rizal</v>
      </c>
      <c r="P44" s="258" t="str">
        <f>IF(Main!AP45&gt;0,Main!AP45,"")</f>
        <v>Blk 15 Samagta St. Floodway Taytay Rizal</v>
      </c>
      <c r="Q44" s="258" t="str">
        <f>IF(Main!AR45&gt;0,Main!AR45,"")</f>
        <v/>
      </c>
      <c r="R44" s="259" t="str">
        <f>IF(Main!AQ45&gt;0,Main!AQ45,"")</f>
        <v>Female</v>
      </c>
      <c r="S44" s="259" t="str">
        <f>IF(Main!BD45&gt;0,Main!BD45,"")</f>
        <v>33-8892298-8</v>
      </c>
      <c r="T44" s="259" t="str">
        <f>IF(Main!AX45&gt;0,Main!AX45,"")</f>
        <v>420-049-147</v>
      </c>
      <c r="U44" s="259" t="str">
        <f>IF(Main!BH45&gt;0,Main!BH45,"")</f>
        <v/>
      </c>
      <c r="V44" s="268" t="str">
        <f>IF(Main!BF45&gt;0,Main!BF45,"")</f>
        <v/>
      </c>
      <c r="W44" s="263">
        <f>IF(Main!BS45&gt;0,Main!BS45,"")</f>
        <v>42030</v>
      </c>
      <c r="X44" s="263">
        <f>IF(Main!BT45&gt;0,Main!BT45,"")</f>
        <v>42030</v>
      </c>
      <c r="Y44" s="263">
        <f>IF(Main!BU45&gt;0,Main!BU45,"")</f>
        <v>42030</v>
      </c>
      <c r="Z44" s="263">
        <f>IF(Main!AS45&gt;0,Main!AS45,"")</f>
        <v>42031</v>
      </c>
      <c r="AA44" s="263" t="str">
        <f>IF(Main!BJ45&gt;0,Main!BJ45,"")</f>
        <v/>
      </c>
      <c r="AB44" s="263">
        <f>IF(Main!BC45&gt;0,Main!BC45,"")</f>
        <v>42031</v>
      </c>
      <c r="AC44" s="263">
        <f>IF(Main!AW45&gt;0,Main!AW45,"")</f>
        <v>42031</v>
      </c>
      <c r="AD44" s="263" t="str">
        <f>IF(Main!BG45&gt;0,Main!BG45,"")</f>
        <v/>
      </c>
      <c r="AE44" s="263" t="str">
        <f>IF(Main!BE45&gt;0,Main!BE45,"")</f>
        <v/>
      </c>
      <c r="AF44" s="263">
        <f>IF(Main!BM45&gt;0,Main!BM45,"")</f>
        <v>42032</v>
      </c>
      <c r="AG44" s="263" t="str">
        <f>IF(Main!BN45&gt;0,Main!BN45,"")</f>
        <v/>
      </c>
      <c r="AH44" s="263" t="str">
        <f>IF(Main!BO45&gt;0,Main!BO45,"")</f>
        <v/>
      </c>
      <c r="AI44" s="263">
        <f>IF(Main!BR45&gt;0,Main!BR45,"")</f>
        <v>42032</v>
      </c>
      <c r="AJ44" s="263" t="str">
        <f>IF(Main!BQ45&gt;0,Main!BQ45,"")</f>
        <v/>
      </c>
      <c r="AK44" s="263">
        <f>IF(Main!AV45&gt;0,Main!AV45,"")</f>
        <v>42031</v>
      </c>
      <c r="AL44" s="263">
        <f>IF(Main!AU45&gt;0,Main!AU45,"")</f>
        <v>42033</v>
      </c>
      <c r="AM44" s="263">
        <f>IF(Main!AT45&gt;0,Main!AT45,"")</f>
        <v>42031</v>
      </c>
      <c r="AN44" s="259" t="str">
        <f>Main!BW45</f>
        <v xml:space="preserve">2305 (for processing) 1/28/2015, </v>
      </c>
    </row>
    <row r="45" spans="1:40" s="265" customFormat="1" ht="15.75" thickBot="1" x14ac:dyDescent="0.3">
      <c r="A45" s="258">
        <f>Main!C46</f>
        <v>1082262</v>
      </c>
      <c r="B45" s="259" t="str">
        <f>Main!D46</f>
        <v>VALENCIA, Marienne Pandaan</v>
      </c>
      <c r="C45" s="259" t="str">
        <f>Main!AH46</f>
        <v>Probationary</v>
      </c>
      <c r="D45" s="260">
        <f>Main!B46</f>
        <v>42030</v>
      </c>
      <c r="E45" s="260" t="str">
        <f>IF(Main!AI46&lt;1,"",Main!AI46)</f>
        <v>Jobstreet</v>
      </c>
      <c r="F45" s="260" t="str">
        <f>IF(Main!AJ46&lt;1,"",Main!AJ46)</f>
        <v/>
      </c>
      <c r="G45" s="260" t="str">
        <f>IF(Main!AK46&lt;1,"",Main!AK46)</f>
        <v/>
      </c>
      <c r="H45" s="259" t="str">
        <f>Main!Y46</f>
        <v>Sr. Recruiter</v>
      </c>
      <c r="I45" s="259" t="str">
        <f>Main!Z46</f>
        <v>Level 2</v>
      </c>
      <c r="J45" s="259">
        <f>IF(Main!A46&lt;1,"",Main!A46)</f>
        <v>181</v>
      </c>
      <c r="K45" s="260">
        <f>IF(Main!AN46&gt;0,Main!AN46,"")</f>
        <v>32588</v>
      </c>
      <c r="L45" s="258" t="str">
        <f>IF(Main!Q46&gt;0,Main!Q46,"")</f>
        <v>mariennevalencia@gmail.com</v>
      </c>
      <c r="M45" s="410">
        <f>VALUE(IF(Main!S46&gt;0,Main!S46,""))</f>
        <v>9054686537</v>
      </c>
      <c r="N45" s="261" t="str">
        <f>Main!T46</f>
        <v/>
      </c>
      <c r="O45" s="258" t="str">
        <f>IF(Main!AO46&gt;0,Main!AO46,"")</f>
        <v>Blk 22 Lot 24 Upehco Salawag, Dasmariñas Cavite</v>
      </c>
      <c r="P45" s="258" t="str">
        <f>IF(Main!AP46&gt;0,Main!AP46,"")</f>
        <v>Blk 22 Lot 24 Upehco Salawag, Dasmariñas Cavite</v>
      </c>
      <c r="Q45" s="258" t="str">
        <f>IF(Main!AR46&gt;0,Main!AR46,"")</f>
        <v/>
      </c>
      <c r="R45" s="259" t="str">
        <f>IF(Main!AQ46&gt;0,Main!AQ46,"")</f>
        <v>Female</v>
      </c>
      <c r="S45" s="259" t="str">
        <f>IF(Main!BD46&gt;0,Main!BD46,"")</f>
        <v>34-1572595-1</v>
      </c>
      <c r="T45" s="259" t="str">
        <f>IF(Main!AX46&gt;0,Main!AX46,"")</f>
        <v>274-963-888</v>
      </c>
      <c r="U45" s="259" t="str">
        <f>IF(Main!BH46&gt;0,Main!BH46,"")</f>
        <v>02-050586993-2</v>
      </c>
      <c r="V45" s="268" t="str">
        <f>IF(Main!BF46&gt;0,Main!BF46,"")</f>
        <v>1211-3615-1086</v>
      </c>
      <c r="W45" s="263">
        <f>IF(Main!BS46&gt;0,Main!BS46,"")</f>
        <v>42030</v>
      </c>
      <c r="X45" s="263">
        <f>IF(Main!BT46&gt;0,Main!BT46,"")</f>
        <v>42030</v>
      </c>
      <c r="Y45" s="263">
        <f>IF(Main!BU46&gt;0,Main!BU46,"")</f>
        <v>42030</v>
      </c>
      <c r="Z45" s="263">
        <f>IF(Main!AS46&gt;0,Main!AS46,"")</f>
        <v>42031</v>
      </c>
      <c r="AA45" s="263">
        <f>IF(Main!BJ46&gt;0,Main!BJ46,"")</f>
        <v>42031</v>
      </c>
      <c r="AB45" s="263">
        <f>IF(Main!BC46&gt;0,Main!BC46,"")</f>
        <v>42031</v>
      </c>
      <c r="AC45" s="263">
        <f>IF(Main!AW46&gt;0,Main!AW46,"")</f>
        <v>42031</v>
      </c>
      <c r="AD45" s="263">
        <f>IF(Main!BG46&gt;0,Main!BG46,"")</f>
        <v>42031</v>
      </c>
      <c r="AE45" s="263">
        <f>IF(Main!BE46&gt;0,Main!BE46,"")</f>
        <v>42041</v>
      </c>
      <c r="AF45" s="263">
        <f>IF(Main!BM46&gt;0,Main!BM46,"")</f>
        <v>42031</v>
      </c>
      <c r="AG45" s="263" t="str">
        <f>IF(Main!BN46&gt;0,Main!BN46,"")</f>
        <v/>
      </c>
      <c r="AH45" s="263" t="str">
        <f>IF(Main!BO46&gt;0,Main!BO46,"")</f>
        <v/>
      </c>
      <c r="AI45" s="263" t="str">
        <f>IF(Main!BR46&gt;0,Main!BR46,"")</f>
        <v/>
      </c>
      <c r="AJ45" s="263">
        <f>IF(Main!BQ46&gt;0,Main!BQ46,"")</f>
        <v>42031</v>
      </c>
      <c r="AK45" s="263">
        <f>IF(Main!AV46&gt;0,Main!AV46,"")</f>
        <v>42038</v>
      </c>
      <c r="AL45" s="263">
        <f>IF(Main!AU46&gt;0,Main!AU46,"")</f>
        <v>42031</v>
      </c>
      <c r="AM45" s="263">
        <f>IF(Main!AT46&gt;0,Main!AT46,"")</f>
        <v>42031</v>
      </c>
      <c r="AN45" s="259" t="str">
        <f>Main!BW46</f>
        <v xml:space="preserve">1905 1/28/2015, 2305 2/3/2015, MDR 1/29/2015, </v>
      </c>
    </row>
    <row r="46" spans="1:40" ht="15.75" thickTop="1" x14ac:dyDescent="0.25">
      <c r="A46" s="258">
        <f>Main!C47</f>
        <v>1082263</v>
      </c>
      <c r="B46" s="259" t="str">
        <f>Main!D47</f>
        <v>Alcantara, Rachelle Anne Menguito</v>
      </c>
      <c r="C46" s="259" t="str">
        <f>Main!AH47</f>
        <v>Probationary</v>
      </c>
      <c r="D46" s="260">
        <f>Main!B47</f>
        <v>42037</v>
      </c>
      <c r="E46" s="260" t="str">
        <f>IF(Main!AI47&lt;1,"",Main!AI47)</f>
        <v>ERP</v>
      </c>
      <c r="F46" s="260" t="str">
        <f>IF(Main!AJ47&lt;1,"",Main!AJ47)</f>
        <v>Angelyn Castro</v>
      </c>
      <c r="G46" s="260" t="str">
        <f>IF(Main!AK47&lt;1,"",Main!AK47)</f>
        <v/>
      </c>
      <c r="H46" s="259" t="str">
        <f>Main!Y47</f>
        <v>Senior Recruiter</v>
      </c>
      <c r="I46" s="259" t="str">
        <f>Main!Z47</f>
        <v>Level 2</v>
      </c>
      <c r="J46" s="259">
        <f>IF(Main!A47&lt;1,"",Main!A47)</f>
        <v>182</v>
      </c>
      <c r="K46" s="260">
        <f>IF(Main!AN47&gt;0,Main!AN47,"")</f>
        <v>31411</v>
      </c>
      <c r="L46" s="258" t="str">
        <f>IF(Main!Q47&gt;0,Main!Q47,"")</f>
        <v>maxsim_rama@yahoo.com</v>
      </c>
      <c r="M46" s="410">
        <f>VALUE(IF(Main!S47&gt;0,Main!S47,""))</f>
        <v>9273675931</v>
      </c>
      <c r="N46" s="261" t="str">
        <f>Main!T47</f>
        <v/>
      </c>
      <c r="O46" s="258" t="str">
        <f>IF(Main!AO47&gt;0,Main!AO47,"")</f>
        <v>Burol Main Dasmariñas Cavite</v>
      </c>
      <c r="P46" s="258" t="str">
        <f>IF(Main!AP47&gt;0,Main!AP47,"")</f>
        <v/>
      </c>
      <c r="Q46" s="258" t="str">
        <f>IF(Main!AR47&gt;0,Main!AR47,"")</f>
        <v/>
      </c>
      <c r="R46" s="259" t="str">
        <f>IF(Main!AQ47&gt;0,Main!AQ47,"")</f>
        <v>Female</v>
      </c>
      <c r="S46" s="259" t="str">
        <f>IF(Main!BD47&gt;0,Main!BD47,"")</f>
        <v>34-0004170-5</v>
      </c>
      <c r="T46" s="259" t="str">
        <f>IF(Main!AX47&gt;0,Main!AX47,"")</f>
        <v/>
      </c>
      <c r="U46" s="259" t="str">
        <f>IF(Main!BH47&gt;0,Main!BH47,"")</f>
        <v/>
      </c>
      <c r="V46" s="268" t="str">
        <f>IF(Main!BF47&gt;0,Main!BF47,"")</f>
        <v/>
      </c>
      <c r="W46" s="263">
        <f>IF(Main!BS47&gt;0,Main!BS47,"")</f>
        <v>42038</v>
      </c>
      <c r="X46" s="263">
        <f>IF(Main!BT47&gt;0,Main!BT47,"")</f>
        <v>42038</v>
      </c>
      <c r="Y46" s="263">
        <f>IF(Main!BU47&gt;0,Main!BU47,"")</f>
        <v>42038</v>
      </c>
      <c r="Z46" s="263" t="str">
        <f>IF(Main!AS47&gt;0,Main!AS47,"")</f>
        <v/>
      </c>
      <c r="AA46" s="263">
        <f>IF(Main!BJ47&gt;0,Main!BJ47,"")</f>
        <v>42038</v>
      </c>
      <c r="AB46" s="263">
        <f>IF(Main!BC47&gt;0,Main!BC47,"")</f>
        <v>42038</v>
      </c>
      <c r="AC46" s="263" t="str">
        <f>IF(Main!AW47&gt;0,Main!AW47,"")</f>
        <v/>
      </c>
      <c r="AD46" s="263" t="str">
        <f>IF(Main!BG47&gt;0,Main!BG47,"")</f>
        <v/>
      </c>
      <c r="AE46" s="263" t="str">
        <f>IF(Main!BE47&gt;0,Main!BE47,"")</f>
        <v/>
      </c>
      <c r="AF46" s="263">
        <f>IF(Main!BM47&gt;0,Main!BM47,"")</f>
        <v>42038</v>
      </c>
      <c r="AG46" s="263" t="str">
        <f>IF(Main!BN47&gt;0,Main!BN47,"")</f>
        <v/>
      </c>
      <c r="AH46" s="263" t="str">
        <f>IF(Main!BO47&gt;0,Main!BO47,"")</f>
        <v/>
      </c>
      <c r="AI46" s="263" t="str">
        <f>IF(Main!BR47&gt;0,Main!BR47,"")</f>
        <v/>
      </c>
      <c r="AJ46" s="263" t="str">
        <f>IF(Main!BQ47&gt;0,Main!BQ47,"")</f>
        <v/>
      </c>
      <c r="AK46" s="263">
        <f>IF(Main!AV47&gt;0,Main!AV47,"")</f>
        <v>42039</v>
      </c>
      <c r="AL46" s="263" t="str">
        <f>IF(Main!AU47&gt;0,Main!AU47,"")</f>
        <v/>
      </c>
      <c r="AM46" s="263" t="str">
        <f>IF(Main!AT47&gt;0,Main!AT47,"")</f>
        <v/>
      </c>
      <c r="AN46" s="259" t="str">
        <f>Main!BW47</f>
        <v xml:space="preserve">2305 (for processing) 2/3/2015, </v>
      </c>
    </row>
    <row r="47" spans="1:40" x14ac:dyDescent="0.25">
      <c r="A47" s="258">
        <f>Main!C48</f>
        <v>1082264</v>
      </c>
      <c r="B47" s="259" t="str">
        <f>Main!D48</f>
        <v>De Vera, Saturnino Lastrilla</v>
      </c>
      <c r="C47" s="259" t="str">
        <f>Main!AH48</f>
        <v>Probationary</v>
      </c>
      <c r="D47" s="260">
        <f>Main!B48</f>
        <v>42037</v>
      </c>
      <c r="E47" s="260" t="str">
        <f>IF(Main!AI48&lt;1,"",Main!AI48)</f>
        <v>Jobstreet</v>
      </c>
      <c r="F47" s="260" t="str">
        <f>IF(Main!AJ48&lt;1,"",Main!AJ48)</f>
        <v/>
      </c>
      <c r="G47" s="260" t="str">
        <f>IF(Main!AK48&lt;1,"",Main!AK48)</f>
        <v/>
      </c>
      <c r="H47" s="259" t="str">
        <f>Main!Y48</f>
        <v>Senior Recruiter</v>
      </c>
      <c r="I47" s="259" t="str">
        <f>Main!Z48</f>
        <v>Level 2</v>
      </c>
      <c r="J47" s="259">
        <f>IF(Main!A48&lt;1,"",Main!A48)</f>
        <v>182</v>
      </c>
      <c r="K47" s="260">
        <f>IF(Main!AN48&gt;0,Main!AN48,"")</f>
        <v>33350</v>
      </c>
      <c r="L47" s="258" t="str">
        <f>IF(Main!Q48&gt;0,Main!Q48,"")</f>
        <v>saturn220523@gmail.com</v>
      </c>
      <c r="M47" s="410">
        <f>VALUE(IF(Main!S48&gt;0,Main!S48,""))</f>
        <v>9771975301</v>
      </c>
      <c r="N47" s="261" t="str">
        <f>Main!T48</f>
        <v/>
      </c>
      <c r="O47" s="258" t="str">
        <f>IF(Main!AO48&gt;0,Main!AO48,"")</f>
        <v>784 S. dela Cuesta St. Brgy Muzon Taytay Rizal</v>
      </c>
      <c r="P47" s="258" t="str">
        <f>IF(Main!AP48&gt;0,Main!AP48,"")</f>
        <v>784 S. dela Cuesta St. Brgy Muzon Taytay Rizal</v>
      </c>
      <c r="Q47" s="258" t="str">
        <f>IF(Main!AR48&gt;0,Main!AR48,"")</f>
        <v>Single</v>
      </c>
      <c r="R47" s="259" t="str">
        <f>IF(Main!AQ48&gt;0,Main!AQ48,"")</f>
        <v>Male</v>
      </c>
      <c r="S47" s="259" t="str">
        <f>IF(Main!BD48&gt;0,Main!BD48,"")</f>
        <v>05-0798329-3</v>
      </c>
      <c r="T47" s="259" t="str">
        <f>IF(Main!AX48&gt;0,Main!AX48,"")</f>
        <v>500-063-168</v>
      </c>
      <c r="U47" s="259" t="str">
        <f>IF(Main!BH48&gt;0,Main!BH48,"")</f>
        <v>10-050139915-3</v>
      </c>
      <c r="V47" s="268" t="str">
        <f>IF(Main!BF48&gt;0,Main!BF48,"")</f>
        <v>1210-3110-9495</v>
      </c>
      <c r="W47" s="263">
        <f>IF(Main!BS48&gt;0,Main!BS48,"")</f>
        <v>42038</v>
      </c>
      <c r="X47" s="263">
        <f>IF(Main!BT48&gt;0,Main!BT48,"")</f>
        <v>42038</v>
      </c>
      <c r="Y47" s="263">
        <f>IF(Main!BU48&gt;0,Main!BU48,"")</f>
        <v>42038</v>
      </c>
      <c r="Z47" s="263">
        <f>IF(Main!AS48&gt;0,Main!AS48,"")</f>
        <v>42039</v>
      </c>
      <c r="AA47" s="263">
        <f>IF(Main!BJ48&gt;0,Main!BJ48,"")</f>
        <v>42045</v>
      </c>
      <c r="AB47" s="263">
        <f>IF(Main!BC48&gt;0,Main!BC48,"")</f>
        <v>42039</v>
      </c>
      <c r="AC47" s="263">
        <f>IF(Main!AW48&gt;0,Main!AW48,"")</f>
        <v>42054</v>
      </c>
      <c r="AD47" s="263">
        <f>IF(Main!BG48&gt;0,Main!BG48,"")</f>
        <v>42039</v>
      </c>
      <c r="AE47" s="263">
        <f>IF(Main!BE48&gt;0,Main!BE48,"")</f>
        <v>42041</v>
      </c>
      <c r="AF47" s="263">
        <f>IF(Main!BM48&gt;0,Main!BM48,"")</f>
        <v>42039</v>
      </c>
      <c r="AG47" s="263" t="str">
        <f>IF(Main!BN48&gt;0,Main!BN48,"")</f>
        <v/>
      </c>
      <c r="AH47" s="263" t="str">
        <f>IF(Main!BO48&gt;0,Main!BO48,"")</f>
        <v/>
      </c>
      <c r="AI47" s="263" t="str">
        <f>IF(Main!BR48&gt;0,Main!BR48,"")</f>
        <v/>
      </c>
      <c r="AJ47" s="263" t="str">
        <f>IF(Main!BQ48&gt;0,Main!BQ48,"")</f>
        <v/>
      </c>
      <c r="AK47" s="263">
        <f>IF(Main!AV48&gt;0,Main!AV48,"")</f>
        <v>42039</v>
      </c>
      <c r="AL47" s="263">
        <f>IF(Main!AU48&gt;0,Main!AU48,"")</f>
        <v>42039</v>
      </c>
      <c r="AM47" s="263">
        <f>IF(Main!AT48&gt;0,Main!AT48,"")</f>
        <v>42039</v>
      </c>
      <c r="AN47" s="259" t="str">
        <f>Main!BW48</f>
        <v xml:space="preserve">2305 2/3/2015, </v>
      </c>
    </row>
    <row r="48" spans="1:40" x14ac:dyDescent="0.25">
      <c r="A48" s="258">
        <f>Main!C49</f>
        <v>1082265</v>
      </c>
      <c r="B48" s="259" t="str">
        <f>Main!D49</f>
        <v>Evangelista, Mervin Fernandez</v>
      </c>
      <c r="C48" s="259" t="str">
        <f>Main!AH49</f>
        <v>Probationary</v>
      </c>
      <c r="D48" s="260">
        <f>Main!B49</f>
        <v>42037</v>
      </c>
      <c r="E48" s="260" t="str">
        <f>IF(Main!AI49&lt;1,"",Main!AI49)</f>
        <v>Jobstreet</v>
      </c>
      <c r="F48" s="260" t="str">
        <f>IF(Main!AJ49&lt;1,"",Main!AJ49)</f>
        <v/>
      </c>
      <c r="G48" s="260" t="str">
        <f>IF(Main!AK49&lt;1,"",Main!AK49)</f>
        <v/>
      </c>
      <c r="H48" s="259" t="str">
        <f>Main!Y49</f>
        <v>Senior Recruiter</v>
      </c>
      <c r="I48" s="259" t="str">
        <f>Main!Z49</f>
        <v>Level 2</v>
      </c>
      <c r="J48" s="259">
        <f>IF(Main!A49&lt;1,"",Main!A49)</f>
        <v>182</v>
      </c>
      <c r="K48" s="260">
        <f>IF(Main!AN49&gt;0,Main!AN49,"")</f>
        <v>30034</v>
      </c>
      <c r="L48" s="258" t="str">
        <f>IF(Main!Q49&gt;0,Main!Q49,"")</f>
        <v>mervinevangelista32@yahoo.com</v>
      </c>
      <c r="M48" s="410">
        <f>VALUE(IF(Main!S49&gt;0,Main!S49,""))</f>
        <v>9159183033</v>
      </c>
      <c r="N48" s="261" t="str">
        <f>Main!T49</f>
        <v/>
      </c>
      <c r="O48" s="258" t="str">
        <f>IF(Main!AO49&gt;0,Main!AO49,"")</f>
        <v>111 Sunflower St. Wonderland Townhomes Mandaluyong City</v>
      </c>
      <c r="P48" s="258" t="str">
        <f>IF(Main!AP49&gt;0,Main!AP49,"")</f>
        <v>111 Sunflower St. Wonderland Townhomes Mandaluyong City</v>
      </c>
      <c r="Q48" s="258" t="str">
        <f>IF(Main!AR49&gt;0,Main!AR49,"")</f>
        <v>Single</v>
      </c>
      <c r="R48" s="259" t="str">
        <f>IF(Main!AQ49&gt;0,Main!AQ49,"")</f>
        <v>Male</v>
      </c>
      <c r="S48" s="259" t="str">
        <f>IF(Main!BD49&gt;0,Main!BD49,"")</f>
        <v>33-7312963-1</v>
      </c>
      <c r="T48" s="259" t="str">
        <f>IF(Main!AX49&gt;0,Main!AX49,"")</f>
        <v>223-456-097</v>
      </c>
      <c r="U48" s="259" t="str">
        <f>IF(Main!BH49&gt;0,Main!BH49,"")</f>
        <v>01-050185249-5</v>
      </c>
      <c r="V48" s="268" t="str">
        <f>IF(Main!BF49&gt;0,Main!BF49,"")</f>
        <v>1211-3663-2607</v>
      </c>
      <c r="W48" s="263">
        <f>IF(Main!BS49&gt;0,Main!BS49,"")</f>
        <v>42038</v>
      </c>
      <c r="X48" s="263">
        <f>IF(Main!BT49&gt;0,Main!BT49,"")</f>
        <v>42038</v>
      </c>
      <c r="Y48" s="263">
        <f>IF(Main!BU49&gt;0,Main!BU49,"")</f>
        <v>42038</v>
      </c>
      <c r="Z48" s="263">
        <f>IF(Main!AS49&gt;0,Main!AS49,"")</f>
        <v>42038</v>
      </c>
      <c r="AA48" s="263">
        <f>IF(Main!BJ49&gt;0,Main!BJ49,"")</f>
        <v>42042</v>
      </c>
      <c r="AB48" s="263">
        <f>IF(Main!BC49&gt;0,Main!BC49,"")</f>
        <v>42038</v>
      </c>
      <c r="AC48" s="263">
        <f>IF(Main!AW49&gt;0,Main!AW49,"")</f>
        <v>42038</v>
      </c>
      <c r="AD48" s="263">
        <f>IF(Main!BG49&gt;0,Main!BG49,"")</f>
        <v>42038</v>
      </c>
      <c r="AE48" s="263">
        <f>IF(Main!BE49&gt;0,Main!BE49,"")</f>
        <v>42040</v>
      </c>
      <c r="AF48" s="263">
        <f>IF(Main!BM49&gt;0,Main!BM49,"")</f>
        <v>42038</v>
      </c>
      <c r="AG48" s="263" t="str">
        <f>IF(Main!BN49&gt;0,Main!BN49,"")</f>
        <v/>
      </c>
      <c r="AH48" s="263" t="str">
        <f>IF(Main!BO49&gt;0,Main!BO49,"")</f>
        <v/>
      </c>
      <c r="AI48" s="263">
        <f>IF(Main!BR49&gt;0,Main!BR49,"")</f>
        <v>42038</v>
      </c>
      <c r="AJ48" s="263">
        <f>IF(Main!BQ49&gt;0,Main!BQ49,"")</f>
        <v>42038</v>
      </c>
      <c r="AK48" s="263">
        <f>IF(Main!AV49&gt;0,Main!AV49,"")</f>
        <v>42038</v>
      </c>
      <c r="AL48" s="263">
        <f>IF(Main!AU49&gt;0,Main!AU49,"")</f>
        <v>42038</v>
      </c>
      <c r="AM48" s="263">
        <f>IF(Main!AT49&gt;0,Main!AT49,"")</f>
        <v>42038</v>
      </c>
      <c r="AN48" s="259" t="str">
        <f>Main!BW49</f>
        <v xml:space="preserve">1905 2/5/2015, 2305 2/3/2015, MDR 2/5/2015, </v>
      </c>
    </row>
    <row r="49" spans="1:40" x14ac:dyDescent="0.25">
      <c r="A49" s="258">
        <f>Main!C50</f>
        <v>1082266</v>
      </c>
      <c r="B49" s="259" t="str">
        <f>Main!D50</f>
        <v>Gaela, Christopher Catausan</v>
      </c>
      <c r="C49" s="259" t="str">
        <f>Main!AH50</f>
        <v>Probationary</v>
      </c>
      <c r="D49" s="260">
        <f>Main!B50</f>
        <v>42037</v>
      </c>
      <c r="E49" s="260" t="str">
        <f>IF(Main!AI50&lt;1,"",Main!AI50)</f>
        <v>Facebook</v>
      </c>
      <c r="F49" s="260" t="str">
        <f>IF(Main!AJ50&lt;1,"",Main!AJ50)</f>
        <v/>
      </c>
      <c r="G49" s="260" t="str">
        <f>IF(Main!AK50&lt;1,"",Main!AK50)</f>
        <v/>
      </c>
      <c r="H49" s="259" t="str">
        <f>Main!Y50</f>
        <v>Senior Recruiter</v>
      </c>
      <c r="I49" s="259" t="str">
        <f>Main!Z50</f>
        <v>Level 2</v>
      </c>
      <c r="J49" s="259">
        <f>IF(Main!A50&lt;1,"",Main!A50)</f>
        <v>182</v>
      </c>
      <c r="K49" s="260">
        <f>IF(Main!AN50&gt;0,Main!AN50,"")</f>
        <v>31114</v>
      </c>
      <c r="L49" s="258" t="str">
        <f>IF(Main!Q50&gt;0,Main!Q50,"")</f>
        <v>christophergaela@gmail.com</v>
      </c>
      <c r="M49" s="410">
        <f>VALUE(IF(Main!S50&gt;0,Main!S50,""))</f>
        <v>9156147270</v>
      </c>
      <c r="N49" s="261" t="str">
        <f>Main!T50</f>
        <v/>
      </c>
      <c r="O49" s="258" t="str">
        <f>IF(Main!AO50&gt;0,Main!AO50,"")</f>
        <v>511 Ibiza Chateau Valenzuela 16 P Gregorio St. Lingunan Valenzuela City</v>
      </c>
      <c r="P49" s="258" t="str">
        <f>IF(Main!AP50&gt;0,Main!AP50,"")</f>
        <v>511 Ibiza Chateau Valenzuela 16 P Gregorio St. Lingunan Valenzuela City</v>
      </c>
      <c r="Q49" s="258" t="str">
        <f>IF(Main!AR50&gt;0,Main!AR50,"")</f>
        <v>Single Parent</v>
      </c>
      <c r="R49" s="259" t="str">
        <f>IF(Main!AQ50&gt;0,Main!AQ50,"")</f>
        <v>Male</v>
      </c>
      <c r="S49" s="259" t="str">
        <f>IF(Main!BD50&gt;0,Main!BD50,"")</f>
        <v>33-8807020-9</v>
      </c>
      <c r="T49" s="259" t="str">
        <f>IF(Main!AX50&gt;0,Main!AX50,"")</f>
        <v>229-256-686</v>
      </c>
      <c r="U49" s="259" t="str">
        <f>IF(Main!BH50&gt;0,Main!BH50,"")</f>
        <v>03-050296985-0</v>
      </c>
      <c r="V49" s="268" t="str">
        <f>IF(Main!BF50&gt;0,Main!BF50,"")</f>
        <v>1080-0216-6970</v>
      </c>
      <c r="W49" s="263">
        <f>IF(Main!BS50&gt;0,Main!BS50,"")</f>
        <v>42038</v>
      </c>
      <c r="X49" s="263">
        <f>IF(Main!BT50&gt;0,Main!BT50,"")</f>
        <v>42038</v>
      </c>
      <c r="Y49" s="263">
        <f>IF(Main!BU50&gt;0,Main!BU50,"")</f>
        <v>42038</v>
      </c>
      <c r="Z49" s="263">
        <f>IF(Main!AS50&gt;0,Main!AS50,"")</f>
        <v>42053</v>
      </c>
      <c r="AA49" s="263">
        <f>IF(Main!BJ50&gt;0,Main!BJ50,"")</f>
        <v>42053</v>
      </c>
      <c r="AB49" s="263">
        <f>IF(Main!BC50&gt;0,Main!BC50,"")</f>
        <v>42045</v>
      </c>
      <c r="AC49" s="263">
        <f>IF(Main!AW50&gt;0,Main!AW50,"")</f>
        <v>42053</v>
      </c>
      <c r="AD49" s="263">
        <f>IF(Main!BG50&gt;0,Main!BG50,"")</f>
        <v>42053</v>
      </c>
      <c r="AE49" s="263">
        <f>IF(Main!BE50&gt;0,Main!BE50,"")</f>
        <v>42045</v>
      </c>
      <c r="AF49" s="263">
        <f>IF(Main!BM50&gt;0,Main!BM50,"")</f>
        <v>42045</v>
      </c>
      <c r="AG49" s="263" t="str">
        <f>IF(Main!BN50&gt;0,Main!BN50,"")</f>
        <v/>
      </c>
      <c r="AH49" s="263" t="str">
        <f>IF(Main!BO50&gt;0,Main!BO50,"")</f>
        <v/>
      </c>
      <c r="AI49" s="263" t="str">
        <f>IF(Main!BR50&gt;0,Main!BR50,"")</f>
        <v/>
      </c>
      <c r="AJ49" s="263">
        <f>IF(Main!BQ50&gt;0,Main!BQ50,"")</f>
        <v>42045</v>
      </c>
      <c r="AK49" s="263">
        <f>IF(Main!AV50&gt;0,Main!AV50,"")</f>
        <v>42039</v>
      </c>
      <c r="AL49" s="263">
        <f>IF(Main!AU50&gt;0,Main!AU50,"")</f>
        <v>42045</v>
      </c>
      <c r="AM49" s="263">
        <f>IF(Main!AT50&gt;0,Main!AT50,"")</f>
        <v>42045</v>
      </c>
      <c r="AN49" s="259" t="str">
        <f>Main!BW50</f>
        <v xml:space="preserve">1905 2/18/2015, 2305 2/3/2015, MDR 2/18/2015, </v>
      </c>
    </row>
    <row r="50" spans="1:40" x14ac:dyDescent="0.25">
      <c r="A50" s="258">
        <f>Main!C51</f>
        <v>1082267</v>
      </c>
      <c r="B50" s="259" t="str">
        <f>Main!D51</f>
        <v>Guevara, Febie Lou Cabarroguis</v>
      </c>
      <c r="C50" s="259" t="str">
        <f>Main!AH51</f>
        <v>Probationary</v>
      </c>
      <c r="D50" s="260">
        <f>Main!B51</f>
        <v>42037</v>
      </c>
      <c r="E50" s="260" t="str">
        <f>IF(Main!AI51&lt;1,"",Main!AI51)</f>
        <v>ERP</v>
      </c>
      <c r="F50" s="260" t="str">
        <f>IF(Main!AJ51&lt;1,"",Main!AJ51)</f>
        <v>Myrna Victorio</v>
      </c>
      <c r="G50" s="260" t="str">
        <f>IF(Main!AK51&lt;1,"",Main!AK51)</f>
        <v/>
      </c>
      <c r="H50" s="259" t="str">
        <f>Main!Y51</f>
        <v>Senior Recruiter</v>
      </c>
      <c r="I50" s="259" t="str">
        <f>Main!Z51</f>
        <v>Level 2</v>
      </c>
      <c r="J50" s="259">
        <f>IF(Main!A51&lt;1,"",Main!A51)</f>
        <v>182</v>
      </c>
      <c r="K50" s="260">
        <f>IF(Main!AN51&gt;0,Main!AN51,"")</f>
        <v>32543</v>
      </c>
      <c r="L50" s="258" t="str">
        <f>IF(Main!Q51&gt;0,Main!Q51,"")</f>
        <v>febielouguevara@yahoo.com</v>
      </c>
      <c r="M50" s="410">
        <f>VALUE(IF(Main!S51&gt;0,Main!S51,""))</f>
        <v>9179479553</v>
      </c>
      <c r="N50" s="261" t="str">
        <f>Main!T51</f>
        <v/>
      </c>
      <c r="O50" s="258" t="str">
        <f>IF(Main!AO51&gt;0,Main!AO51,"")</f>
        <v>Velasquez St. Zapanta Compound Bangiad, Taytay Rizal</v>
      </c>
      <c r="P50" s="258" t="str">
        <f>IF(Main!AP51&gt;0,Main!AP51,"")</f>
        <v>Velasquez St. Zapanta Compound Bangiad, Taytay Rizal</v>
      </c>
      <c r="Q50" s="258" t="str">
        <f>IF(Main!AR51&gt;0,Main!AR51,"")</f>
        <v>Single</v>
      </c>
      <c r="R50" s="259" t="str">
        <f>IF(Main!AQ51&gt;0,Main!AQ51,"")</f>
        <v>Female</v>
      </c>
      <c r="S50" s="259" t="str">
        <f>IF(Main!BD51&gt;0,Main!BD51,"")</f>
        <v>34-1642444-2</v>
      </c>
      <c r="T50" s="259" t="str">
        <f>IF(Main!AX51&gt;0,Main!AX51,"")</f>
        <v>276-307-097</v>
      </c>
      <c r="U50" s="259" t="str">
        <f>IF(Main!BH51&gt;0,Main!BH51,"")</f>
        <v>01-051365158-4</v>
      </c>
      <c r="V50" s="268" t="str">
        <f>IF(Main!BF51&gt;0,Main!BF51,"")</f>
        <v>1210-2346-3065</v>
      </c>
      <c r="W50" s="263">
        <f>IF(Main!BS51&gt;0,Main!BS51,"")</f>
        <v>42038</v>
      </c>
      <c r="X50" s="263">
        <f>IF(Main!BT51&gt;0,Main!BT51,"")</f>
        <v>42038</v>
      </c>
      <c r="Y50" s="263">
        <f>IF(Main!BU51&gt;0,Main!BU51,"")</f>
        <v>42038</v>
      </c>
      <c r="Z50" s="263">
        <f>IF(Main!AS51&gt;0,Main!AS51,"")</f>
        <v>42039</v>
      </c>
      <c r="AA50" s="263" t="str">
        <f>IF(Main!BJ51&gt;0,Main!BJ51,"")</f>
        <v/>
      </c>
      <c r="AB50" s="263">
        <f>IF(Main!BC51&gt;0,Main!BC51,"")</f>
        <v>42038</v>
      </c>
      <c r="AC50" s="263">
        <f>IF(Main!AW51&gt;0,Main!AW51,"")</f>
        <v>42038</v>
      </c>
      <c r="AD50" s="263">
        <f>IF(Main!BG51&gt;0,Main!BG51,"")</f>
        <v>42039</v>
      </c>
      <c r="AE50" s="263">
        <f>IF(Main!BE51&gt;0,Main!BE51,"")</f>
        <v>42040</v>
      </c>
      <c r="AF50" s="263">
        <f>IF(Main!BM51&gt;0,Main!BM51,"")</f>
        <v>42038</v>
      </c>
      <c r="AG50" s="263" t="str">
        <f>IF(Main!BN51&gt;0,Main!BN51,"")</f>
        <v/>
      </c>
      <c r="AH50" s="263">
        <f>IF(Main!BO51&gt;0,Main!BO51,"")</f>
        <v>42038</v>
      </c>
      <c r="AI50" s="263" t="str">
        <f>IF(Main!BR51&gt;0,Main!BR51,"")</f>
        <v/>
      </c>
      <c r="AJ50" s="263">
        <f>IF(Main!BQ51&gt;0,Main!BQ51,"")</f>
        <v>42038</v>
      </c>
      <c r="AK50" s="263">
        <f>IF(Main!AV51&gt;0,Main!AV51,"")</f>
        <v>42039</v>
      </c>
      <c r="AL50" s="263">
        <f>IF(Main!AU51&gt;0,Main!AU51,"")</f>
        <v>42039</v>
      </c>
      <c r="AM50" s="263">
        <f>IF(Main!AT51&gt;0,Main!AT51,"")</f>
        <v>42039</v>
      </c>
      <c r="AN50" s="259" t="str">
        <f>Main!BW51</f>
        <v xml:space="preserve">2305 (for processing) 2/3/2015, MDR 2/4/2015, </v>
      </c>
    </row>
    <row r="51" spans="1:40" x14ac:dyDescent="0.25">
      <c r="A51" s="258">
        <f>Main!C52</f>
        <v>1082268</v>
      </c>
      <c r="B51" s="259" t="str">
        <f>Main!D52</f>
        <v>Penus, Louella Jane Escamillas</v>
      </c>
      <c r="C51" s="259" t="str">
        <f>Main!AH52</f>
        <v>Probationary</v>
      </c>
      <c r="D51" s="260">
        <f>Main!B52</f>
        <v>42037</v>
      </c>
      <c r="E51" s="260" t="str">
        <f>IF(Main!AI52&lt;1,"",Main!AI52)</f>
        <v>ERP</v>
      </c>
      <c r="F51" s="260" t="str">
        <f>IF(Main!AJ52&lt;1,"",Main!AJ52)</f>
        <v>Jomel Carandang</v>
      </c>
      <c r="G51" s="260" t="str">
        <f>IF(Main!AK52&lt;1,"",Main!AK52)</f>
        <v/>
      </c>
      <c r="H51" s="259" t="str">
        <f>Main!Y52</f>
        <v>Senior Recruiter</v>
      </c>
      <c r="I51" s="259" t="str">
        <f>Main!Z52</f>
        <v>Level 2</v>
      </c>
      <c r="J51" s="259">
        <f>IF(Main!A52&lt;1,"",Main!A52)</f>
        <v>182</v>
      </c>
      <c r="K51" s="260">
        <f>IF(Main!AN52&gt;0,Main!AN52,"")</f>
        <v>32452</v>
      </c>
      <c r="L51" s="258" t="str">
        <f>IF(Main!Q52&gt;0,Main!Q52,"")</f>
        <v>ljpenus@gmail.com</v>
      </c>
      <c r="M51" s="410">
        <f>VALUE(IF(Main!S52&gt;0,Main!S52,""))</f>
        <v>9081302710</v>
      </c>
      <c r="N51" s="261" t="str">
        <f>Main!T52</f>
        <v/>
      </c>
      <c r="O51" s="258" t="str">
        <f>IF(Main!AO52&gt;0,Main!AO52,"")</f>
        <v>6965F Washington St. Pio Del Pilar, Makati</v>
      </c>
      <c r="P51" s="258" t="str">
        <f>IF(Main!AP52&gt;0,Main!AP52,"")</f>
        <v/>
      </c>
      <c r="Q51" s="258" t="str">
        <f>IF(Main!AR52&gt;0,Main!AR52,"")</f>
        <v/>
      </c>
      <c r="R51" s="259" t="str">
        <f>IF(Main!AQ52&gt;0,Main!AQ52,"")</f>
        <v>Female</v>
      </c>
      <c r="S51" s="259" t="str">
        <f>IF(Main!BD52&gt;0,Main!BD52,"")</f>
        <v/>
      </c>
      <c r="T51" s="259" t="str">
        <f>IF(Main!AX52&gt;0,Main!AX52,"")</f>
        <v/>
      </c>
      <c r="U51" s="259" t="str">
        <f>IF(Main!BH52&gt;0,Main!BH52,"")</f>
        <v/>
      </c>
      <c r="V51" s="268" t="str">
        <f>IF(Main!BF52&gt;0,Main!BF52,"")</f>
        <v/>
      </c>
      <c r="W51" s="263">
        <f>IF(Main!BS52&gt;0,Main!BS52,"")</f>
        <v>42038</v>
      </c>
      <c r="X51" s="263">
        <f>IF(Main!BT52&gt;0,Main!BT52,"")</f>
        <v>42038</v>
      </c>
      <c r="Y51" s="263">
        <f>IF(Main!BU52&gt;0,Main!BU52,"")</f>
        <v>42038</v>
      </c>
      <c r="Z51" s="263" t="str">
        <f>IF(Main!AS52&gt;0,Main!AS52,"")</f>
        <v/>
      </c>
      <c r="AA51" s="263" t="str">
        <f>IF(Main!BJ52&gt;0,Main!BJ52,"")</f>
        <v/>
      </c>
      <c r="AB51" s="263" t="str">
        <f>IF(Main!BC52&gt;0,Main!BC52,"")</f>
        <v/>
      </c>
      <c r="AC51" s="263" t="str">
        <f>IF(Main!AW52&gt;0,Main!AW52,"")</f>
        <v/>
      </c>
      <c r="AD51" s="263" t="str">
        <f>IF(Main!BG52&gt;0,Main!BG52,"")</f>
        <v/>
      </c>
      <c r="AE51" s="263" t="str">
        <f>IF(Main!BE52&gt;0,Main!BE52,"")</f>
        <v/>
      </c>
      <c r="AF51" s="263" t="str">
        <f>IF(Main!BM52&gt;0,Main!BM52,"")</f>
        <v/>
      </c>
      <c r="AG51" s="263" t="str">
        <f>IF(Main!BN52&gt;0,Main!BN52,"")</f>
        <v/>
      </c>
      <c r="AH51" s="263" t="str">
        <f>IF(Main!BO52&gt;0,Main!BO52,"")</f>
        <v/>
      </c>
      <c r="AI51" s="263" t="str">
        <f>IF(Main!BR52&gt;0,Main!BR52,"")</f>
        <v/>
      </c>
      <c r="AJ51" s="263" t="str">
        <f>IF(Main!BQ52&gt;0,Main!BQ52,"")</f>
        <v/>
      </c>
      <c r="AK51" s="263">
        <f>IF(Main!AV52&gt;0,Main!AV52,"")</f>
        <v>42039</v>
      </c>
      <c r="AL51" s="263" t="str">
        <f>IF(Main!AU52&gt;0,Main!AU52,"")</f>
        <v/>
      </c>
      <c r="AM51" s="263" t="str">
        <f>IF(Main!AT52&gt;0,Main!AT52,"")</f>
        <v/>
      </c>
      <c r="AN51" s="259" t="str">
        <f>Main!BW52</f>
        <v>2305 (for processing) 2/3/2015,</v>
      </c>
    </row>
    <row r="52" spans="1:40" x14ac:dyDescent="0.25">
      <c r="A52" s="258">
        <f>Main!C53</f>
        <v>1082269</v>
      </c>
      <c r="B52" s="259" t="str">
        <f>Main!D53</f>
        <v>Santos, Andrew Angulo</v>
      </c>
      <c r="C52" s="259" t="str">
        <f>Main!AH53</f>
        <v>Probationary</v>
      </c>
      <c r="D52" s="260">
        <f>Main!B53</f>
        <v>42037</v>
      </c>
      <c r="E52" s="260" t="str">
        <f>IF(Main!AI53&lt;1,"",Main!AI53)</f>
        <v>Jobstreet</v>
      </c>
      <c r="F52" s="260" t="str">
        <f>IF(Main!AJ53&lt;1,"",Main!AJ53)</f>
        <v/>
      </c>
      <c r="G52" s="260" t="str">
        <f>IF(Main!AK53&lt;1,"",Main!AK53)</f>
        <v/>
      </c>
      <c r="H52" s="259" t="str">
        <f>Main!Y53</f>
        <v>Senior Recruiter</v>
      </c>
      <c r="I52" s="259" t="str">
        <f>Main!Z53</f>
        <v>Level 2</v>
      </c>
      <c r="J52" s="259">
        <f>IF(Main!A53&lt;1,"",Main!A53)</f>
        <v>182</v>
      </c>
      <c r="K52" s="260">
        <f>IF(Main!AN53&gt;0,Main!AN53,"")</f>
        <v>32569</v>
      </c>
      <c r="L52" s="258" t="str">
        <f>IF(Main!Q53&gt;0,Main!Q53,"")</f>
        <v>andrewsantos3231@gmail.com</v>
      </c>
      <c r="M52" s="410">
        <f>VALUE(IF(Main!S53&gt;0,Main!S53,""))</f>
        <v>9278149348</v>
      </c>
      <c r="N52" s="261" t="str">
        <f>Main!T53</f>
        <v/>
      </c>
      <c r="O52" s="258" t="str">
        <f>IF(Main!AO53&gt;0,Main!AO53,"")</f>
        <v>#11C Sociego Street Tinajeros Malabon City</v>
      </c>
      <c r="P52" s="258" t="str">
        <f>IF(Main!AP53&gt;0,Main!AP53,"")</f>
        <v>#11C Sociego Street Tinajeros Malabon City</v>
      </c>
      <c r="Q52" s="258" t="str">
        <f>IF(Main!AR53&gt;0,Main!AR53,"")</f>
        <v>Married</v>
      </c>
      <c r="R52" s="259" t="str">
        <f>IF(Main!AQ53&gt;0,Main!AQ53,"")</f>
        <v>Male</v>
      </c>
      <c r="S52" s="259" t="str">
        <f>IF(Main!BD53&gt;0,Main!BD53,"")</f>
        <v>02-3128704-5</v>
      </c>
      <c r="T52" s="259" t="str">
        <f>IF(Main!AX53&gt;0,Main!AX53,"")</f>
        <v>418-157-267</v>
      </c>
      <c r="U52" s="259" t="str">
        <f>IF(Main!BH53&gt;0,Main!BH53,"")</f>
        <v>07-025546742-3</v>
      </c>
      <c r="V52" s="268" t="str">
        <f>IF(Main!BF53&gt;0,Main!BF53,"")</f>
        <v>1210-6616-4011</v>
      </c>
      <c r="W52" s="263">
        <f>IF(Main!BS53&gt;0,Main!BS53,"")</f>
        <v>42038</v>
      </c>
      <c r="X52" s="263">
        <f>IF(Main!BT53&gt;0,Main!BT53,"")</f>
        <v>42038</v>
      </c>
      <c r="Y52" s="263">
        <f>IF(Main!BU53&gt;0,Main!BU53,"")</f>
        <v>42038</v>
      </c>
      <c r="Z52" s="263">
        <f>IF(Main!AS53&gt;0,Main!AS53,"")</f>
        <v>42040</v>
      </c>
      <c r="AA52" s="263">
        <f>IF(Main!BJ53&gt;0,Main!BJ53,"")</f>
        <v>42052</v>
      </c>
      <c r="AB52" s="263">
        <f>IF(Main!BC53&gt;0,Main!BC53,"")</f>
        <v>42038</v>
      </c>
      <c r="AC52" s="263">
        <f>IF(Main!AW53&gt;0,Main!AW53,"")</f>
        <v>42045</v>
      </c>
      <c r="AD52" s="263">
        <f>IF(Main!BG53&gt;0,Main!BG53,"")</f>
        <v>42038</v>
      </c>
      <c r="AE52" s="263">
        <f>IF(Main!BE53&gt;0,Main!BE53,"")</f>
        <v>42052</v>
      </c>
      <c r="AF52" s="263">
        <f>IF(Main!BM53&gt;0,Main!BM53,"")</f>
        <v>42040</v>
      </c>
      <c r="AG52" s="263">
        <f>IF(Main!BN53&gt;0,Main!BN53,"")</f>
        <v>42040</v>
      </c>
      <c r="AH52" s="263">
        <f>IF(Main!BO53&gt;0,Main!BO53,"")</f>
        <v>42040</v>
      </c>
      <c r="AI52" s="263">
        <f>IF(Main!BR53&gt;0,Main!BR53,"")</f>
        <v>42109</v>
      </c>
      <c r="AJ52" s="263" t="str">
        <f>IF(Main!BQ53&gt;0,Main!BQ53,"")</f>
        <v/>
      </c>
      <c r="AK52" s="263">
        <f>IF(Main!AV53&gt;0,Main!AV53,"")</f>
        <v>42039</v>
      </c>
      <c r="AL52" s="263">
        <f>IF(Main!AU53&gt;0,Main!AU53,"")</f>
        <v>42038</v>
      </c>
      <c r="AM52" s="263">
        <f>IF(Main!AT53&gt;0,Main!AT53,"")</f>
        <v>42038</v>
      </c>
      <c r="AN52" s="259" t="str">
        <f>Main!BW53</f>
        <v xml:space="preserve">1905 2/10/2015, 2305 2/3/2015, 2316 4/15/2015, </v>
      </c>
    </row>
    <row r="53" spans="1:40" x14ac:dyDescent="0.25">
      <c r="A53" s="258">
        <f>Main!C54</f>
        <v>1082270</v>
      </c>
      <c r="B53" s="259" t="str">
        <f>Main!D54</f>
        <v>Soriano, Jorelle Jave Mores</v>
      </c>
      <c r="C53" s="259" t="str">
        <f>Main!AH54</f>
        <v>Probationary</v>
      </c>
      <c r="D53" s="260">
        <f>Main!B54</f>
        <v>42037</v>
      </c>
      <c r="E53" s="260" t="str">
        <f>IF(Main!AI54&lt;1,"",Main!AI54)</f>
        <v>Excel Asia</v>
      </c>
      <c r="F53" s="260" t="str">
        <f>IF(Main!AJ54&lt;1,"",Main!AJ54)</f>
        <v/>
      </c>
      <c r="G53" s="260" t="str">
        <f>IF(Main!AK54&lt;1,"",Main!AK54)</f>
        <v/>
      </c>
      <c r="H53" s="259" t="str">
        <f>Main!Y54</f>
        <v>Senior Recruiter</v>
      </c>
      <c r="I53" s="259" t="str">
        <f>Main!Z54</f>
        <v>Level 1</v>
      </c>
      <c r="J53" s="259">
        <f>IF(Main!A54&lt;1,"",Main!A54)</f>
        <v>182</v>
      </c>
      <c r="K53" s="260">
        <f>IF(Main!AN54&gt;0,Main!AN54,"")</f>
        <v>33261</v>
      </c>
      <c r="L53" s="258" t="str">
        <f>IF(Main!Q54&gt;0,Main!Q54,"")</f>
        <v>jjmoressoriano@yahoo.com</v>
      </c>
      <c r="M53" s="410">
        <f>VALUE(IF(Main!S54&gt;0,Main!S54,""))</f>
        <v>9339335589</v>
      </c>
      <c r="N53" s="261" t="str">
        <f>Main!T54</f>
        <v/>
      </c>
      <c r="O53" s="258" t="str">
        <f>IF(Main!AO54&gt;0,Main!AO54,"")</f>
        <v>451 Star St. Brgy. Poblacion, Mandaluyong City</v>
      </c>
      <c r="P53" s="258" t="str">
        <f>IF(Main!AP54&gt;0,Main!AP54,"")</f>
        <v/>
      </c>
      <c r="Q53" s="258" t="str">
        <f>IF(Main!AR54&gt;0,Main!AR54,"")</f>
        <v/>
      </c>
      <c r="R53" s="259" t="str">
        <f>IF(Main!AQ54&gt;0,Main!AQ54,"")</f>
        <v>Male</v>
      </c>
      <c r="S53" s="259" t="str">
        <f>IF(Main!BD54&gt;0,Main!BD54,"")</f>
        <v>34-1912873-2</v>
      </c>
      <c r="T53" s="259" t="str">
        <f>IF(Main!AX54&gt;0,Main!AX54,"")</f>
        <v>410-731-937</v>
      </c>
      <c r="U53" s="259" t="str">
        <f>IF(Main!BH54&gt;0,Main!BH54,"")</f>
        <v>01-051203934-6</v>
      </c>
      <c r="V53" s="268" t="str">
        <f>IF(Main!BF54&gt;0,Main!BF54,"")</f>
        <v/>
      </c>
      <c r="W53" s="263">
        <f>IF(Main!BS54&gt;0,Main!BS54,"")</f>
        <v>42038</v>
      </c>
      <c r="X53" s="263">
        <f>IF(Main!BT54&gt;0,Main!BT54,"")</f>
        <v>42038</v>
      </c>
      <c r="Y53" s="263">
        <f>IF(Main!BU54&gt;0,Main!BU54,"")</f>
        <v>42038</v>
      </c>
      <c r="Z53" s="263" t="str">
        <f>IF(Main!AS54&gt;0,Main!AS54,"")</f>
        <v/>
      </c>
      <c r="AA53" s="263" t="str">
        <f>IF(Main!BJ54&gt;0,Main!BJ54,"")</f>
        <v/>
      </c>
      <c r="AB53" s="263">
        <f>IF(Main!BC54&gt;0,Main!BC54,"")</f>
        <v>42039</v>
      </c>
      <c r="AC53" s="263">
        <f>IF(Main!AW54&gt;0,Main!AW54,"")</f>
        <v>42039</v>
      </c>
      <c r="AD53" s="263">
        <f>IF(Main!BG54&gt;0,Main!BG54,"")</f>
        <v>42039</v>
      </c>
      <c r="AE53" s="263" t="str">
        <f>IF(Main!BE54&gt;0,Main!BE54,"")</f>
        <v/>
      </c>
      <c r="AF53" s="263">
        <f>IF(Main!BM54&gt;0,Main!BM54,"")</f>
        <v>42039</v>
      </c>
      <c r="AG53" s="263" t="str">
        <f>IF(Main!BN54&gt;0,Main!BN54,"")</f>
        <v/>
      </c>
      <c r="AH53" s="263" t="str">
        <f>IF(Main!BO54&gt;0,Main!BO54,"")</f>
        <v/>
      </c>
      <c r="AI53" s="263" t="str">
        <f>IF(Main!BR54&gt;0,Main!BR54,"")</f>
        <v/>
      </c>
      <c r="AJ53" s="263" t="str">
        <f>IF(Main!BQ54&gt;0,Main!BQ54,"")</f>
        <v/>
      </c>
      <c r="AK53" s="263">
        <f>IF(Main!AV54&gt;0,Main!AV54,"")</f>
        <v>42039</v>
      </c>
      <c r="AL53" s="263">
        <f>IF(Main!AU54&gt;0,Main!AU54,"")</f>
        <v>42039</v>
      </c>
      <c r="AM53" s="263">
        <f>IF(Main!AT54&gt;0,Main!AT54,"")</f>
        <v>42039</v>
      </c>
      <c r="AN53" s="259" t="str">
        <f>Main!BW54</f>
        <v xml:space="preserve">2305 (for processing) 2/3/2015, </v>
      </c>
    </row>
    <row r="54" spans="1:40" s="265" customFormat="1" ht="15.75" thickBot="1" x14ac:dyDescent="0.3">
      <c r="A54" s="258">
        <f>Main!C55</f>
        <v>1082271</v>
      </c>
      <c r="B54" s="259" t="str">
        <f>Main!D55</f>
        <v>Valiente, Erick Torres</v>
      </c>
      <c r="C54" s="259" t="str">
        <f>Main!AH55</f>
        <v>Probationary</v>
      </c>
      <c r="D54" s="260">
        <f>Main!B55</f>
        <v>42037</v>
      </c>
      <c r="E54" s="260" t="str">
        <f>IF(Main!AI55&lt;1,"",Main!AI55)</f>
        <v>Jobstreet</v>
      </c>
      <c r="F54" s="260" t="str">
        <f>IF(Main!AJ55&lt;1,"",Main!AJ55)</f>
        <v/>
      </c>
      <c r="G54" s="260" t="str">
        <f>IF(Main!AK55&lt;1,"",Main!AK55)</f>
        <v/>
      </c>
      <c r="H54" s="259" t="str">
        <f>Main!Y55</f>
        <v>Senior Recruiter</v>
      </c>
      <c r="I54" s="259" t="str">
        <f>Main!Z55</f>
        <v>Level 1</v>
      </c>
      <c r="J54" s="259">
        <f>IF(Main!A55&lt;1,"",Main!A55)</f>
        <v>182</v>
      </c>
      <c r="K54" s="260">
        <f>IF(Main!AN55&gt;0,Main!AN55,"")</f>
        <v>29307</v>
      </c>
      <c r="L54" s="258" t="str">
        <f>IF(Main!Q55&gt;0,Main!Q55,"")</f>
        <v>valiente_erick@yahoo.com</v>
      </c>
      <c r="M54" s="410">
        <f>VALUE(IF(Main!S55&gt;0,Main!S55,""))</f>
        <v>9178746540</v>
      </c>
      <c r="N54" s="261" t="str">
        <f>Main!T55</f>
        <v/>
      </c>
      <c r="O54" s="258" t="str">
        <f>IF(Main!AO55&gt;0,Main!AO55,"")</f>
        <v>362 Dr. Sixto Antonio Ave. Caniogan Pasig City</v>
      </c>
      <c r="P54" s="258" t="str">
        <f>IF(Main!AP55&gt;0,Main!AP55,"")</f>
        <v>362 Dr. Sixto Antonio Ave. Caniogan Pasig City</v>
      </c>
      <c r="Q54" s="258" t="str">
        <f>IF(Main!AR55&gt;0,Main!AR55,"")</f>
        <v>Single</v>
      </c>
      <c r="R54" s="259" t="str">
        <f>IF(Main!AQ55&gt;0,Main!AQ55,"")</f>
        <v>Male</v>
      </c>
      <c r="S54" s="259" t="str">
        <f>IF(Main!BD55&gt;0,Main!BD55,"")</f>
        <v>33-5550176-9</v>
      </c>
      <c r="T54" s="259" t="str">
        <f>IF(Main!AX55&gt;0,Main!AX55,"")</f>
        <v/>
      </c>
      <c r="U54" s="259" t="str">
        <f>IF(Main!BH55&gt;0,Main!BH55,"")</f>
        <v>19-089193495-9</v>
      </c>
      <c r="V54" s="268" t="str">
        <f>IF(Main!BF55&gt;0,Main!BF55,"")</f>
        <v>1090-0303-6894</v>
      </c>
      <c r="W54" s="263">
        <f>IF(Main!BS55&gt;0,Main!BS55,"")</f>
        <v>42039</v>
      </c>
      <c r="X54" s="263">
        <f>IF(Main!BT55&gt;0,Main!BT55,"")</f>
        <v>42039</v>
      </c>
      <c r="Y54" s="263">
        <f>IF(Main!BU55&gt;0,Main!BU55,"")</f>
        <v>42039</v>
      </c>
      <c r="Z54" s="263">
        <f>IF(Main!AS55&gt;0,Main!AS55,"")</f>
        <v>42041</v>
      </c>
      <c r="AA54" s="263" t="str">
        <f>IF(Main!BJ55&gt;0,Main!BJ55,"")</f>
        <v/>
      </c>
      <c r="AB54" s="263">
        <f>IF(Main!BC55&gt;0,Main!BC55,"")</f>
        <v>42041</v>
      </c>
      <c r="AC54" s="263" t="str">
        <f>IF(Main!AW55&gt;0,Main!AW55,"")</f>
        <v/>
      </c>
      <c r="AD54" s="263">
        <f>IF(Main!BG55&gt;0,Main!BG55,"")</f>
        <v>42041</v>
      </c>
      <c r="AE54" s="263">
        <f>IF(Main!BE55&gt;0,Main!BE55,"")</f>
        <v>42041</v>
      </c>
      <c r="AF54" s="263">
        <f>IF(Main!BM55&gt;0,Main!BM55,"")</f>
        <v>42041</v>
      </c>
      <c r="AG54" s="263" t="str">
        <f>IF(Main!BN55&gt;0,Main!BN55,"")</f>
        <v/>
      </c>
      <c r="AH54" s="263" t="str">
        <f>IF(Main!BO55&gt;0,Main!BO55,"")</f>
        <v/>
      </c>
      <c r="AI54" s="263">
        <f>IF(Main!BR55&gt;0,Main!BR55,"")</f>
        <v>42041</v>
      </c>
      <c r="AJ54" s="263">
        <f>IF(Main!BQ55&gt;0,Main!BQ55,"")</f>
        <v>42041</v>
      </c>
      <c r="AK54" s="263">
        <f>IF(Main!AV55&gt;0,Main!AV55,"")</f>
        <v>42039</v>
      </c>
      <c r="AL54" s="263">
        <f>IF(Main!AU55&gt;0,Main!AU55,"")</f>
        <v>42041</v>
      </c>
      <c r="AM54" s="263">
        <f>IF(Main!AT55&gt;0,Main!AT55,"")</f>
        <v>42041</v>
      </c>
      <c r="AN54" s="259" t="str">
        <f>Main!BW55</f>
        <v xml:space="preserve">2305 (for processing) 2/4/2015, </v>
      </c>
    </row>
    <row r="55" spans="1:40" ht="15.75" thickTop="1" x14ac:dyDescent="0.25">
      <c r="A55" s="258">
        <f>Main!C56</f>
        <v>1082272</v>
      </c>
      <c r="B55" s="259" t="str">
        <f>Main!D56</f>
        <v>Belleza, Christel Chloe Godinez</v>
      </c>
      <c r="C55" s="259" t="str">
        <f>Main!AH56</f>
        <v>Probationary</v>
      </c>
      <c r="D55" s="260">
        <f>Main!B56</f>
        <v>42044</v>
      </c>
      <c r="E55" s="260" t="str">
        <f>IF(Main!AI56&lt;1,"",Main!AI56)</f>
        <v>Jobstreet</v>
      </c>
      <c r="F55" s="260" t="str">
        <f>IF(Main!AJ56&lt;1,"",Main!AJ56)</f>
        <v/>
      </c>
      <c r="G55" s="260" t="str">
        <f>IF(Main!AK56&lt;1,"",Main!AK56)</f>
        <v/>
      </c>
      <c r="H55" s="259" t="str">
        <f>Main!Y56</f>
        <v>Recruitment Coordinator</v>
      </c>
      <c r="I55" s="259" t="str">
        <f>Main!Z56</f>
        <v>Level 2</v>
      </c>
      <c r="J55" s="259">
        <f>IF(Main!A56&lt;1,"",Main!A56)</f>
        <v>183</v>
      </c>
      <c r="K55" s="260">
        <f>IF(Main!AN56&gt;0,Main!AN56,"")</f>
        <v>30476</v>
      </c>
      <c r="L55" s="258" t="str">
        <f>IF(Main!Q56&gt;0,Main!Q56,"")</f>
        <v>yakmu_ciao@yahoo.com</v>
      </c>
      <c r="M55" s="410">
        <f>VALUE(IF(Main!S56&gt;0,Main!S56,""))</f>
        <v>9237402087</v>
      </c>
      <c r="N55" s="261" t="str">
        <f>Main!T56</f>
        <v/>
      </c>
      <c r="O55" s="258" t="str">
        <f>IF(Main!AO56&gt;0,Main!AO56,"")</f>
        <v>3342-D harvard St. Brgy Pinagkaisahan Makati City</v>
      </c>
      <c r="P55" s="258" t="str">
        <f>IF(Main!AP56&gt;0,Main!AP56,"")</f>
        <v>3342-D harvard St. Brgy Pinagkaisahan Makati City</v>
      </c>
      <c r="Q55" s="258" t="str">
        <f>IF(Main!AR56&gt;0,Main!AR56,"")</f>
        <v>Single</v>
      </c>
      <c r="R55" s="259" t="str">
        <f>IF(Main!AQ56&gt;0,Main!AQ56,"")</f>
        <v>Female</v>
      </c>
      <c r="S55" s="259" t="str">
        <f>IF(Main!BD56&gt;0,Main!BD56,"")</f>
        <v>06-2579559-6</v>
      </c>
      <c r="T55" s="259" t="str">
        <f>IF(Main!AX56&gt;0,Main!AX56,"")</f>
        <v>303-972-388</v>
      </c>
      <c r="U55" s="259" t="str">
        <f>IF(Main!BH56&gt;0,Main!BH56,"")</f>
        <v>02-050292926-8</v>
      </c>
      <c r="V55" s="268" t="str">
        <f>IF(Main!BF56&gt;0,Main!BF56,"")</f>
        <v>1210-0748-4162</v>
      </c>
      <c r="W55" s="263">
        <f>IF(Main!BS56&gt;0,Main!BS56,"")</f>
        <v>42045</v>
      </c>
      <c r="X55" s="263">
        <f>IF(Main!BT56&gt;0,Main!BT56,"")</f>
        <v>42045</v>
      </c>
      <c r="Y55" s="263">
        <f>IF(Main!BU56&gt;0,Main!BU56,"")</f>
        <v>42045</v>
      </c>
      <c r="Z55" s="263">
        <f>IF(Main!AS56&gt;0,Main!AS56,"")</f>
        <v>42048</v>
      </c>
      <c r="AA55" s="263">
        <f>IF(Main!BJ56&gt;0,Main!BJ56,"")</f>
        <v>42048</v>
      </c>
      <c r="AB55" s="263">
        <f>IF(Main!BC56&gt;0,Main!BC56,"")</f>
        <v>42059</v>
      </c>
      <c r="AC55" s="263">
        <f>IF(Main!AW56&gt;0,Main!AW56,"")</f>
        <v>42059</v>
      </c>
      <c r="AD55" s="263">
        <f>IF(Main!BG56&gt;0,Main!BG56,"")</f>
        <v>42060</v>
      </c>
      <c r="AE55" s="263">
        <f>IF(Main!BE56&gt;0,Main!BE56,"")</f>
        <v>42060</v>
      </c>
      <c r="AF55" s="263">
        <f>IF(Main!BM56&gt;0,Main!BM56,"")</f>
        <v>42059</v>
      </c>
      <c r="AG55" s="263" t="str">
        <f>IF(Main!BN56&gt;0,Main!BN56,"")</f>
        <v/>
      </c>
      <c r="AH55" s="263" t="str">
        <f>IF(Main!BO56&gt;0,Main!BO56,"")</f>
        <v/>
      </c>
      <c r="AI55" s="263">
        <f>IF(Main!BR56&gt;0,Main!BR56,"")</f>
        <v>42059</v>
      </c>
      <c r="AJ55" s="263">
        <f>IF(Main!BQ56&gt;0,Main!BQ56,"")</f>
        <v>42059</v>
      </c>
      <c r="AK55" s="263">
        <f>IF(Main!AV56&gt;0,Main!AV56,"")</f>
        <v>42046</v>
      </c>
      <c r="AL55" s="263">
        <f>IF(Main!AU56&gt;0,Main!AU56,"")</f>
        <v>42048</v>
      </c>
      <c r="AM55" s="263">
        <f>IF(Main!AT56&gt;0,Main!AT56,"")</f>
        <v>42048</v>
      </c>
      <c r="AN55" s="259" t="str">
        <f>Main!BW56</f>
        <v xml:space="preserve">1905 2/24/2015, 2305 2/9/2015, MDR 2/25/2015, </v>
      </c>
    </row>
    <row r="56" spans="1:40" x14ac:dyDescent="0.25">
      <c r="A56" s="258">
        <f>Main!C57</f>
        <v>1082273</v>
      </c>
      <c r="B56" s="259" t="str">
        <f>Main!D57</f>
        <v>Cabalquinto, Ivy Labtic</v>
      </c>
      <c r="C56" s="259" t="str">
        <f>Main!AH57</f>
        <v>Probationary</v>
      </c>
      <c r="D56" s="260">
        <f>Main!B57</f>
        <v>42044</v>
      </c>
      <c r="E56" s="260" t="str">
        <f>IF(Main!AI57&lt;1,"",Main!AI57)</f>
        <v>Jobstreet</v>
      </c>
      <c r="F56" s="260" t="str">
        <f>IF(Main!AJ57&lt;1,"",Main!AJ57)</f>
        <v/>
      </c>
      <c r="G56" s="260" t="str">
        <f>IF(Main!AK57&lt;1,"",Main!AK57)</f>
        <v/>
      </c>
      <c r="H56" s="259" t="str">
        <f>Main!Y57</f>
        <v>Senior Recruiter</v>
      </c>
      <c r="I56" s="259" t="str">
        <f>Main!Z57</f>
        <v>Level 2</v>
      </c>
      <c r="J56" s="259">
        <f>IF(Main!A57&lt;1,"",Main!A57)</f>
        <v>183</v>
      </c>
      <c r="K56" s="260">
        <f>IF(Main!AN57&gt;0,Main!AN57,"")</f>
        <v>31859</v>
      </c>
      <c r="L56" s="258" t="str">
        <f>IF(Main!Q57&gt;0,Main!Q57,"")</f>
        <v>icabal26@gmail.com</v>
      </c>
      <c r="M56" s="410">
        <f>VALUE(IF(Main!S57&gt;0,Main!S57,""))</f>
        <v>9985347344</v>
      </c>
      <c r="N56" s="261" t="str">
        <f>Main!T57</f>
        <v/>
      </c>
      <c r="O56" s="258" t="str">
        <f>IF(Main!AO57&gt;0,Main!AO57,"")</f>
        <v>701-F Tiyaga St. Plainview, Mandaluyong City</v>
      </c>
      <c r="P56" s="258" t="str">
        <f>IF(Main!AP57&gt;0,Main!AP57,"")</f>
        <v/>
      </c>
      <c r="Q56" s="258" t="str">
        <f>IF(Main!AR57&gt;0,Main!AR57,"")</f>
        <v>Single</v>
      </c>
      <c r="R56" s="259" t="str">
        <f>IF(Main!AQ57&gt;0,Main!AQ57,"")</f>
        <v>Female</v>
      </c>
      <c r="S56" s="259" t="str">
        <f>IF(Main!BD57&gt;0,Main!BD57,"")</f>
        <v>34-0817301-5</v>
      </c>
      <c r="T56" s="259" t="str">
        <f>IF(Main!AX57&gt;0,Main!AX57,"")</f>
        <v>308-719-228</v>
      </c>
      <c r="U56" s="259" t="str">
        <f>IF(Main!BH57&gt;0,Main!BH57,"")</f>
        <v>01-050584396-2</v>
      </c>
      <c r="V56" s="268" t="str">
        <f>IF(Main!BF57&gt;0,Main!BF57,"")</f>
        <v>1010-0187-9313</v>
      </c>
      <c r="W56" s="263">
        <f>IF(Main!BS57&gt;0,Main!BS57,"")</f>
        <v>42045</v>
      </c>
      <c r="X56" s="263">
        <f>IF(Main!BT57&gt;0,Main!BT57,"")</f>
        <v>42045</v>
      </c>
      <c r="Y56" s="263">
        <f>IF(Main!BU57&gt;0,Main!BU57,"")</f>
        <v>42045</v>
      </c>
      <c r="Z56" s="263">
        <f>IF(Main!AS57&gt;0,Main!AS57,"")</f>
        <v>42054</v>
      </c>
      <c r="AA56" s="263">
        <f>IF(Main!BJ57&gt;0,Main!BJ57,"")</f>
        <v>42048</v>
      </c>
      <c r="AB56" s="263">
        <f>IF(Main!BC57&gt;0,Main!BC57,"")</f>
        <v>42061</v>
      </c>
      <c r="AC56" s="263">
        <f>IF(Main!AW57&gt;0,Main!AW57,"")</f>
        <v>42062</v>
      </c>
      <c r="AD56" s="263">
        <f>IF(Main!BG57&gt;0,Main!BG57,"")</f>
        <v>42061</v>
      </c>
      <c r="AE56" s="263">
        <f>IF(Main!BE57&gt;0,Main!BE57,"")</f>
        <v>42062</v>
      </c>
      <c r="AF56" s="263">
        <f>IF(Main!BM57&gt;0,Main!BM57,"")</f>
        <v>42054</v>
      </c>
      <c r="AG56" s="263" t="str">
        <f>IF(Main!BN57&gt;0,Main!BN57,"")</f>
        <v/>
      </c>
      <c r="AH56" s="263" t="str">
        <f>IF(Main!BO57&gt;0,Main!BO57,"")</f>
        <v/>
      </c>
      <c r="AI56" s="263" t="str">
        <f>IF(Main!BR57&gt;0,Main!BR57,"")</f>
        <v/>
      </c>
      <c r="AJ56" s="263">
        <f>IF(Main!BQ57&gt;0,Main!BQ57,"")</f>
        <v>42047</v>
      </c>
      <c r="AK56" s="263">
        <f>IF(Main!AV57&gt;0,Main!AV57,"")</f>
        <v>42046</v>
      </c>
      <c r="AL56" s="263">
        <f>IF(Main!AU57&gt;0,Main!AU57,"")</f>
        <v>42047</v>
      </c>
      <c r="AM56" s="263">
        <f>IF(Main!AT57&gt;0,Main!AT57,"")</f>
        <v>42047</v>
      </c>
      <c r="AN56" s="259" t="str">
        <f>Main!BW57</f>
        <v xml:space="preserve">2305 2/9/2015, MDR 2/26/2015, </v>
      </c>
    </row>
    <row r="57" spans="1:40" x14ac:dyDescent="0.25">
      <c r="A57" s="258">
        <f>Main!C58</f>
        <v>1082274</v>
      </c>
      <c r="B57" s="259" t="str">
        <f>Main!D58</f>
        <v>Carolino, Vivelyn Mortera</v>
      </c>
      <c r="C57" s="259" t="str">
        <f>Main!AH58</f>
        <v>Probationary</v>
      </c>
      <c r="D57" s="260">
        <f>Main!B58</f>
        <v>42044</v>
      </c>
      <c r="E57" s="260" t="str">
        <f>IF(Main!AI58&lt;1,"",Main!AI58)</f>
        <v>Jobstreet</v>
      </c>
      <c r="F57" s="260" t="str">
        <f>IF(Main!AJ58&lt;1,"",Main!AJ58)</f>
        <v/>
      </c>
      <c r="G57" s="260" t="str">
        <f>IF(Main!AK58&lt;1,"",Main!AK58)</f>
        <v/>
      </c>
      <c r="H57" s="259" t="str">
        <f>Main!Y58</f>
        <v>Senior Recruiter</v>
      </c>
      <c r="I57" s="259" t="str">
        <f>Main!Z58</f>
        <v>Level 2</v>
      </c>
      <c r="J57" s="259">
        <f>IF(Main!A58&lt;1,"",Main!A58)</f>
        <v>183</v>
      </c>
      <c r="K57" s="260">
        <f>IF(Main!AN58&gt;0,Main!AN58,"")</f>
        <v>30452</v>
      </c>
      <c r="L57" s="258" t="str">
        <f>IF(Main!Q58&gt;0,Main!Q58,"")</f>
        <v>shalani_1625@yahoo.com</v>
      </c>
      <c r="M57" s="410">
        <f>VALUE(IF(Main!S58&gt;0,Main!S58,""))</f>
        <v>9428011625</v>
      </c>
      <c r="N57" s="261" t="str">
        <f>Main!T58</f>
        <v/>
      </c>
      <c r="O57" s="258" t="str">
        <f>IF(Main!AO58&gt;0,Main!AO58,"")</f>
        <v>22 Galatian St. Phase 4 Jordan Plains Subd. Novaliches Quezon City</v>
      </c>
      <c r="P57" s="258" t="str">
        <f>IF(Main!AP58&gt;0,Main!AP58,"")</f>
        <v>22 Galatian St. Phase 4 Jordan Plains Subd. Novaliches Quezon City</v>
      </c>
      <c r="Q57" s="258" t="str">
        <f>IF(Main!AR58&gt;0,Main!AR58,"")</f>
        <v>Single</v>
      </c>
      <c r="R57" s="259" t="str">
        <f>IF(Main!AQ58&gt;0,Main!AQ58,"")</f>
        <v>Female</v>
      </c>
      <c r="S57" s="259" t="str">
        <f>IF(Main!BD58&gt;0,Main!BD58,"")</f>
        <v>33-8832542-0</v>
      </c>
      <c r="T57" s="259" t="str">
        <f>IF(Main!AX58&gt;0,Main!AX58,"")</f>
        <v>300-970-920</v>
      </c>
      <c r="U57" s="259" t="str">
        <f>IF(Main!BH58&gt;0,Main!BH58,"")</f>
        <v/>
      </c>
      <c r="V57" s="268" t="str">
        <f>IF(Main!BF58&gt;0,Main!BF58,"")</f>
        <v/>
      </c>
      <c r="W57" s="263">
        <f>IF(Main!BS58&gt;0,Main!BS58,"")</f>
        <v>42045</v>
      </c>
      <c r="X57" s="263">
        <f>IF(Main!BT58&gt;0,Main!BT58,"")</f>
        <v>42045</v>
      </c>
      <c r="Y57" s="263">
        <f>IF(Main!BU58&gt;0,Main!BU58,"")</f>
        <v>42045</v>
      </c>
      <c r="Z57" s="263" t="str">
        <f>IF(Main!AS58&gt;0,Main!AS58,"")</f>
        <v/>
      </c>
      <c r="AA57" s="263" t="str">
        <f>IF(Main!BJ58&gt;0,Main!BJ58,"")</f>
        <v/>
      </c>
      <c r="AB57" s="263">
        <f>IF(Main!BC58&gt;0,Main!BC58,"")</f>
        <v>42047</v>
      </c>
      <c r="AC57" s="263">
        <f>IF(Main!AW58&gt;0,Main!AW58,"")</f>
        <v>42047</v>
      </c>
      <c r="AD57" s="263" t="str">
        <f>IF(Main!BG58&gt;0,Main!BG58,"")</f>
        <v/>
      </c>
      <c r="AE57" s="263" t="str">
        <f>IF(Main!BE58&gt;0,Main!BE58,"")</f>
        <v/>
      </c>
      <c r="AF57" s="263">
        <f>IF(Main!BM58&gt;0,Main!BM58,"")</f>
        <v>42047</v>
      </c>
      <c r="AG57" s="263" t="str">
        <f>IF(Main!BN58&gt;0,Main!BN58,"")</f>
        <v/>
      </c>
      <c r="AH57" s="263">
        <f>IF(Main!BO58&gt;0,Main!BO58,"")</f>
        <v>42047</v>
      </c>
      <c r="AI57" s="263" t="str">
        <f>IF(Main!BR58&gt;0,Main!BR58,"")</f>
        <v/>
      </c>
      <c r="AJ57" s="263">
        <f>IF(Main!BQ58&gt;0,Main!BQ58,"")</f>
        <v>42047</v>
      </c>
      <c r="AK57" s="263" t="str">
        <f>IF(Main!AV58&gt;0,Main!AV58,"")</f>
        <v/>
      </c>
      <c r="AL57" s="263">
        <f>IF(Main!AU58&gt;0,Main!AU58,"")</f>
        <v>42047</v>
      </c>
      <c r="AM57" s="263">
        <f>IF(Main!AT58&gt;0,Main!AT58,"")</f>
        <v>42047</v>
      </c>
      <c r="AN57" s="259" t="str">
        <f>Main!BW58</f>
        <v xml:space="preserve">2305 (for processing) 2/9/2015, </v>
      </c>
    </row>
    <row r="58" spans="1:40" x14ac:dyDescent="0.25">
      <c r="A58" s="258">
        <f>Main!C59</f>
        <v>1082275</v>
      </c>
      <c r="B58" s="259" t="str">
        <f>Main!D59</f>
        <v>Chen, Camille Lucay</v>
      </c>
      <c r="C58" s="259" t="str">
        <f>Main!AH59</f>
        <v>Probationary</v>
      </c>
      <c r="D58" s="260">
        <f>Main!B59</f>
        <v>42044</v>
      </c>
      <c r="E58" s="260" t="str">
        <f>IF(Main!AI59&lt;1,"",Main!AI59)</f>
        <v>ERP</v>
      </c>
      <c r="F58" s="260" t="str">
        <f>IF(Main!AJ59&lt;1,"",Main!AJ59)</f>
        <v>Christian Estrella</v>
      </c>
      <c r="G58" s="260" t="str">
        <f>IF(Main!AK59&lt;1,"",Main!AK59)</f>
        <v/>
      </c>
      <c r="H58" s="259" t="str">
        <f>Main!Y59</f>
        <v>Senior Recruiter</v>
      </c>
      <c r="I58" s="259" t="str">
        <f>Main!Z59</f>
        <v>Level 2</v>
      </c>
      <c r="J58" s="259">
        <f>IF(Main!A59&lt;1,"",Main!A59)</f>
        <v>183</v>
      </c>
      <c r="K58" s="260">
        <f>IF(Main!AN59&gt;0,Main!AN59,"")</f>
        <v>34440</v>
      </c>
      <c r="L58" s="258" t="str">
        <f>IF(Main!Q59&gt;0,Main!Q59,"")</f>
        <v>cche0331@yahoo.com</v>
      </c>
      <c r="M58" s="410">
        <f>VALUE(IF(Main!S59&gt;0,Main!S59,""))</f>
        <v>9166096703</v>
      </c>
      <c r="N58" s="261" t="str">
        <f>Main!T59</f>
        <v/>
      </c>
      <c r="O58" s="258" t="str">
        <f>IF(Main!AO59&gt;0,Main!AO59,"")</f>
        <v>168 Brgy Inocencio Trece Martires City Cavite</v>
      </c>
      <c r="P58" s="258" t="str">
        <f>IF(Main!AP59&gt;0,Main!AP59,"")</f>
        <v>168 Brgy Inocencio Trece Martires City Cavite</v>
      </c>
      <c r="Q58" s="258" t="str">
        <f>IF(Main!AR59&gt;0,Main!AR59,"")</f>
        <v>Single</v>
      </c>
      <c r="R58" s="259" t="str">
        <f>IF(Main!AQ59&gt;0,Main!AQ59,"")</f>
        <v>Female</v>
      </c>
      <c r="S58" s="259" t="str">
        <f>IF(Main!BD59&gt;0,Main!BD59,"")</f>
        <v>34-3644634-5</v>
      </c>
      <c r="T58" s="259" t="str">
        <f>IF(Main!AX59&gt;0,Main!AX59,"")</f>
        <v>403-485-876</v>
      </c>
      <c r="U58" s="259" t="str">
        <f>IF(Main!BH59&gt;0,Main!BH59,"")</f>
        <v>01-051623202-7</v>
      </c>
      <c r="V58" s="268" t="str">
        <f>IF(Main!BF59&gt;0,Main!BF59,"")</f>
        <v>1210-9407-1535</v>
      </c>
      <c r="W58" s="263">
        <f>IF(Main!BS59&gt;0,Main!BS59,"")</f>
        <v>42046</v>
      </c>
      <c r="X58" s="263">
        <f>IF(Main!BT59&gt;0,Main!BT59,"")</f>
        <v>42046</v>
      </c>
      <c r="Y58" s="263">
        <f>IF(Main!BU59&gt;0,Main!BU59,"")</f>
        <v>42046</v>
      </c>
      <c r="Z58" s="263">
        <f>IF(Main!AS59&gt;0,Main!AS59,"")</f>
        <v>42046</v>
      </c>
      <c r="AA58" s="263">
        <f>IF(Main!BJ59&gt;0,Main!BJ59,"")</f>
        <v>42061</v>
      </c>
      <c r="AB58" s="263">
        <f>IF(Main!BC59&gt;0,Main!BC59,"")</f>
        <v>42061</v>
      </c>
      <c r="AC58" s="263">
        <f>IF(Main!AW59&gt;0,Main!AW59,"")</f>
        <v>42061</v>
      </c>
      <c r="AD58" s="263">
        <f>IF(Main!BG59&gt;0,Main!BG59,"")</f>
        <v>42061</v>
      </c>
      <c r="AE58" s="263">
        <f>IF(Main!BE59&gt;0,Main!BE59,"")</f>
        <v>42067</v>
      </c>
      <c r="AF58" s="263">
        <f>IF(Main!BM59&gt;0,Main!BM59,"")</f>
        <v>42104</v>
      </c>
      <c r="AG58" s="263" t="str">
        <f>IF(Main!BN59&gt;0,Main!BN59,"")</f>
        <v/>
      </c>
      <c r="AH58" s="263" t="str">
        <f>IF(Main!BO59&gt;0,Main!BO59,"")</f>
        <v/>
      </c>
      <c r="AI58" s="263" t="str">
        <f>IF(Main!BR59&gt;0,Main!BR59,"")</f>
        <v/>
      </c>
      <c r="AJ58" s="263" t="str">
        <f>IF(Main!BQ59&gt;0,Main!BQ59,"")</f>
        <v/>
      </c>
      <c r="AK58" s="263">
        <f>IF(Main!AV59&gt;0,Main!AV59,"")</f>
        <v>42053</v>
      </c>
      <c r="AL58" s="263">
        <f>IF(Main!AU59&gt;0,Main!AU59,"")</f>
        <v>42046</v>
      </c>
      <c r="AM58" s="263">
        <f>IF(Main!AT59&gt;0,Main!AT59,"")</f>
        <v>42046</v>
      </c>
      <c r="AN58" s="259" t="str">
        <f>Main!BW59</f>
        <v xml:space="preserve">1905 2/26/2015, 2305 2/26/2015, MDR 2/26/2015, </v>
      </c>
    </row>
    <row r="59" spans="1:40" x14ac:dyDescent="0.25">
      <c r="A59" s="258">
        <f>Main!C60</f>
        <v>1082276</v>
      </c>
      <c r="B59" s="259" t="str">
        <f>Main!D60</f>
        <v>Dy, Jean Ann De Leon</v>
      </c>
      <c r="C59" s="259" t="str">
        <f>Main!AH60</f>
        <v>Probationary</v>
      </c>
      <c r="D59" s="260">
        <f>Main!B60</f>
        <v>42044</v>
      </c>
      <c r="E59" s="260" t="str">
        <f>IF(Main!AI60&lt;1,"",Main!AI60)</f>
        <v>Facebook</v>
      </c>
      <c r="F59" s="260" t="str">
        <f>IF(Main!AJ60&lt;1,"",Main!AJ60)</f>
        <v/>
      </c>
      <c r="G59" s="260" t="str">
        <f>IF(Main!AK60&lt;1,"",Main!AK60)</f>
        <v/>
      </c>
      <c r="H59" s="259" t="str">
        <f>Main!Y60</f>
        <v>Senior Recruiter</v>
      </c>
      <c r="I59" s="259" t="str">
        <f>Main!Z60</f>
        <v>Level 2</v>
      </c>
      <c r="J59" s="259">
        <f>IF(Main!A60&lt;1,"",Main!A60)</f>
        <v>183</v>
      </c>
      <c r="K59" s="260">
        <f>IF(Main!AN60&gt;0,Main!AN60,"")</f>
        <v>32580</v>
      </c>
      <c r="L59" s="258" t="str">
        <f>IF(Main!Q60&gt;0,Main!Q60,"")</f>
        <v>jeananndy@gmail.com</v>
      </c>
      <c r="M59" s="410">
        <f>VALUE(IF(Main!S60&gt;0,Main!S60,""))</f>
        <v>9162977172</v>
      </c>
      <c r="N59" s="261" t="str">
        <f>Main!T60</f>
        <v/>
      </c>
      <c r="O59" s="258" t="str">
        <f>IF(Main!AO60&gt;0,Main!AO60,"")</f>
        <v>#172 G Matinez St. Brgy. Plainview, Mandaluyong City</v>
      </c>
      <c r="P59" s="258" t="str">
        <f>IF(Main!AP60&gt;0,Main!AP60,"")</f>
        <v/>
      </c>
      <c r="Q59" s="258" t="str">
        <f>IF(Main!AR60&gt;0,Main!AR60,"")</f>
        <v/>
      </c>
      <c r="R59" s="259" t="str">
        <f>IF(Main!AQ60&gt;0,Main!AQ60,"")</f>
        <v/>
      </c>
      <c r="S59" s="259" t="str">
        <f>IF(Main!BD60&gt;0,Main!BD60,"")</f>
        <v>34-1063844-1</v>
      </c>
      <c r="T59" s="259" t="str">
        <f>IF(Main!AX60&gt;0,Main!AX60,"")</f>
        <v>260-034-342</v>
      </c>
      <c r="U59" s="259" t="str">
        <f>IF(Main!BH60&gt;0,Main!BH60,"")</f>
        <v>01-025208657-4</v>
      </c>
      <c r="V59" s="268" t="str">
        <f>IF(Main!BF60&gt;0,Main!BF60,"")</f>
        <v>1010-0144-9678</v>
      </c>
      <c r="W59" s="263">
        <f>IF(Main!BS60&gt;0,Main!BS60,"")</f>
        <v>42045</v>
      </c>
      <c r="X59" s="263">
        <f>IF(Main!BT60&gt;0,Main!BT60,"")</f>
        <v>42045</v>
      </c>
      <c r="Y59" s="263">
        <f>IF(Main!BU60&gt;0,Main!BU60,"")</f>
        <v>42045</v>
      </c>
      <c r="Z59" s="263" t="str">
        <f>IF(Main!AS60&gt;0,Main!AS60,"")</f>
        <v/>
      </c>
      <c r="AA59" s="263" t="str">
        <f>IF(Main!BJ60&gt;0,Main!BJ60,"")</f>
        <v/>
      </c>
      <c r="AB59" s="263">
        <f>IF(Main!BC60&gt;0,Main!BC60,"")</f>
        <v>42046</v>
      </c>
      <c r="AC59" s="263">
        <f>IF(Main!AW60&gt;0,Main!AW60,"")</f>
        <v>42046</v>
      </c>
      <c r="AD59" s="263">
        <f>IF(Main!BG60&gt;0,Main!BG60,"")</f>
        <v>42046</v>
      </c>
      <c r="AE59" s="263">
        <f>IF(Main!BE60&gt;0,Main!BE60,"")</f>
        <v>42046</v>
      </c>
      <c r="AF59" s="263">
        <f>IF(Main!BM60&gt;0,Main!BM60,"")</f>
        <v>42046</v>
      </c>
      <c r="AG59" s="263" t="str">
        <f>IF(Main!BN60&gt;0,Main!BN60,"")</f>
        <v/>
      </c>
      <c r="AH59" s="263" t="str">
        <f>IF(Main!BO60&gt;0,Main!BO60,"")</f>
        <v/>
      </c>
      <c r="AI59" s="263">
        <f>IF(Main!BR60&gt;0,Main!BR60,"")</f>
        <v>42046</v>
      </c>
      <c r="AJ59" s="263">
        <f>IF(Main!BQ60&gt;0,Main!BQ60,"")</f>
        <v>42046</v>
      </c>
      <c r="AK59" s="263">
        <f>IF(Main!AV60&gt;0,Main!AV60,"")</f>
        <v>42053</v>
      </c>
      <c r="AL59" s="263">
        <f>IF(Main!AU60&gt;0,Main!AU60,"")</f>
        <v>42046</v>
      </c>
      <c r="AM59" s="263">
        <f>IF(Main!AT60&gt;0,Main!AT60,"")</f>
        <v>42046</v>
      </c>
      <c r="AN59" s="259" t="str">
        <f>Main!BW60</f>
        <v xml:space="preserve">2305 (for processing) 2/9/2015, </v>
      </c>
    </row>
    <row r="60" spans="1:40" x14ac:dyDescent="0.25">
      <c r="A60" s="258">
        <f>Main!C61</f>
        <v>1082277</v>
      </c>
      <c r="B60" s="259" t="str">
        <f>Main!D61</f>
        <v>Francisco, Stephanie Angela Singson</v>
      </c>
      <c r="C60" s="259" t="str">
        <f>Main!AH61</f>
        <v>Probationary</v>
      </c>
      <c r="D60" s="260">
        <f>Main!B61</f>
        <v>42044</v>
      </c>
      <c r="E60" s="260" t="str">
        <f>IF(Main!AI61&lt;1,"",Main!AI61)</f>
        <v>Walk-in</v>
      </c>
      <c r="F60" s="260" t="str">
        <f>IF(Main!AJ61&lt;1,"",Main!AJ61)</f>
        <v/>
      </c>
      <c r="G60" s="260" t="str">
        <f>IF(Main!AK61&lt;1,"",Main!AK61)</f>
        <v/>
      </c>
      <c r="H60" s="259" t="str">
        <f>Main!Y61</f>
        <v>Senior Recruiter</v>
      </c>
      <c r="I60" s="259" t="str">
        <f>Main!Z61</f>
        <v>Level 2</v>
      </c>
      <c r="J60" s="259">
        <f>IF(Main!A61&lt;1,"",Main!A61)</f>
        <v>183</v>
      </c>
      <c r="K60" s="260">
        <f>IF(Main!AN61&gt;0,Main!AN61,"")</f>
        <v>29978</v>
      </c>
      <c r="L60" s="258" t="str">
        <f>IF(Main!Q61&gt;0,Main!Q61,"")</f>
        <v>sas_francisco@yahoo.com</v>
      </c>
      <c r="M60" s="410">
        <f>VALUE(IF(Main!S61&gt;0,Main!S61,""))</f>
        <v>9178923285</v>
      </c>
      <c r="N60" s="261" t="str">
        <f>Main!T61</f>
        <v/>
      </c>
      <c r="O60" s="258" t="str">
        <f>IF(Main!AO61&gt;0,Main!AO61,"")</f>
        <v>4288 T. Alonzo St., Baclaran, Parañaque City</v>
      </c>
      <c r="P60" s="258" t="str">
        <f>IF(Main!AP61&gt;0,Main!AP61,"")</f>
        <v>4288 T. Alonzo St., Baclaran, Parañaque City</v>
      </c>
      <c r="Q60" s="258" t="str">
        <f>IF(Main!AR61&gt;0,Main!AR61,"")</f>
        <v/>
      </c>
      <c r="R60" s="259" t="str">
        <f>IF(Main!AQ61&gt;0,Main!AQ61,"")</f>
        <v>Female</v>
      </c>
      <c r="S60" s="259" t="str">
        <f>IF(Main!BD61&gt;0,Main!BD61,"")</f>
        <v>33-8055286-4</v>
      </c>
      <c r="T60" s="259" t="str">
        <f>IF(Main!AX61&gt;0,Main!AX61,"")</f>
        <v/>
      </c>
      <c r="U60" s="259" t="str">
        <f>IF(Main!BH61&gt;0,Main!BH61,"")</f>
        <v/>
      </c>
      <c r="V60" s="268" t="str">
        <f>IF(Main!BF61&gt;0,Main!BF61,"")</f>
        <v/>
      </c>
      <c r="W60" s="263">
        <f>IF(Main!BS61&gt;0,Main!BS61,"")</f>
        <v>42045</v>
      </c>
      <c r="X60" s="263">
        <f>IF(Main!BT61&gt;0,Main!BT61,"")</f>
        <v>42045</v>
      </c>
      <c r="Y60" s="263">
        <f>IF(Main!BU61&gt;0,Main!BU61,"")</f>
        <v>42045</v>
      </c>
      <c r="Z60" s="263">
        <f>IF(Main!AS61&gt;0,Main!AS61,"")</f>
        <v>42054</v>
      </c>
      <c r="AA60" s="263" t="str">
        <f>IF(Main!BJ61&gt;0,Main!BJ61,"")</f>
        <v/>
      </c>
      <c r="AB60" s="263">
        <f>IF(Main!BC61&gt;0,Main!BC61,"")</f>
        <v>42054</v>
      </c>
      <c r="AC60" s="263" t="str">
        <f>IF(Main!AW61&gt;0,Main!AW61,"")</f>
        <v/>
      </c>
      <c r="AD60" s="263" t="str">
        <f>IF(Main!BG61&gt;0,Main!BG61,"")</f>
        <v/>
      </c>
      <c r="AE60" s="263" t="str">
        <f>IF(Main!BE61&gt;0,Main!BE61,"")</f>
        <v/>
      </c>
      <c r="AF60" s="263" t="str">
        <f>IF(Main!BM61&gt;0,Main!BM61,"")</f>
        <v/>
      </c>
      <c r="AG60" s="263" t="str">
        <f>IF(Main!BN61&gt;0,Main!BN61,"")</f>
        <v/>
      </c>
      <c r="AH60" s="263" t="str">
        <f>IF(Main!BO61&gt;0,Main!BO61,"")</f>
        <v/>
      </c>
      <c r="AI60" s="263" t="str">
        <f>IF(Main!BR61&gt;0,Main!BR61,"")</f>
        <v/>
      </c>
      <c r="AJ60" s="263">
        <f>IF(Main!BQ61&gt;0,Main!BQ61,"")</f>
        <v>42054</v>
      </c>
      <c r="AK60" s="263">
        <f>IF(Main!AV61&gt;0,Main!AV61,"")</f>
        <v>42053</v>
      </c>
      <c r="AL60" s="263">
        <f>IF(Main!AU61&gt;0,Main!AU61,"")</f>
        <v>42054</v>
      </c>
      <c r="AM60" s="263">
        <f>IF(Main!AT61&gt;0,Main!AT61,"")</f>
        <v>42054</v>
      </c>
      <c r="AN60" s="259" t="str">
        <f>Main!BW61</f>
        <v xml:space="preserve">2305 (for processing) 2/9/2015, </v>
      </c>
    </row>
    <row r="61" spans="1:40" x14ac:dyDescent="0.25">
      <c r="A61" s="258">
        <f>Main!C62</f>
        <v>1082278</v>
      </c>
      <c r="B61" s="259" t="str">
        <f>Main!D62</f>
        <v>Salazar, Justine Ann Agorilla</v>
      </c>
      <c r="C61" s="259" t="str">
        <f>Main!AH62</f>
        <v>Probationary</v>
      </c>
      <c r="D61" s="260">
        <f>Main!B62</f>
        <v>42044</v>
      </c>
      <c r="E61" s="260" t="str">
        <f>IF(Main!AI62&lt;1,"",Main!AI62)</f>
        <v>Jobstreet</v>
      </c>
      <c r="F61" s="260" t="str">
        <f>IF(Main!AJ62&lt;1,"",Main!AJ62)</f>
        <v/>
      </c>
      <c r="G61" s="260" t="str">
        <f>IF(Main!AK62&lt;1,"",Main!AK62)</f>
        <v/>
      </c>
      <c r="H61" s="259" t="str">
        <f>Main!Y62</f>
        <v>Senior Recruiter</v>
      </c>
      <c r="I61" s="259" t="str">
        <f>Main!Z62</f>
        <v>Level 2</v>
      </c>
      <c r="J61" s="259">
        <f>IF(Main!A62&lt;1,"",Main!A62)</f>
        <v>183</v>
      </c>
      <c r="K61" s="260">
        <f>IF(Main!AN62&gt;0,Main!AN62,"")</f>
        <v>34658</v>
      </c>
      <c r="L61" s="258" t="str">
        <f>IF(Main!Q62&gt;0,Main!Q62,"")</f>
        <v>justineann.salazar@yahoo.com</v>
      </c>
      <c r="M61" s="410">
        <f>VALUE(IF(Main!S62&gt;0,Main!S62,""))</f>
        <v>9159795779</v>
      </c>
      <c r="N61" s="261" t="str">
        <f>Main!T62</f>
        <v/>
      </c>
      <c r="O61" s="258" t="str">
        <f>IF(Main!AO62&gt;0,Main!AO62,"")</f>
        <v>7520 Santillan St. Pio Del Pilar, Makati City</v>
      </c>
      <c r="P61" s="258" t="str">
        <f>IF(Main!AP62&gt;0,Main!AP62,"")</f>
        <v>7520 Santillan St. Pio Del Pilar, Makati City</v>
      </c>
      <c r="Q61" s="258" t="str">
        <f>IF(Main!AR62&gt;0,Main!AR62,"")</f>
        <v>Single</v>
      </c>
      <c r="R61" s="259" t="str">
        <f>IF(Main!AQ62&gt;0,Main!AQ62,"")</f>
        <v>Female</v>
      </c>
      <c r="S61" s="259" t="str">
        <f>IF(Main!BD62&gt;0,Main!BD62,"")</f>
        <v/>
      </c>
      <c r="T61" s="259" t="str">
        <f>IF(Main!AX62&gt;0,Main!AX62,"")</f>
        <v/>
      </c>
      <c r="U61" s="259" t="str">
        <f>IF(Main!BH62&gt;0,Main!BH62,"")</f>
        <v/>
      </c>
      <c r="V61" s="268" t="str">
        <f>IF(Main!BF62&gt;0,Main!BF62,"")</f>
        <v/>
      </c>
      <c r="W61" s="263">
        <f>IF(Main!BS62&gt;0,Main!BS62,"")</f>
        <v>42045</v>
      </c>
      <c r="X61" s="263">
        <f>IF(Main!BT62&gt;0,Main!BT62,"")</f>
        <v>42045</v>
      </c>
      <c r="Y61" s="263">
        <f>IF(Main!BU62&gt;0,Main!BU62,"")</f>
        <v>42045</v>
      </c>
      <c r="Z61" s="263">
        <f>IF(Main!AS62&gt;0,Main!AS62,"")</f>
        <v>42048</v>
      </c>
      <c r="AA61" s="263">
        <f>IF(Main!BJ62&gt;0,Main!BJ62,"")</f>
        <v>42048</v>
      </c>
      <c r="AB61" s="263" t="str">
        <f>IF(Main!BC62&gt;0,Main!BC62,"")</f>
        <v/>
      </c>
      <c r="AC61" s="263" t="str">
        <f>IF(Main!AW62&gt;0,Main!AW62,"")</f>
        <v/>
      </c>
      <c r="AD61" s="263" t="str">
        <f>IF(Main!BG62&gt;0,Main!BG62,"")</f>
        <v/>
      </c>
      <c r="AE61" s="263" t="str">
        <f>IF(Main!BE62&gt;0,Main!BE62,"")</f>
        <v/>
      </c>
      <c r="AF61" s="263" t="str">
        <f>IF(Main!BM62&gt;0,Main!BM62,"")</f>
        <v/>
      </c>
      <c r="AG61" s="263" t="str">
        <f>IF(Main!BN62&gt;0,Main!BN62,"")</f>
        <v/>
      </c>
      <c r="AH61" s="263" t="str">
        <f>IF(Main!BO62&gt;0,Main!BO62,"")</f>
        <v/>
      </c>
      <c r="AI61" s="263" t="str">
        <f>IF(Main!BR62&gt;0,Main!BR62,"")</f>
        <v/>
      </c>
      <c r="AJ61" s="263" t="str">
        <f>IF(Main!BQ62&gt;0,Main!BQ62,"")</f>
        <v/>
      </c>
      <c r="AK61" s="263">
        <f>IF(Main!AV62&gt;0,Main!AV62,"")</f>
        <v>42053</v>
      </c>
      <c r="AL61" s="263">
        <f>IF(Main!AU62&gt;0,Main!AU62,"")</f>
        <v>42048</v>
      </c>
      <c r="AM61" s="263">
        <f>IF(Main!AT62&gt;0,Main!AT62,"")</f>
        <v>42048</v>
      </c>
      <c r="AN61" s="259" t="str">
        <f>Main!BW62</f>
        <v xml:space="preserve">2305 (for processing) 2/9/2015, </v>
      </c>
    </row>
    <row r="62" spans="1:40" x14ac:dyDescent="0.25">
      <c r="A62" s="258">
        <f>Main!C63</f>
        <v>1082279</v>
      </c>
      <c r="B62" s="259" t="str">
        <f>Main!D63</f>
        <v>Tomines, Rosita Silvina Gaffud</v>
      </c>
      <c r="C62" s="259" t="str">
        <f>Main!AH63</f>
        <v>Probationary</v>
      </c>
      <c r="D62" s="260">
        <f>Main!B63</f>
        <v>42044</v>
      </c>
      <c r="E62" s="260" t="str">
        <f>IF(Main!AI63&lt;1,"",Main!AI63)</f>
        <v>Jobstreet</v>
      </c>
      <c r="F62" s="260" t="str">
        <f>IF(Main!AJ63&lt;1,"",Main!AJ63)</f>
        <v/>
      </c>
      <c r="G62" s="260" t="str">
        <f>IF(Main!AK63&lt;1,"",Main!AK63)</f>
        <v/>
      </c>
      <c r="H62" s="259" t="str">
        <f>Main!Y63</f>
        <v>Senior Recruiter</v>
      </c>
      <c r="I62" s="259" t="str">
        <f>Main!Z63</f>
        <v>Level 2</v>
      </c>
      <c r="J62" s="259">
        <f>IF(Main!A63&lt;1,"",Main!A63)</f>
        <v>183</v>
      </c>
      <c r="K62" s="260">
        <f>IF(Main!AN63&gt;0,Main!AN63,"")</f>
        <v>32443</v>
      </c>
      <c r="L62" s="258" t="str">
        <f>IF(Main!Q63&gt;0,Main!Q63,"")</f>
        <v>silvinatomines_27@yahoo.com</v>
      </c>
      <c r="M62" s="410">
        <f>VALUE(IF(Main!S63&gt;0,Main!S63,""))</f>
        <v>9159986496</v>
      </c>
      <c r="N62" s="261" t="str">
        <f>Main!T63</f>
        <v/>
      </c>
      <c r="O62" s="258" t="str">
        <f>IF(Main!AO63&gt;0,Main!AO63,"")</f>
        <v>Lot 28 Blk 13 Montalban Heights San Jose Rodriguez Rizal</v>
      </c>
      <c r="P62" s="258" t="str">
        <f>IF(Main!AP63&gt;0,Main!AP63,"")</f>
        <v>Lot 28 Blk 13 Montalban Heights San Jose Rodriguez Rizal</v>
      </c>
      <c r="Q62" s="258" t="str">
        <f>IF(Main!AR63&gt;0,Main!AR63,"")</f>
        <v>Single</v>
      </c>
      <c r="R62" s="259" t="str">
        <f>IF(Main!AQ63&gt;0,Main!AQ63,"")</f>
        <v>Female</v>
      </c>
      <c r="S62" s="259" t="str">
        <f>IF(Main!BD63&gt;0,Main!BD63,"")</f>
        <v>34-1618936-3</v>
      </c>
      <c r="T62" s="259" t="str">
        <f>IF(Main!AX63&gt;0,Main!AX63,"")</f>
        <v>950-249-509</v>
      </c>
      <c r="U62" s="259" t="str">
        <f>IF(Main!BH63&gt;0,Main!BH63,"")</f>
        <v>01-051754602-5</v>
      </c>
      <c r="V62" s="268" t="str">
        <f>IF(Main!BF63&gt;0,Main!BF63,"")</f>
        <v>1211-3774-0303</v>
      </c>
      <c r="W62" s="263">
        <f>IF(Main!BS63&gt;0,Main!BS63,"")</f>
        <v>42045</v>
      </c>
      <c r="X62" s="263">
        <f>IF(Main!BT63&gt;0,Main!BT63,"")</f>
        <v>42045</v>
      </c>
      <c r="Y62" s="263">
        <f>IF(Main!BU63&gt;0,Main!BU63,"")</f>
        <v>42045</v>
      </c>
      <c r="Z62" s="263">
        <f>IF(Main!AS63&gt;0,Main!AS63,"")</f>
        <v>42046</v>
      </c>
      <c r="AA62" s="263">
        <f>IF(Main!BJ63&gt;0,Main!BJ63,"")</f>
        <v>42062</v>
      </c>
      <c r="AB62" s="263">
        <f>IF(Main!BC63&gt;0,Main!BC63,"")</f>
        <v>42068</v>
      </c>
      <c r="AC62" s="263">
        <f>IF(Main!AW63&gt;0,Main!AW63,"")</f>
        <v>42046</v>
      </c>
      <c r="AD62" s="263">
        <f>IF(Main!BG63&gt;0,Main!BG63,"")</f>
        <v>42066</v>
      </c>
      <c r="AE62" s="263">
        <f>IF(Main!BE63&gt;0,Main!BE63,"")</f>
        <v>42066</v>
      </c>
      <c r="AF62" s="263">
        <f>IF(Main!BM63&gt;0,Main!BM63,"")</f>
        <v>42046</v>
      </c>
      <c r="AG62" s="263" t="str">
        <f>IF(Main!BN63&gt;0,Main!BN63,"")</f>
        <v/>
      </c>
      <c r="AH62" s="263" t="str">
        <f>IF(Main!BO63&gt;0,Main!BO63,"")</f>
        <v/>
      </c>
      <c r="AI62" s="263">
        <f>IF(Main!BR63&gt;0,Main!BR63,"")</f>
        <v>42062</v>
      </c>
      <c r="AJ62" s="263" t="str">
        <f>IF(Main!BQ63&gt;0,Main!BQ63,"")</f>
        <v/>
      </c>
      <c r="AK62" s="263">
        <f>IF(Main!AV63&gt;0,Main!AV63,"")</f>
        <v>42053</v>
      </c>
      <c r="AL62" s="263">
        <f>IF(Main!AU63&gt;0,Main!AU63,"")</f>
        <v>42046</v>
      </c>
      <c r="AM62" s="263">
        <f>IF(Main!AT63&gt;0,Main!AT63,"")</f>
        <v>42046</v>
      </c>
      <c r="AN62" s="259" t="str">
        <f>Main!BW63</f>
        <v xml:space="preserve">1905 3/4/2015, 2305 2/9/2015, MDR 3/3/2015, </v>
      </c>
    </row>
    <row r="63" spans="1:40" x14ac:dyDescent="0.25">
      <c r="A63" s="258">
        <f>Main!C64</f>
        <v>1082280</v>
      </c>
      <c r="B63" s="259" t="str">
        <f>Main!D64</f>
        <v>Cancilao, Jennifer Robles</v>
      </c>
      <c r="C63" s="259" t="str">
        <f>Main!AH64</f>
        <v>Probationary</v>
      </c>
      <c r="D63" s="260">
        <f>Main!B64</f>
        <v>42044</v>
      </c>
      <c r="E63" s="260" t="str">
        <f>IF(Main!AI64&lt;1,"",Main!AI64)</f>
        <v>Jobstreet</v>
      </c>
      <c r="F63" s="260" t="str">
        <f>IF(Main!AJ64&lt;1,"",Main!AJ64)</f>
        <v/>
      </c>
      <c r="G63" s="260" t="str">
        <f>IF(Main!AK64&lt;1,"",Main!AK64)</f>
        <v/>
      </c>
      <c r="H63" s="259" t="str">
        <f>Main!Y64</f>
        <v>Recruiter- Consumer Sales</v>
      </c>
      <c r="I63" s="259" t="str">
        <f>Main!Z64</f>
        <v>Level 0</v>
      </c>
      <c r="J63" s="259">
        <f>IF(Main!A64&lt;1,"",Main!A64)</f>
        <v>183</v>
      </c>
      <c r="K63" s="260">
        <f>IF(Main!AN64&gt;0,Main!AN64,"")</f>
        <v>33923</v>
      </c>
      <c r="L63" s="258" t="str">
        <f>IF(Main!Q64&gt;0,Main!Q64,"")</f>
        <v>cancilaojennifer@yahoo.com</v>
      </c>
      <c r="M63" s="410">
        <f>VALUE(IF(Main!S64&gt;0,Main!S64,""))</f>
        <v>9356033761</v>
      </c>
      <c r="N63" s="261" t="str">
        <f>Main!T64</f>
        <v/>
      </c>
      <c r="O63" s="258" t="str">
        <f>IF(Main!AO64&gt;0,Main!AO64,"")</f>
        <v>#33 Pardiñas St. Purok 13 Zone 6 Signal Village Taguig City</v>
      </c>
      <c r="P63" s="258" t="str">
        <f>IF(Main!AP64&gt;0,Main!AP64,"")</f>
        <v>#33 Pardiñas St. Purok 13 Zone 6 Signal Village Taguig City</v>
      </c>
      <c r="Q63" s="258" t="str">
        <f>IF(Main!AR64&gt;0,Main!AR64,"")</f>
        <v>Single</v>
      </c>
      <c r="R63" s="259" t="str">
        <f>IF(Main!AQ64&gt;0,Main!AQ64,"")</f>
        <v>Female</v>
      </c>
      <c r="S63" s="259" t="str">
        <f>IF(Main!BD64&gt;0,Main!BD64,"")</f>
        <v>34-3452782-6</v>
      </c>
      <c r="T63" s="259" t="str">
        <f>IF(Main!AX64&gt;0,Main!AX64,"")</f>
        <v>427-313-289</v>
      </c>
      <c r="U63" s="259" t="str">
        <f>IF(Main!BH64&gt;0,Main!BH64,"")</f>
        <v>01-051444476-0</v>
      </c>
      <c r="V63" s="268" t="str">
        <f>IF(Main!BF64&gt;0,Main!BF64,"")</f>
        <v>1210-6273-9785</v>
      </c>
      <c r="W63" s="263">
        <f>IF(Main!BS64&gt;0,Main!BS64,"")</f>
        <v>42045</v>
      </c>
      <c r="X63" s="263">
        <f>IF(Main!BT64&gt;0,Main!BT64,"")</f>
        <v>42045</v>
      </c>
      <c r="Y63" s="263">
        <f>IF(Main!BU64&gt;0,Main!BU64,"")</f>
        <v>42045</v>
      </c>
      <c r="Z63" s="263">
        <f>IF(Main!AS64&gt;0,Main!AS64,"")</f>
        <v>42046</v>
      </c>
      <c r="AA63" s="263">
        <f>IF(Main!BJ64&gt;0,Main!BJ64,"")</f>
        <v>42048</v>
      </c>
      <c r="AB63" s="263">
        <f>IF(Main!BC64&gt;0,Main!BC64,"")</f>
        <v>42053</v>
      </c>
      <c r="AC63" s="263">
        <f>IF(Main!AW64&gt;0,Main!AW64,"")</f>
        <v>42053</v>
      </c>
      <c r="AD63" s="263">
        <f>IF(Main!BG64&gt;0,Main!BG64,"")</f>
        <v>42048</v>
      </c>
      <c r="AE63" s="263">
        <f>IF(Main!BE64&gt;0,Main!BE64,"")</f>
        <v>42048</v>
      </c>
      <c r="AF63" s="263">
        <f>IF(Main!BM64&gt;0,Main!BM64,"")</f>
        <v>42048</v>
      </c>
      <c r="AG63" s="263" t="str">
        <f>IF(Main!BN64&gt;0,Main!BN64,"")</f>
        <v/>
      </c>
      <c r="AH63" s="263" t="str">
        <f>IF(Main!BO64&gt;0,Main!BO64,"")</f>
        <v/>
      </c>
      <c r="AI63" s="263" t="str">
        <f>IF(Main!BR64&gt;0,Main!BR64,"")</f>
        <v/>
      </c>
      <c r="AJ63" s="263">
        <f>IF(Main!BQ64&gt;0,Main!BQ64,"")</f>
        <v>42048</v>
      </c>
      <c r="AK63" s="263">
        <f>IF(Main!AV64&gt;0,Main!AV64,"")</f>
        <v>42046</v>
      </c>
      <c r="AL63" s="263">
        <f>IF(Main!AU64&gt;0,Main!AU64,"")</f>
        <v>42059</v>
      </c>
      <c r="AM63" s="263">
        <f>IF(Main!AT64&gt;0,Main!AT64,"")</f>
        <v>42048</v>
      </c>
      <c r="AN63" s="259" t="str">
        <f>Main!BW64</f>
        <v xml:space="preserve">1905 2/18/2015, 2305 2/9/2015, MDR 2/13/2015, </v>
      </c>
    </row>
    <row r="64" spans="1:40" x14ac:dyDescent="0.25">
      <c r="A64" s="258">
        <f>Main!C65</f>
        <v>1082281</v>
      </c>
      <c r="B64" s="259" t="str">
        <f>Main!D65</f>
        <v>De Castro, Tom Rinel Lumaban</v>
      </c>
      <c r="C64" s="259" t="str">
        <f>Main!AH65</f>
        <v>Probationary</v>
      </c>
      <c r="D64" s="260">
        <f>Main!B65</f>
        <v>42044</v>
      </c>
      <c r="E64" s="260" t="str">
        <f>IF(Main!AI65&lt;1,"",Main!AI65)</f>
        <v>NS Endorsement</v>
      </c>
      <c r="F64" s="260" t="str">
        <f>IF(Main!AJ65&lt;1,"",Main!AJ65)</f>
        <v/>
      </c>
      <c r="G64" s="260" t="str">
        <f>IF(Main!AK65&lt;1,"",Main!AK65)</f>
        <v/>
      </c>
      <c r="H64" s="259" t="str">
        <f>Main!Y65</f>
        <v>Internet Researcher</v>
      </c>
      <c r="I64" s="259" t="str">
        <f>Main!Z65</f>
        <v>Level 1</v>
      </c>
      <c r="J64" s="259">
        <f>IF(Main!A65&lt;1,"",Main!A65)</f>
        <v>183</v>
      </c>
      <c r="K64" s="260">
        <f>IF(Main!AN65&gt;0,Main!AN65,"")</f>
        <v>34226</v>
      </c>
      <c r="L64" s="258" t="str">
        <f>IF(Main!Q65&gt;0,Main!Q65,"")</f>
        <v>tom.decastro14@yahoo.com</v>
      </c>
      <c r="M64" s="410">
        <f>VALUE(IF(Main!S65&gt;0,Main!S65,""))</f>
        <v>9266348658</v>
      </c>
      <c r="N64" s="261" t="str">
        <f>Main!T65</f>
        <v/>
      </c>
      <c r="O64" s="258" t="str">
        <f>IF(Main!AO65&gt;0,Main!AO65,"")</f>
        <v>Blk 23 Lot 28 Arambulo ST, Las Piñas</v>
      </c>
      <c r="P64" s="258" t="str">
        <f>IF(Main!AP65&gt;0,Main!AP65,"")</f>
        <v/>
      </c>
      <c r="Q64" s="258" t="str">
        <f>IF(Main!AR65&gt;0,Main!AR65,"")</f>
        <v/>
      </c>
      <c r="R64" s="259" t="str">
        <f>IF(Main!AQ65&gt;0,Main!AQ65,"")</f>
        <v>Male</v>
      </c>
      <c r="S64" s="259" t="str">
        <f>IF(Main!BD65&gt;0,Main!BD65,"")</f>
        <v>34-4068689-0</v>
      </c>
      <c r="T64" s="259" t="str">
        <f>IF(Main!AX65&gt;0,Main!AX65,"")</f>
        <v>314-854-229</v>
      </c>
      <c r="U64" s="259" t="str">
        <f>IF(Main!BH65&gt;0,Main!BH65,"")</f>
        <v>01-051820776-3</v>
      </c>
      <c r="V64" s="268" t="str">
        <f>IF(Main!BF65&gt;0,Main!BF65,"")</f>
        <v/>
      </c>
      <c r="W64" s="263">
        <f>IF(Main!BS65&gt;0,Main!BS65,"")</f>
        <v>42045</v>
      </c>
      <c r="X64" s="263">
        <f>IF(Main!BT65&gt;0,Main!BT65,"")</f>
        <v>42045</v>
      </c>
      <c r="Y64" s="263">
        <f>IF(Main!BU65&gt;0,Main!BU65,"")</f>
        <v>42045</v>
      </c>
      <c r="Z64" s="263" t="str">
        <f>IF(Main!AS65&gt;0,Main!AS65,"")</f>
        <v/>
      </c>
      <c r="AA64" s="263" t="str">
        <f>IF(Main!BJ65&gt;0,Main!BJ65,"")</f>
        <v/>
      </c>
      <c r="AB64" s="263">
        <f>IF(Main!BC65&gt;0,Main!BC65,"")</f>
        <v>42053</v>
      </c>
      <c r="AC64" s="263">
        <f>IF(Main!AW65&gt;0,Main!AW65,"")</f>
        <v>42053</v>
      </c>
      <c r="AD64" s="263">
        <f>IF(Main!BG65&gt;0,Main!BG65,"")</f>
        <v>42054</v>
      </c>
      <c r="AE64" s="263" t="str">
        <f>IF(Main!BE65&gt;0,Main!BE65,"")</f>
        <v/>
      </c>
      <c r="AF64" s="263">
        <f>IF(Main!BM65&gt;0,Main!BM65,"")</f>
        <v>42053</v>
      </c>
      <c r="AG64" s="263" t="str">
        <f>IF(Main!BN65&gt;0,Main!BN65,"")</f>
        <v/>
      </c>
      <c r="AH64" s="263" t="str">
        <f>IF(Main!BO65&gt;0,Main!BO65,"")</f>
        <v/>
      </c>
      <c r="AI64" s="263" t="str">
        <f>IF(Main!BR65&gt;0,Main!BR65,"")</f>
        <v/>
      </c>
      <c r="AJ64" s="263" t="str">
        <f>IF(Main!BQ65&gt;0,Main!BQ65,"")</f>
        <v/>
      </c>
      <c r="AK64" s="263">
        <f>IF(Main!AV65&gt;0,Main!AV65,"")</f>
        <v>42046</v>
      </c>
      <c r="AL64" s="263" t="str">
        <f>IF(Main!AU65&gt;0,Main!AU65,"")</f>
        <v/>
      </c>
      <c r="AM64" s="263">
        <f>IF(Main!AT65&gt;0,Main!AT65,"")</f>
        <v>42053</v>
      </c>
      <c r="AN64" s="259" t="str">
        <f>Main!BW65</f>
        <v xml:space="preserve">1905 2/19/2015, 2305 2/9/2015, MDR 2/19/2015, </v>
      </c>
    </row>
    <row r="65" spans="1:40" x14ac:dyDescent="0.25">
      <c r="A65" s="258">
        <f>Main!C66</f>
        <v>1082282</v>
      </c>
      <c r="B65" s="259" t="str">
        <f>Main!D66</f>
        <v>Despabiladeras, Michael Martin Lagumbay</v>
      </c>
      <c r="C65" s="259" t="str">
        <f>Main!AH66</f>
        <v>Probationary</v>
      </c>
      <c r="D65" s="260">
        <f>Main!B66</f>
        <v>42044</v>
      </c>
      <c r="E65" s="260" t="str">
        <f>IF(Main!AI66&lt;1,"",Main!AI66)</f>
        <v>NS Endorsement</v>
      </c>
      <c r="F65" s="260" t="str">
        <f>IF(Main!AJ66&lt;1,"",Main!AJ66)</f>
        <v/>
      </c>
      <c r="G65" s="260" t="str">
        <f>IF(Main!AK66&lt;1,"",Main!AK66)</f>
        <v/>
      </c>
      <c r="H65" s="259" t="str">
        <f>Main!Y66</f>
        <v>Internet Researcher</v>
      </c>
      <c r="I65" s="259" t="str">
        <f>Main!Z66</f>
        <v>Level 1</v>
      </c>
      <c r="J65" s="259">
        <f>IF(Main!A66&lt;1,"",Main!A66)</f>
        <v>183</v>
      </c>
      <c r="K65" s="260">
        <f>IF(Main!AN66&gt;0,Main!AN66,"")</f>
        <v>31358</v>
      </c>
      <c r="L65" s="258" t="str">
        <f>IF(Main!Q66&gt;0,Main!Q66,"")</f>
        <v>mike_racs@hotmail.com</v>
      </c>
      <c r="M65" s="410">
        <f>VALUE(IF(Main!S66&gt;0,Main!S66,""))</f>
        <v>9166745304</v>
      </c>
      <c r="N65" s="261" t="str">
        <f>Main!T66</f>
        <v/>
      </c>
      <c r="O65" s="258" t="str">
        <f>IF(Main!AO66&gt;0,Main!AO66,"")</f>
        <v>Lot 9 Blk 28 Opal St. Casa Filipina 4th Estate,  Parañaque City</v>
      </c>
      <c r="P65" s="258" t="str">
        <f>IF(Main!AP66&gt;0,Main!AP66,"")</f>
        <v>Lot 9 Blk 28 Opal St. Casa Filipina 4th Estate,  Parañaque City</v>
      </c>
      <c r="Q65" s="258" t="str">
        <f>IF(Main!AR66&gt;0,Main!AR66,"")</f>
        <v>Single</v>
      </c>
      <c r="R65" s="259" t="str">
        <f>IF(Main!AQ66&gt;0,Main!AQ66,"")</f>
        <v>Male</v>
      </c>
      <c r="S65" s="259" t="str">
        <f>IF(Main!BD66&gt;0,Main!BD66,"")</f>
        <v>33-8995491-3</v>
      </c>
      <c r="T65" s="259" t="str">
        <f>IF(Main!AX66&gt;0,Main!AX66,"")</f>
        <v>231-623-339</v>
      </c>
      <c r="U65" s="259" t="str">
        <f>IF(Main!BH66&gt;0,Main!BH66,"")</f>
        <v>01-025107838-1</v>
      </c>
      <c r="V65" s="268" t="str">
        <f>IF(Main!BF66&gt;0,Main!BF66,"")</f>
        <v>1010-0078-7115</v>
      </c>
      <c r="W65" s="263">
        <f>IF(Main!BS66&gt;0,Main!BS66,"")</f>
        <v>42045</v>
      </c>
      <c r="X65" s="263">
        <f>IF(Main!BT66&gt;0,Main!BT66,"")</f>
        <v>42045</v>
      </c>
      <c r="Y65" s="263">
        <f>IF(Main!BU66&gt;0,Main!BU66,"")</f>
        <v>42045</v>
      </c>
      <c r="Z65" s="263">
        <f>IF(Main!AS66&gt;0,Main!AS66,"")</f>
        <v>42047</v>
      </c>
      <c r="AA65" s="263">
        <f>IF(Main!BJ66&gt;0,Main!BJ66,"")</f>
        <v>42047</v>
      </c>
      <c r="AB65" s="263">
        <f>IF(Main!BC66&gt;0,Main!BC66,"")</f>
        <v>42047</v>
      </c>
      <c r="AC65" s="263">
        <f>IF(Main!AW66&gt;0,Main!AW66,"")</f>
        <v>42051</v>
      </c>
      <c r="AD65" s="263">
        <f>IF(Main!BG66&gt;0,Main!BG66,"")</f>
        <v>42047</v>
      </c>
      <c r="AE65" s="263">
        <f>IF(Main!BE66&gt;0,Main!BE66,"")</f>
        <v>42052</v>
      </c>
      <c r="AF65" s="263">
        <f>IF(Main!BM66&gt;0,Main!BM66,"")</f>
        <v>42047</v>
      </c>
      <c r="AG65" s="263" t="str">
        <f>IF(Main!BN66&gt;0,Main!BN66,"")</f>
        <v/>
      </c>
      <c r="AH65" s="263" t="str">
        <f>IF(Main!BO66&gt;0,Main!BO66,"")</f>
        <v/>
      </c>
      <c r="AI65" s="263" t="str">
        <f>IF(Main!BR66&gt;0,Main!BR66,"")</f>
        <v/>
      </c>
      <c r="AJ65" s="263">
        <f>IF(Main!BQ66&gt;0,Main!BQ66,"")</f>
        <v>42047</v>
      </c>
      <c r="AK65" s="263">
        <f>IF(Main!AV66&gt;0,Main!AV66,"")</f>
        <v>42046</v>
      </c>
      <c r="AL65" s="263">
        <f>IF(Main!AU66&gt;0,Main!AU66,"")</f>
        <v>42052</v>
      </c>
      <c r="AM65" s="263">
        <f>IF(Main!AT66&gt;0,Main!AT66,"")</f>
        <v>42047</v>
      </c>
      <c r="AN65" s="259" t="str">
        <f>Main!BW66</f>
        <v xml:space="preserve">2305 2/9/2015, </v>
      </c>
    </row>
    <row r="66" spans="1:40" x14ac:dyDescent="0.25">
      <c r="A66" s="258">
        <f>Main!C67</f>
        <v>1082283</v>
      </c>
      <c r="B66" s="259" t="str">
        <f>Main!D67</f>
        <v>Diocolano, Jeahana Durado</v>
      </c>
      <c r="C66" s="259" t="str">
        <f>Main!AH67</f>
        <v>Probationary</v>
      </c>
      <c r="D66" s="260">
        <f>Main!B67</f>
        <v>42044</v>
      </c>
      <c r="E66" s="260" t="str">
        <f>IF(Main!AI67&lt;1,"",Main!AI67)</f>
        <v>Jobstreet</v>
      </c>
      <c r="F66" s="260" t="str">
        <f>IF(Main!AJ67&lt;1,"",Main!AJ67)</f>
        <v/>
      </c>
      <c r="G66" s="260" t="str">
        <f>IF(Main!AK67&lt;1,"",Main!AK67)</f>
        <v/>
      </c>
      <c r="H66" s="259" t="str">
        <f>Main!Y67</f>
        <v>Recruiter- Consumer Sales</v>
      </c>
      <c r="I66" s="259" t="str">
        <f>Main!Z67</f>
        <v>Level 0</v>
      </c>
      <c r="J66" s="259">
        <f>IF(Main!A67&lt;1,"",Main!A67)</f>
        <v>183</v>
      </c>
      <c r="K66" s="260">
        <f>IF(Main!AN67&gt;0,Main!AN67,"")</f>
        <v>33126</v>
      </c>
      <c r="L66" s="258" t="str">
        <f>IF(Main!Q67&gt;0,Main!Q67,"")</f>
        <v>jeahanadiocolano@yahoo.com</v>
      </c>
      <c r="M66" s="410">
        <f>VALUE(IF(Main!S67&gt;0,Main!S67,""))</f>
        <v>9096955186</v>
      </c>
      <c r="N66" s="261" t="str">
        <f>Main!T67</f>
        <v/>
      </c>
      <c r="O66" s="258" t="str">
        <f>IF(Main!AO67&gt;0,Main!AO67,"")</f>
        <v/>
      </c>
      <c r="P66" s="258" t="str">
        <f>IF(Main!AP67&gt;0,Main!AP67,"")</f>
        <v/>
      </c>
      <c r="Q66" s="258" t="str">
        <f>IF(Main!AR67&gt;0,Main!AR67,"")</f>
        <v/>
      </c>
      <c r="R66" s="259" t="str">
        <f>IF(Main!AQ67&gt;0,Main!AQ67,"")</f>
        <v/>
      </c>
      <c r="S66" s="259" t="str">
        <f>IF(Main!BD67&gt;0,Main!BD67,"")</f>
        <v/>
      </c>
      <c r="T66" s="259" t="str">
        <f>IF(Main!AX67&gt;0,Main!AX67,"")</f>
        <v/>
      </c>
      <c r="U66" s="259" t="str">
        <f>IF(Main!BH67&gt;0,Main!BH67,"")</f>
        <v/>
      </c>
      <c r="V66" s="268" t="str">
        <f>IF(Main!BF67&gt;0,Main!BF67,"")</f>
        <v/>
      </c>
      <c r="W66" s="263">
        <f>IF(Main!BS67&gt;0,Main!BS67,"")</f>
        <v>42045</v>
      </c>
      <c r="X66" s="263">
        <f>IF(Main!BT67&gt;0,Main!BT67,"")</f>
        <v>42045</v>
      </c>
      <c r="Y66" s="263">
        <f>IF(Main!BU67&gt;0,Main!BU67,"")</f>
        <v>42045</v>
      </c>
      <c r="Z66" s="263" t="str">
        <f>IF(Main!AS67&gt;0,Main!AS67,"")</f>
        <v/>
      </c>
      <c r="AA66" s="263" t="str">
        <f>IF(Main!BJ67&gt;0,Main!BJ67,"")</f>
        <v/>
      </c>
      <c r="AB66" s="263" t="str">
        <f>IF(Main!BC67&gt;0,Main!BC67,"")</f>
        <v/>
      </c>
      <c r="AC66" s="263" t="str">
        <f>IF(Main!AW67&gt;0,Main!AW67,"")</f>
        <v/>
      </c>
      <c r="AD66" s="263" t="str">
        <f>IF(Main!BG67&gt;0,Main!BG67,"")</f>
        <v/>
      </c>
      <c r="AE66" s="263" t="str">
        <f>IF(Main!BE67&gt;0,Main!BE67,"")</f>
        <v/>
      </c>
      <c r="AF66" s="263" t="str">
        <f>IF(Main!BM67&gt;0,Main!BM67,"")</f>
        <v/>
      </c>
      <c r="AG66" s="263" t="str">
        <f>IF(Main!BN67&gt;0,Main!BN67,"")</f>
        <v/>
      </c>
      <c r="AH66" s="263" t="str">
        <f>IF(Main!BO67&gt;0,Main!BO67,"")</f>
        <v/>
      </c>
      <c r="AI66" s="263" t="str">
        <f>IF(Main!BR67&gt;0,Main!BR67,"")</f>
        <v/>
      </c>
      <c r="AJ66" s="263" t="str">
        <f>IF(Main!BQ67&gt;0,Main!BQ67,"")</f>
        <v/>
      </c>
      <c r="AK66" s="263" t="str">
        <f>IF(Main!AV67&gt;0,Main!AV67,"")</f>
        <v/>
      </c>
      <c r="AL66" s="263" t="str">
        <f>IF(Main!AU67&gt;0,Main!AU67,"")</f>
        <v/>
      </c>
      <c r="AM66" s="263" t="str">
        <f>IF(Main!AT67&gt;0,Main!AT67,"")</f>
        <v/>
      </c>
      <c r="AN66" s="259" t="str">
        <f>Main!BW67</f>
        <v xml:space="preserve">2305 (for processing) 2/9/2015, </v>
      </c>
    </row>
    <row r="67" spans="1:40" x14ac:dyDescent="0.25">
      <c r="A67" s="258">
        <f>Main!C68</f>
        <v>1082284</v>
      </c>
      <c r="B67" s="259" t="str">
        <f>Main!D68</f>
        <v>Gumabao, Aaron Dela Cruz</v>
      </c>
      <c r="C67" s="259" t="str">
        <f>Main!AH68</f>
        <v>Probationary</v>
      </c>
      <c r="D67" s="260">
        <f>Main!B68</f>
        <v>42044</v>
      </c>
      <c r="E67" s="260" t="str">
        <f>IF(Main!AI68&lt;1,"",Main!AI68)</f>
        <v>Jobstreet</v>
      </c>
      <c r="F67" s="260" t="str">
        <f>IF(Main!AJ68&lt;1,"",Main!AJ68)</f>
        <v/>
      </c>
      <c r="G67" s="260" t="str">
        <f>IF(Main!AK68&lt;1,"",Main!AK68)</f>
        <v/>
      </c>
      <c r="H67" s="259" t="str">
        <f>Main!Y68</f>
        <v>Recruiter- Consumer Sales</v>
      </c>
      <c r="I67" s="259" t="str">
        <f>Main!Z68</f>
        <v>Level 0</v>
      </c>
      <c r="J67" s="259">
        <f>IF(Main!A68&lt;1,"",Main!A68)</f>
        <v>183</v>
      </c>
      <c r="K67" s="260">
        <f>IF(Main!AN68&gt;0,Main!AN68,"")</f>
        <v>32263</v>
      </c>
      <c r="L67" s="258" t="str">
        <f>IF(Main!Q68&gt;0,Main!Q68,"")</f>
        <v>aaron.gumabao@yahoo.com</v>
      </c>
      <c r="M67" s="410">
        <f>VALUE(IF(Main!S68&gt;0,Main!S68,""))</f>
        <v>91781704030</v>
      </c>
      <c r="N67" s="261" t="str">
        <f>Main!T68</f>
        <v/>
      </c>
      <c r="O67" s="258" t="str">
        <f>IF(Main!AO68&gt;0,Main!AO68,"")</f>
        <v>Blk 53 Lot 5 Soldiers Hills Vill. Muntinlupa City</v>
      </c>
      <c r="P67" s="258" t="str">
        <f>IF(Main!AP68&gt;0,Main!AP68,"")</f>
        <v>Blk 53 Lot 5 Soldiers Hills Vill. Muntinlupa City</v>
      </c>
      <c r="Q67" s="258" t="str">
        <f>IF(Main!AR68&gt;0,Main!AR68,"")</f>
        <v>Single</v>
      </c>
      <c r="R67" s="259" t="str">
        <f>IF(Main!AQ68&gt;0,Main!AQ68,"")</f>
        <v>Male</v>
      </c>
      <c r="S67" s="259" t="str">
        <f>IF(Main!BD68&gt;0,Main!BD68,"")</f>
        <v>34-2905407-4</v>
      </c>
      <c r="T67" s="259" t="str">
        <f>IF(Main!AX68&gt;0,Main!AX68,"")</f>
        <v>413-993-463</v>
      </c>
      <c r="U67" s="259" t="str">
        <f>IF(Main!BH68&gt;0,Main!BH68,"")</f>
        <v>01-025362889-3</v>
      </c>
      <c r="V67" s="268" t="str">
        <f>IF(Main!BF68&gt;0,Main!BF68,"")</f>
        <v>1211-3720-0587</v>
      </c>
      <c r="W67" s="263">
        <f>IF(Main!BS68&gt;0,Main!BS68,"")</f>
        <v>42045</v>
      </c>
      <c r="X67" s="263">
        <f>IF(Main!BT68&gt;0,Main!BT68,"")</f>
        <v>42045</v>
      </c>
      <c r="Y67" s="263">
        <f>IF(Main!BU68&gt;0,Main!BU68,"")</f>
        <v>42045</v>
      </c>
      <c r="Z67" s="263">
        <f>IF(Main!AS68&gt;0,Main!AS68,"")</f>
        <v>42045</v>
      </c>
      <c r="AA67" s="263">
        <f>IF(Main!BJ68&gt;0,Main!BJ68,"")</f>
        <v>42045</v>
      </c>
      <c r="AB67" s="263">
        <f>IF(Main!BC68&gt;0,Main!BC68,"")</f>
        <v>42047</v>
      </c>
      <c r="AC67" s="263">
        <f>IF(Main!AW68&gt;0,Main!AW68,"")</f>
        <v>42047</v>
      </c>
      <c r="AD67" s="263">
        <f>IF(Main!BG68&gt;0,Main!BG68,"")</f>
        <v>42047</v>
      </c>
      <c r="AE67" s="263">
        <f>IF(Main!BE68&gt;0,Main!BE68,"")</f>
        <v>42048</v>
      </c>
      <c r="AF67" s="263">
        <f>IF(Main!BM68&gt;0,Main!BM68,"")</f>
        <v>42047</v>
      </c>
      <c r="AG67" s="263" t="str">
        <f>IF(Main!BN68&gt;0,Main!BN68,"")</f>
        <v/>
      </c>
      <c r="AH67" s="263" t="str">
        <f>IF(Main!BO68&gt;0,Main!BO68,"")</f>
        <v/>
      </c>
      <c r="AI67" s="263" t="str">
        <f>IF(Main!BR68&gt;0,Main!BR68,"")</f>
        <v/>
      </c>
      <c r="AJ67" s="263">
        <f>IF(Main!BQ68&gt;0,Main!BQ68,"")</f>
        <v>42045</v>
      </c>
      <c r="AK67" s="263">
        <f>IF(Main!AV68&gt;0,Main!AV68,"")</f>
        <v>42046</v>
      </c>
      <c r="AL67" s="263">
        <f>IF(Main!AU68&gt;0,Main!AU68,"")</f>
        <v>42045</v>
      </c>
      <c r="AM67" s="263">
        <f>IF(Main!AT68&gt;0,Main!AT68,"")</f>
        <v>42045</v>
      </c>
      <c r="AN67" s="259" t="str">
        <f>Main!BW68</f>
        <v xml:space="preserve">2305 2/9/2015, </v>
      </c>
    </row>
    <row r="68" spans="1:40" x14ac:dyDescent="0.25">
      <c r="A68" s="258">
        <f>Main!C69</f>
        <v>1082285</v>
      </c>
      <c r="B68" s="259" t="str">
        <f>Main!D69</f>
        <v>Libao, Ma. Lauren Calalay</v>
      </c>
      <c r="C68" s="259" t="str">
        <f>Main!AH69</f>
        <v>Probationary</v>
      </c>
      <c r="D68" s="260">
        <f>Main!B69</f>
        <v>42044</v>
      </c>
      <c r="E68" s="260" t="str">
        <f>IF(Main!AI69&lt;1,"",Main!AI69)</f>
        <v>ERP</v>
      </c>
      <c r="F68" s="260" t="str">
        <f>IF(Main!AJ69&lt;1,"",Main!AJ69)</f>
        <v>Francis Sadaya</v>
      </c>
      <c r="G68" s="260" t="str">
        <f>IF(Main!AK69&lt;1,"",Main!AK69)</f>
        <v/>
      </c>
      <c r="H68" s="259" t="str">
        <f>Main!Y69</f>
        <v>Recruiter- Consumer Sales</v>
      </c>
      <c r="I68" s="259" t="str">
        <f>Main!Z69</f>
        <v>Level 0</v>
      </c>
      <c r="J68" s="259">
        <f>IF(Main!A69&lt;1,"",Main!A69)</f>
        <v>183</v>
      </c>
      <c r="K68" s="260">
        <f>IF(Main!AN69&gt;0,Main!AN69,"")</f>
        <v>32139</v>
      </c>
      <c r="L68" s="258" t="str">
        <f>IF(Main!Q69&gt;0,Main!Q69,"")</f>
        <v>laurenlibao@yahoo.com</v>
      </c>
      <c r="M68" s="410">
        <f>VALUE(IF(Main!S69&gt;0,Main!S69,""))</f>
        <v>9063501390</v>
      </c>
      <c r="N68" s="261" t="str">
        <f>Main!T69</f>
        <v/>
      </c>
      <c r="O68" s="258" t="str">
        <f>IF(Main!AO69&gt;0,Main!AO69,"")</f>
        <v>#81 A San Pedro, Bautista St., San Francisco Del Monte, Quezon City</v>
      </c>
      <c r="P68" s="258" t="str">
        <f>IF(Main!AP69&gt;0,Main!AP69,"")</f>
        <v>#81 A San Pedro, Bautista St., San Francisco Del Monte, Quezon City</v>
      </c>
      <c r="Q68" s="258" t="str">
        <f>IF(Main!AR69&gt;0,Main!AR69,"")</f>
        <v>Single</v>
      </c>
      <c r="R68" s="259" t="str">
        <f>IF(Main!AQ69&gt;0,Main!AQ69,"")</f>
        <v>Female</v>
      </c>
      <c r="S68" s="259" t="str">
        <f>IF(Main!BD69&gt;0,Main!BD69,"")</f>
        <v>34-1652514-7</v>
      </c>
      <c r="T68" s="259" t="str">
        <f>IF(Main!AX69&gt;0,Main!AX69,"")</f>
        <v>404-954-615</v>
      </c>
      <c r="U68" s="259" t="str">
        <f>IF(Main!BH69&gt;0,Main!BH69,"")</f>
        <v>02-025221247-8</v>
      </c>
      <c r="V68" s="268" t="str">
        <f>IF(Main!BF69&gt;0,Main!BF69,"")</f>
        <v>1210-3602-1563</v>
      </c>
      <c r="W68" s="263">
        <f>IF(Main!BS69&gt;0,Main!BS69,"")</f>
        <v>42045</v>
      </c>
      <c r="X68" s="263">
        <f>IF(Main!BT69&gt;0,Main!BT69,"")</f>
        <v>42045</v>
      </c>
      <c r="Y68" s="263">
        <f>IF(Main!BU69&gt;0,Main!BU69,"")</f>
        <v>42045</v>
      </c>
      <c r="Z68" s="263">
        <f>IF(Main!AS69&gt;0,Main!AS69,"")</f>
        <v>42059</v>
      </c>
      <c r="AA68" s="263">
        <f>IF(Main!BJ69&gt;0,Main!BJ69,"")</f>
        <v>42090</v>
      </c>
      <c r="AB68" s="263">
        <f>IF(Main!BC69&gt;0,Main!BC69,"")</f>
        <v>42059</v>
      </c>
      <c r="AC68" s="263">
        <f>IF(Main!AW69&gt;0,Main!AW69,"")</f>
        <v>42059</v>
      </c>
      <c r="AD68" s="263">
        <f>IF(Main!BG69&gt;0,Main!BG69,"")</f>
        <v>42065</v>
      </c>
      <c r="AE68" s="263">
        <f>IF(Main!BE69&gt;0,Main!BE69,"")</f>
        <v>42059</v>
      </c>
      <c r="AF68" s="263">
        <f>IF(Main!BM69&gt;0,Main!BM69,"")</f>
        <v>42059</v>
      </c>
      <c r="AG68" s="263" t="str">
        <f>IF(Main!BN69&gt;0,Main!BN69,"")</f>
        <v/>
      </c>
      <c r="AH68" s="263" t="str">
        <f>IF(Main!BO69&gt;0,Main!BO69,"")</f>
        <v/>
      </c>
      <c r="AI68" s="263" t="str">
        <f>IF(Main!BR69&gt;0,Main!BR69,"")</f>
        <v/>
      </c>
      <c r="AJ68" s="263" t="str">
        <f>IF(Main!BQ69&gt;0,Main!BQ69,"")</f>
        <v/>
      </c>
      <c r="AK68" s="263">
        <f>IF(Main!AV69&gt;0,Main!AV69,"")</f>
        <v>42046</v>
      </c>
      <c r="AL68" s="263">
        <f>IF(Main!AU69&gt;0,Main!AU69,"")</f>
        <v>42059</v>
      </c>
      <c r="AM68" s="263">
        <f>IF(Main!AT69&gt;0,Main!AT69,"")</f>
        <v>42059</v>
      </c>
      <c r="AN68" s="259" t="str">
        <f>Main!BW69</f>
        <v xml:space="preserve">1905 2/24/2015, 2305 2/11/2015, MDR 3/2/2015, NBI receipt 3/2/2015, </v>
      </c>
    </row>
    <row r="69" spans="1:40" x14ac:dyDescent="0.25">
      <c r="A69" s="258">
        <f>Main!C70</f>
        <v>1082286</v>
      </c>
      <c r="B69" s="259" t="str">
        <f>Main!D70</f>
        <v>Lino, Steven John Nichole Bautista</v>
      </c>
      <c r="C69" s="259" t="str">
        <f>Main!AH70</f>
        <v>Probationary</v>
      </c>
      <c r="D69" s="260">
        <f>Main!B70</f>
        <v>42044</v>
      </c>
      <c r="E69" s="260" t="str">
        <f>IF(Main!AI70&lt;1,"",Main!AI70)</f>
        <v>ERP</v>
      </c>
      <c r="F69" s="260" t="str">
        <f>IF(Main!AJ70&lt;1,"",Main!AJ70)</f>
        <v>Zeanna Alexis Smith</v>
      </c>
      <c r="G69" s="260" t="str">
        <f>IF(Main!AK70&lt;1,"",Main!AK70)</f>
        <v/>
      </c>
      <c r="H69" s="259" t="str">
        <f>Main!Y70</f>
        <v>Internet Researcher</v>
      </c>
      <c r="I69" s="259" t="str">
        <f>Main!Z70</f>
        <v>Level 1</v>
      </c>
      <c r="J69" s="259">
        <f>IF(Main!A70&lt;1,"",Main!A70)</f>
        <v>183</v>
      </c>
      <c r="K69" s="260">
        <f>IF(Main!AN70&gt;0,Main!AN70,"")</f>
        <v>33734</v>
      </c>
      <c r="L69" s="258" t="str">
        <f>IF(Main!Q70&gt;0,Main!Q70,"")</f>
        <v>lino.steven@yahoo.com</v>
      </c>
      <c r="M69" s="410">
        <f>VALUE(IF(Main!S70&gt;0,Main!S70,""))</f>
        <v>9051635295</v>
      </c>
      <c r="N69" s="261" t="str">
        <f>Main!T70</f>
        <v/>
      </c>
      <c r="O69" s="258" t="str">
        <f>IF(Main!AO70&gt;0,Main!AO70,"")</f>
        <v>B10 L4 Queen Pilar St. Queens Row East Molino Bacoor Cavite</v>
      </c>
      <c r="P69" s="258" t="str">
        <f>IF(Main!AP70&gt;0,Main!AP70,"")</f>
        <v>B10 L4 Queen Pilar St. Queens Row East Molino Bacoor Cavite</v>
      </c>
      <c r="Q69" s="258" t="str">
        <f>IF(Main!AR70&gt;0,Main!AR70,"")</f>
        <v>Single</v>
      </c>
      <c r="R69" s="259" t="str">
        <f>IF(Main!AQ70&gt;0,Main!AQ70,"")</f>
        <v>Male</v>
      </c>
      <c r="S69" s="259" t="str">
        <f>IF(Main!BD70&gt;0,Main!BD70,"")</f>
        <v>34-2845025-5</v>
      </c>
      <c r="T69" s="259" t="str">
        <f>IF(Main!AX70&gt;0,Main!AX70,"")</f>
        <v>412-501-437</v>
      </c>
      <c r="U69" s="259" t="str">
        <f>IF(Main!BH70&gt;0,Main!BH70,"")</f>
        <v>01-051473711-3</v>
      </c>
      <c r="V69" s="268" t="str">
        <f>IF(Main!BF70&gt;0,Main!BF70,"")</f>
        <v>1210-2908-1979</v>
      </c>
      <c r="W69" s="263">
        <f>IF(Main!BS70&gt;0,Main!BS70,"")</f>
        <v>42045</v>
      </c>
      <c r="X69" s="263">
        <f>IF(Main!BT70&gt;0,Main!BT70,"")</f>
        <v>42045</v>
      </c>
      <c r="Y69" s="263">
        <f>IF(Main!BU70&gt;0,Main!BU70,"")</f>
        <v>42045</v>
      </c>
      <c r="Z69" s="263">
        <f>IF(Main!AS70&gt;0,Main!AS70,"")</f>
        <v>42048</v>
      </c>
      <c r="AA69" s="263">
        <f>IF(Main!BJ70&gt;0,Main!BJ70,"")</f>
        <v>42048</v>
      </c>
      <c r="AB69" s="263">
        <f>IF(Main!BC70&gt;0,Main!BC70,"")</f>
        <v>42048</v>
      </c>
      <c r="AC69" s="263">
        <f>IF(Main!AW70&gt;0,Main!AW70,"")</f>
        <v>42059</v>
      </c>
      <c r="AD69" s="263">
        <f>IF(Main!BG70&gt;0,Main!BG70,"")</f>
        <v>42048</v>
      </c>
      <c r="AE69" s="263">
        <f>IF(Main!BE70&gt;0,Main!BE70,"")</f>
        <v>42048</v>
      </c>
      <c r="AF69" s="263">
        <f>IF(Main!BM70&gt;0,Main!BM70,"")</f>
        <v>42048</v>
      </c>
      <c r="AG69" s="263" t="str">
        <f>IF(Main!BN70&gt;0,Main!BN70,"")</f>
        <v/>
      </c>
      <c r="AH69" s="263" t="str">
        <f>IF(Main!BO70&gt;0,Main!BO70,"")</f>
        <v/>
      </c>
      <c r="AI69" s="263" t="str">
        <f>IF(Main!BR70&gt;0,Main!BR70,"")</f>
        <v/>
      </c>
      <c r="AJ69" s="263">
        <f>IF(Main!BQ70&gt;0,Main!BQ70,"")</f>
        <v>42048</v>
      </c>
      <c r="AK69" s="263">
        <f>IF(Main!AV70&gt;0,Main!AV70,"")</f>
        <v>42046</v>
      </c>
      <c r="AL69" s="263">
        <f>IF(Main!AU70&gt;0,Main!AU70,"")</f>
        <v>42048</v>
      </c>
      <c r="AM69" s="263">
        <f>IF(Main!AT70&gt;0,Main!AT70,"")</f>
        <v>42048</v>
      </c>
      <c r="AN69" s="259" t="str">
        <f>Main!BW70</f>
        <v xml:space="preserve">1905 2/24/2015, 2305 2/9/2015, MDR 2/13/2015, </v>
      </c>
    </row>
    <row r="70" spans="1:40" x14ac:dyDescent="0.25">
      <c r="A70" s="258">
        <f>Main!C71</f>
        <v>1082287</v>
      </c>
      <c r="B70" s="259" t="str">
        <f>Main!D71</f>
        <v>Manalo, Edghelyn Stephanie Retrita</v>
      </c>
      <c r="C70" s="259" t="str">
        <f>Main!AH71</f>
        <v>Probationary</v>
      </c>
      <c r="D70" s="260">
        <f>Main!B71</f>
        <v>42044</v>
      </c>
      <c r="E70" s="260" t="str">
        <f>IF(Main!AI71&lt;1,"",Main!AI71)</f>
        <v>Jobstreet</v>
      </c>
      <c r="F70" s="260" t="str">
        <f>IF(Main!AJ71&lt;1,"",Main!AJ71)</f>
        <v/>
      </c>
      <c r="G70" s="260" t="str">
        <f>IF(Main!AK71&lt;1,"",Main!AK71)</f>
        <v/>
      </c>
      <c r="H70" s="259" t="str">
        <f>Main!Y71</f>
        <v>Recruiter- Consumer Sales</v>
      </c>
      <c r="I70" s="259" t="str">
        <f>Main!Z71</f>
        <v>Level 0</v>
      </c>
      <c r="J70" s="259">
        <f>IF(Main!A71&lt;1,"",Main!A71)</f>
        <v>183</v>
      </c>
      <c r="K70" s="260">
        <f>IF(Main!AN71&gt;0,Main!AN71,"")</f>
        <v>33183</v>
      </c>
      <c r="L70" s="258" t="str">
        <f>IF(Main!Q71&gt;0,Main!Q71,"")</f>
        <v>stephan1e@live.com</v>
      </c>
      <c r="M70" s="410">
        <f>VALUE(IF(Main!S71&gt;0,Main!S71,""))</f>
        <v>9176261735</v>
      </c>
      <c r="N70" s="261" t="str">
        <f>Main!T71</f>
        <v/>
      </c>
      <c r="O70" s="258" t="str">
        <f>IF(Main!AO71&gt;0,Main!AO71,"")</f>
        <v>31 M. Gonzaga St. Mandaluyong City</v>
      </c>
      <c r="P70" s="258" t="str">
        <f>IF(Main!AP71&gt;0,Main!AP71,"")</f>
        <v>31 M. Gonzaga St. Mandaluyong City</v>
      </c>
      <c r="Q70" s="258" t="str">
        <f>IF(Main!AR71&gt;0,Main!AR71,"")</f>
        <v>Single</v>
      </c>
      <c r="R70" s="259" t="str">
        <f>IF(Main!AQ71&gt;0,Main!AQ71,"")</f>
        <v>Female</v>
      </c>
      <c r="S70" s="259" t="str">
        <f>IF(Main!BD71&gt;0,Main!BD71,"")</f>
        <v>34-1183056-5</v>
      </c>
      <c r="T70" s="259" t="str">
        <f>IF(Main!AX71&gt;0,Main!AX71,"")</f>
        <v>411-117-177</v>
      </c>
      <c r="U70" s="259" t="str">
        <f>IF(Main!BH71&gt;0,Main!BH71,"")</f>
        <v>01-025255049-1</v>
      </c>
      <c r="V70" s="268" t="str">
        <f>IF(Main!BF71&gt;0,Main!BF71,"")</f>
        <v>1211-0186-0881</v>
      </c>
      <c r="W70" s="263">
        <f>IF(Main!BS71&gt;0,Main!BS71,"")</f>
        <v>42046</v>
      </c>
      <c r="X70" s="263">
        <f>IF(Main!BT71&gt;0,Main!BT71,"")</f>
        <v>42046</v>
      </c>
      <c r="Y70" s="263">
        <f>IF(Main!BU71&gt;0,Main!BU71,"")</f>
        <v>42046</v>
      </c>
      <c r="Z70" s="263">
        <f>IF(Main!AS71&gt;0,Main!AS71,"")</f>
        <v>42046</v>
      </c>
      <c r="AA70" s="263">
        <f>IF(Main!BJ71&gt;0,Main!BJ71,"")</f>
        <v>42046</v>
      </c>
      <c r="AB70" s="263">
        <f>IF(Main!BC71&gt;0,Main!BC71,"")</f>
        <v>42053</v>
      </c>
      <c r="AC70" s="263">
        <f>IF(Main!AW71&gt;0,Main!AW71,"")</f>
        <v>42047</v>
      </c>
      <c r="AD70" s="263">
        <f>IF(Main!BG71&gt;0,Main!BG71,"")</f>
        <v>42046</v>
      </c>
      <c r="AE70" s="263">
        <f>IF(Main!BE71&gt;0,Main!BE71,"")</f>
        <v>42059</v>
      </c>
      <c r="AF70" s="263">
        <f>IF(Main!BM71&gt;0,Main!BM71,"")</f>
        <v>42046</v>
      </c>
      <c r="AG70" s="263" t="str">
        <f>IF(Main!BN71&gt;0,Main!BN71,"")</f>
        <v/>
      </c>
      <c r="AH70" s="263">
        <f>IF(Main!BO71&gt;0,Main!BO71,"")</f>
        <v>42046</v>
      </c>
      <c r="AI70" s="263">
        <f>IF(Main!BR71&gt;0,Main!BR71,"")</f>
        <v>42046</v>
      </c>
      <c r="AJ70" s="263">
        <f>IF(Main!BQ71&gt;0,Main!BQ71,"")</f>
        <v>42046</v>
      </c>
      <c r="AK70" s="263">
        <f>IF(Main!AV71&gt;0,Main!AV71,"")</f>
        <v>42046</v>
      </c>
      <c r="AL70" s="263">
        <f>IF(Main!AU71&gt;0,Main!AU71,"")</f>
        <v>42046</v>
      </c>
      <c r="AM70" s="263">
        <f>IF(Main!AT71&gt;0,Main!AT71,"")</f>
        <v>42046</v>
      </c>
      <c r="AN70" s="259" t="str">
        <f>Main!BW71</f>
        <v xml:space="preserve">1905 2/12/2015, 2305 2/11/2015, MDR 2/11/2015, </v>
      </c>
    </row>
    <row r="71" spans="1:40" x14ac:dyDescent="0.25">
      <c r="A71" s="258">
        <f>Main!C72</f>
        <v>1082288</v>
      </c>
      <c r="B71" s="259" t="str">
        <f>Main!D72</f>
        <v>Mendoza, Joshua Allen Bernados</v>
      </c>
      <c r="C71" s="259" t="str">
        <f>Main!AH72</f>
        <v>Probationary</v>
      </c>
      <c r="D71" s="260">
        <f>Main!B72</f>
        <v>42044</v>
      </c>
      <c r="E71" s="260" t="str">
        <f>IF(Main!AI72&lt;1,"",Main!AI72)</f>
        <v>Jobstreet</v>
      </c>
      <c r="F71" s="260" t="str">
        <f>IF(Main!AJ72&lt;1,"",Main!AJ72)</f>
        <v/>
      </c>
      <c r="G71" s="260" t="str">
        <f>IF(Main!AK72&lt;1,"",Main!AK72)</f>
        <v/>
      </c>
      <c r="H71" s="259" t="str">
        <f>Main!Y72</f>
        <v>Recruiter- Consumer Sales</v>
      </c>
      <c r="I71" s="259" t="str">
        <f>Main!Z72</f>
        <v>Level 0</v>
      </c>
      <c r="J71" s="259">
        <f>IF(Main!A72&lt;1,"",Main!A72)</f>
        <v>183</v>
      </c>
      <c r="K71" s="260">
        <f>IF(Main!AN72&gt;0,Main!AN72,"")</f>
        <v>33825</v>
      </c>
      <c r="L71" s="258" t="str">
        <f>IF(Main!Q72&gt;0,Main!Q72,"")</f>
        <v>joshua_boogoom@yahoo.com</v>
      </c>
      <c r="M71" s="410">
        <f>VALUE(IF(Main!S72&gt;0,Main!S72,""))</f>
        <v>9276754960</v>
      </c>
      <c r="N71" s="261" t="str">
        <f>Main!T72</f>
        <v/>
      </c>
      <c r="O71" s="258" t="str">
        <f>IF(Main!AO72&gt;0,Main!AO72,"")</f>
        <v>2 Acacia Street, Project 3, Quezon City</v>
      </c>
      <c r="P71" s="258" t="str">
        <f>IF(Main!AP72&gt;0,Main!AP72,"")</f>
        <v>2 Acacia Street, Project 3, Quezon City</v>
      </c>
      <c r="Q71" s="258" t="str">
        <f>IF(Main!AR72&gt;0,Main!AR72,"")</f>
        <v>Single</v>
      </c>
      <c r="R71" s="259" t="str">
        <f>IF(Main!AQ72&gt;0,Main!AQ72,"")</f>
        <v>Male</v>
      </c>
      <c r="S71" s="259" t="str">
        <f>IF(Main!BD72&gt;0,Main!BD72,"")</f>
        <v>34-4113858-3</v>
      </c>
      <c r="T71" s="259" t="str">
        <f>IF(Main!AX72&gt;0,Main!AX72,"")</f>
        <v>315-779-011</v>
      </c>
      <c r="U71" s="259" t="str">
        <f>IF(Main!BH72&gt;0,Main!BH72,"")</f>
        <v>03-051121122-7</v>
      </c>
      <c r="V71" s="268" t="str">
        <f>IF(Main!BF72&gt;0,Main!BF72,"")</f>
        <v>1211-0066-0554</v>
      </c>
      <c r="W71" s="263">
        <f>IF(Main!BS72&gt;0,Main!BS72,"")</f>
        <v>42046</v>
      </c>
      <c r="X71" s="263">
        <f>IF(Main!BT72&gt;0,Main!BT72,"")</f>
        <v>42046</v>
      </c>
      <c r="Y71" s="263">
        <f>IF(Main!BU72&gt;0,Main!BU72,"")</f>
        <v>42046</v>
      </c>
      <c r="Z71" s="263">
        <f>IF(Main!AS72&gt;0,Main!AS72,"")</f>
        <v>42053</v>
      </c>
      <c r="AA71" s="263">
        <f>IF(Main!BJ72&gt;0,Main!BJ72,"")</f>
        <v>42048</v>
      </c>
      <c r="AB71" s="263">
        <f>IF(Main!BC72&gt;0,Main!BC72,"")</f>
        <v>42048</v>
      </c>
      <c r="AC71" s="263">
        <f>IF(Main!AW72&gt;0,Main!AW72,"")</f>
        <v>42053</v>
      </c>
      <c r="AD71" s="263">
        <f>IF(Main!BG72&gt;0,Main!BG72,"")</f>
        <v>42053</v>
      </c>
      <c r="AE71" s="263">
        <f>IF(Main!BE72&gt;0,Main!BE72,"")</f>
        <v>42053</v>
      </c>
      <c r="AF71" s="263">
        <f>IF(Main!BM72&gt;0,Main!BM72,"")</f>
        <v>42053</v>
      </c>
      <c r="AG71" s="263" t="str">
        <f>IF(Main!BN72&gt;0,Main!BN72,"")</f>
        <v/>
      </c>
      <c r="AH71" s="263" t="str">
        <f>IF(Main!BO72&gt;0,Main!BO72,"")</f>
        <v/>
      </c>
      <c r="AI71" s="263" t="str">
        <f>IF(Main!BR72&gt;0,Main!BR72,"")</f>
        <v/>
      </c>
      <c r="AJ71" s="263" t="str">
        <f>IF(Main!BQ72&gt;0,Main!BQ72,"")</f>
        <v/>
      </c>
      <c r="AK71" s="263">
        <f>IF(Main!AV72&gt;0,Main!AV72,"")</f>
        <v>42046</v>
      </c>
      <c r="AL71" s="263">
        <f>IF(Main!AU72&gt;0,Main!AU72,"")</f>
        <v>42053</v>
      </c>
      <c r="AM71" s="263">
        <f>IF(Main!AT72&gt;0,Main!AT72,"")</f>
        <v>42053</v>
      </c>
      <c r="AN71" s="259" t="str">
        <f>Main!BW72</f>
        <v xml:space="preserve">1905 2/18/2015, 2305 2/11/2015, </v>
      </c>
    </row>
    <row r="72" spans="1:40" x14ac:dyDescent="0.25">
      <c r="A72" s="258">
        <f>Main!C73</f>
        <v>1082289</v>
      </c>
      <c r="B72" s="259" t="str">
        <f>Main!D73</f>
        <v>Molina, Darlene Asis</v>
      </c>
      <c r="C72" s="259" t="str">
        <f>Main!AH73</f>
        <v>Probationary</v>
      </c>
      <c r="D72" s="260">
        <f>Main!B73</f>
        <v>42044</v>
      </c>
      <c r="E72" s="260" t="str">
        <f>IF(Main!AI73&lt;1,"",Main!AI73)</f>
        <v>Jobstreet</v>
      </c>
      <c r="F72" s="260" t="str">
        <f>IF(Main!AJ73&lt;1,"",Main!AJ73)</f>
        <v/>
      </c>
      <c r="G72" s="260" t="str">
        <f>IF(Main!AK73&lt;1,"",Main!AK73)</f>
        <v/>
      </c>
      <c r="H72" s="259" t="str">
        <f>Main!Y73</f>
        <v>Restaurant Specialist</v>
      </c>
      <c r="I72" s="259" t="str">
        <f>Main!Z73</f>
        <v>Level 2</v>
      </c>
      <c r="J72" s="259">
        <f>IF(Main!A73&lt;1,"",Main!A73)</f>
        <v>183</v>
      </c>
      <c r="K72" s="260">
        <f>IF(Main!AN73&gt;0,Main!AN73,"")</f>
        <v>31830</v>
      </c>
      <c r="L72" s="258" t="str">
        <f>IF(Main!Q73&gt;0,Main!Q73,"")</f>
        <v>enelradnilom888@gmail.com</v>
      </c>
      <c r="M72" s="410">
        <f>VALUE(IF(Main!S73&gt;0,Main!S73,""))</f>
        <v>9335192209</v>
      </c>
      <c r="N72" s="261" t="str">
        <f>Main!T73</f>
        <v/>
      </c>
      <c r="O72" s="258" t="str">
        <f>IF(Main!AO73&gt;0,Main!AO73,"")</f>
        <v>Lot 1 Block 8 Phase 1D San Lorenzo South Subdivision, Sta. Rosa, Laguna</v>
      </c>
      <c r="P72" s="258" t="str">
        <f>IF(Main!AP73&gt;0,Main!AP73,"")</f>
        <v>Lot 1 Block 8 Phase 1D San Lorenzo South Subdivision, Sta. Rosa, Laguna</v>
      </c>
      <c r="Q72" s="258" t="str">
        <f>IF(Main!AR73&gt;0,Main!AR73,"")</f>
        <v>Single</v>
      </c>
      <c r="R72" s="259" t="str">
        <f>IF(Main!AQ73&gt;0,Main!AQ73,"")</f>
        <v>Female</v>
      </c>
      <c r="S72" s="259" t="str">
        <f>IF(Main!BD73&gt;0,Main!BD73,"")</f>
        <v>34-0700360-7</v>
      </c>
      <c r="T72" s="259" t="str">
        <f>IF(Main!AX73&gt;0,Main!AX73,"")</f>
        <v>253-454-968</v>
      </c>
      <c r="U72" s="259" t="str">
        <f>IF(Main!BH73&gt;0,Main!BH73,"")</f>
        <v>02-050501655-7</v>
      </c>
      <c r="V72" s="268" t="str">
        <f>IF(Main!BF73&gt;0,Main!BF73,"")</f>
        <v>1210-5504-3063</v>
      </c>
      <c r="W72" s="263">
        <f>IF(Main!BS73&gt;0,Main!BS73,"")</f>
        <v>42045</v>
      </c>
      <c r="X72" s="263">
        <f>IF(Main!BT73&gt;0,Main!BT73,"")</f>
        <v>42045</v>
      </c>
      <c r="Y72" s="263">
        <f>IF(Main!BU73&gt;0,Main!BU73,"")</f>
        <v>42045</v>
      </c>
      <c r="Z72" s="263">
        <f>IF(Main!AS73&gt;0,Main!AS73,"")</f>
        <v>42045</v>
      </c>
      <c r="AA72" s="263">
        <f>IF(Main!BJ73&gt;0,Main!BJ73,"")</f>
        <v>42045</v>
      </c>
      <c r="AB72" s="263">
        <f>IF(Main!BC73&gt;0,Main!BC73,"")</f>
        <v>42045</v>
      </c>
      <c r="AC72" s="263">
        <f>IF(Main!AW73&gt;0,Main!AW73,"")</f>
        <v>42045</v>
      </c>
      <c r="AD72" s="263">
        <f>IF(Main!BG73&gt;0,Main!BG73,"")</f>
        <v>42045</v>
      </c>
      <c r="AE72" s="263">
        <f>IF(Main!BE73&gt;0,Main!BE73,"")</f>
        <v>42045</v>
      </c>
      <c r="AF72" s="263">
        <f>IF(Main!BM73&gt;0,Main!BM73,"")</f>
        <v>42045</v>
      </c>
      <c r="AG72" s="263" t="str">
        <f>IF(Main!BN73&gt;0,Main!BN73,"")</f>
        <v/>
      </c>
      <c r="AH72" s="263" t="str">
        <f>IF(Main!BO73&gt;0,Main!BO73,"")</f>
        <v/>
      </c>
      <c r="AI72" s="263">
        <f>IF(Main!BR73&gt;0,Main!BR73,"")</f>
        <v>42045</v>
      </c>
      <c r="AJ72" s="263">
        <f>IF(Main!BQ73&gt;0,Main!BQ73,"")</f>
        <v>42045</v>
      </c>
      <c r="AK72" s="263">
        <f>IF(Main!AV73&gt;0,Main!AV73,"")</f>
        <v>42046</v>
      </c>
      <c r="AL72" s="263">
        <f>IF(Main!AU73&gt;0,Main!AU73,"")</f>
        <v>42045</v>
      </c>
      <c r="AM72" s="263">
        <f>IF(Main!AT73&gt;0,Main!AT73,"")</f>
        <v>42045</v>
      </c>
      <c r="AN72" s="259" t="str">
        <f>Main!BW73</f>
        <v xml:space="preserve">2305 2/9/2015, MDR 2/10/2015, </v>
      </c>
    </row>
    <row r="73" spans="1:40" x14ac:dyDescent="0.25">
      <c r="A73" s="258">
        <f>Main!C74</f>
        <v>1082290</v>
      </c>
      <c r="B73" s="259" t="str">
        <f>Main!D74</f>
        <v>Nicolas, Alfie Discotido</v>
      </c>
      <c r="C73" s="259" t="str">
        <f>Main!AH74</f>
        <v>Probationary</v>
      </c>
      <c r="D73" s="260">
        <f>Main!B74</f>
        <v>42044</v>
      </c>
      <c r="E73" s="260" t="str">
        <f>IF(Main!AI74&lt;1,"",Main!AI74)</f>
        <v>Jobstreet</v>
      </c>
      <c r="F73" s="260" t="str">
        <f>IF(Main!AJ74&lt;1,"",Main!AJ74)</f>
        <v/>
      </c>
      <c r="G73" s="260" t="str">
        <f>IF(Main!AK74&lt;1,"",Main!AK74)</f>
        <v/>
      </c>
      <c r="H73" s="259" t="str">
        <f>Main!Y74</f>
        <v>Recruiter- Consumer Sales</v>
      </c>
      <c r="I73" s="259" t="str">
        <f>Main!Z74</f>
        <v>Level 0</v>
      </c>
      <c r="J73" s="259">
        <f>IF(Main!A74&lt;1,"",Main!A74)</f>
        <v>183</v>
      </c>
      <c r="K73" s="260">
        <f>IF(Main!AN74&gt;0,Main!AN74,"")</f>
        <v>31854</v>
      </c>
      <c r="L73" s="258" t="str">
        <f>IF(Main!Q74&gt;0,Main!Q74,"")</f>
        <v>nicolas.alfie@yahoo.com</v>
      </c>
      <c r="M73" s="410">
        <f>VALUE(IF(Main!S74&gt;0,Main!S74,""))</f>
        <v>9361600164</v>
      </c>
      <c r="N73" s="261" t="str">
        <f>Main!T74</f>
        <v/>
      </c>
      <c r="O73" s="258" t="str">
        <f>IF(Main!AO74&gt;0,Main!AO74,"")</f>
        <v>2164 P. Dandan St. Pasay City</v>
      </c>
      <c r="P73" s="258" t="str">
        <f>IF(Main!AP74&gt;0,Main!AP74,"")</f>
        <v>2164 P. Dandan St. Pasay City</v>
      </c>
      <c r="Q73" s="258" t="str">
        <f>IF(Main!AR74&gt;0,Main!AR74,"")</f>
        <v>Single</v>
      </c>
      <c r="R73" s="259" t="str">
        <f>IF(Main!AQ74&gt;0,Main!AQ74,"")</f>
        <v>Male</v>
      </c>
      <c r="S73" s="259" t="str">
        <f>IF(Main!BD74&gt;0,Main!BD74,"")</f>
        <v>33-9394823-2</v>
      </c>
      <c r="T73" s="259" t="str">
        <f>IF(Main!AX74&gt;0,Main!AX74,"")</f>
        <v>239-672-899</v>
      </c>
      <c r="U73" s="259" t="str">
        <f>IF(Main!BH74&gt;0,Main!BH74,"")</f>
        <v>02-025339048-5</v>
      </c>
      <c r="V73" s="268" t="str">
        <f>IF(Main!BF74&gt;0,Main!BF74,"")</f>
        <v>1010-0309-2271</v>
      </c>
      <c r="W73" s="263">
        <f>IF(Main!BS74&gt;0,Main!BS74,"")</f>
        <v>42046</v>
      </c>
      <c r="X73" s="263">
        <f>IF(Main!BT74&gt;0,Main!BT74,"")</f>
        <v>42046</v>
      </c>
      <c r="Y73" s="263">
        <f>IF(Main!BU74&gt;0,Main!BU74,"")</f>
        <v>42046</v>
      </c>
      <c r="Z73" s="263">
        <f>IF(Main!AS74&gt;0,Main!AS74,"")</f>
        <v>42048</v>
      </c>
      <c r="AA73" s="263">
        <f>IF(Main!BJ74&gt;0,Main!BJ74,"")</f>
        <v>42048</v>
      </c>
      <c r="AB73" s="263">
        <f>IF(Main!BC74&gt;0,Main!BC74,"")</f>
        <v>42048</v>
      </c>
      <c r="AC73" s="263">
        <f>IF(Main!AW74&gt;0,Main!AW74,"")</f>
        <v>42051</v>
      </c>
      <c r="AD73" s="263">
        <f>IF(Main!BG74&gt;0,Main!BG74,"")</f>
        <v>42048</v>
      </c>
      <c r="AE73" s="263">
        <f>IF(Main!BE74&gt;0,Main!BE74,"")</f>
        <v>42048</v>
      </c>
      <c r="AF73" s="263">
        <f>IF(Main!BM74&gt;0,Main!BM74,"")</f>
        <v>42061</v>
      </c>
      <c r="AG73" s="263" t="str">
        <f>IF(Main!BN74&gt;0,Main!BN74,"")</f>
        <v/>
      </c>
      <c r="AH73" s="263" t="str">
        <f>IF(Main!BO74&gt;0,Main!BO74,"")</f>
        <v/>
      </c>
      <c r="AI73" s="263">
        <f>IF(Main!BR74&gt;0,Main!BR74,"")</f>
        <v>42061</v>
      </c>
      <c r="AJ73" s="263">
        <f>IF(Main!BQ74&gt;0,Main!BQ74,"")</f>
        <v>42061</v>
      </c>
      <c r="AK73" s="263">
        <f>IF(Main!AV74&gt;0,Main!AV74,"")</f>
        <v>42046</v>
      </c>
      <c r="AL73" s="263">
        <f>IF(Main!AU74&gt;0,Main!AU74,"")</f>
        <v>42048</v>
      </c>
      <c r="AM73" s="263">
        <f>IF(Main!AT74&gt;0,Main!AT74,"")</f>
        <v>42048</v>
      </c>
      <c r="AN73" s="259" t="str">
        <f>Main!BW74</f>
        <v xml:space="preserve">1905 2/12/2015, 2305 2/11/2015, MDR 2/13/2015, </v>
      </c>
    </row>
    <row r="74" spans="1:40" x14ac:dyDescent="0.25">
      <c r="A74" s="258">
        <f>Main!C75</f>
        <v>1082291</v>
      </c>
      <c r="B74" s="259" t="str">
        <f>Main!D75</f>
        <v>Nitura, Kristine Bernadette Palma</v>
      </c>
      <c r="C74" s="259" t="str">
        <f>Main!AH75</f>
        <v>Probationary</v>
      </c>
      <c r="D74" s="260">
        <f>Main!B75</f>
        <v>42044</v>
      </c>
      <c r="E74" s="260" t="str">
        <f>IF(Main!AI75&lt;1,"",Main!AI75)</f>
        <v>Jobstreet</v>
      </c>
      <c r="F74" s="260" t="str">
        <f>IF(Main!AJ75&lt;1,"",Main!AJ75)</f>
        <v/>
      </c>
      <c r="G74" s="260" t="str">
        <f>IF(Main!AK75&lt;1,"",Main!AK75)</f>
        <v/>
      </c>
      <c r="H74" s="259" t="str">
        <f>Main!Y75</f>
        <v>Recruiter- Consumer Sales</v>
      </c>
      <c r="I74" s="259" t="str">
        <f>Main!Z75</f>
        <v>Level 0</v>
      </c>
      <c r="J74" s="259">
        <f>IF(Main!A75&lt;1,"",Main!A75)</f>
        <v>183</v>
      </c>
      <c r="K74" s="260">
        <f>IF(Main!AN75&gt;0,Main!AN75,"")</f>
        <v>33152</v>
      </c>
      <c r="L74" s="258" t="str">
        <f>IF(Main!Q75&gt;0,Main!Q75,"")</f>
        <v>kristinepalmanitura@yahoo.com</v>
      </c>
      <c r="M74" s="410">
        <f>VALUE(IF(Main!S75&gt;0,Main!S75,""))</f>
        <v>9262790662</v>
      </c>
      <c r="N74" s="261" t="str">
        <f>Main!T75</f>
        <v>9066840586</v>
      </c>
      <c r="O74" s="258" t="str">
        <f>IF(Main!AO75&gt;0,Main!AO75,"")</f>
        <v>29 Kaligtasan St. Don Antonio Hts. Diliman Quezon City</v>
      </c>
      <c r="P74" s="258" t="str">
        <f>IF(Main!AP75&gt;0,Main!AP75,"")</f>
        <v>29 Kaligtasan St. Don Antonio Hts. Diliman Quezon City</v>
      </c>
      <c r="Q74" s="258" t="str">
        <f>IF(Main!AR75&gt;0,Main!AR75,"")</f>
        <v>Married</v>
      </c>
      <c r="R74" s="259" t="str">
        <f>IF(Main!AQ75&gt;0,Main!AQ75,"")</f>
        <v>Female</v>
      </c>
      <c r="S74" s="259" t="str">
        <f>IF(Main!BD75&gt;0,Main!BD75,"")</f>
        <v>34-1153237-1</v>
      </c>
      <c r="T74" s="259" t="str">
        <f>IF(Main!AX75&gt;0,Main!AX75,"")</f>
        <v>264-937-312</v>
      </c>
      <c r="U74" s="259" t="str">
        <f>IF(Main!BH75&gt;0,Main!BH75,"")</f>
        <v>03-050485100-8</v>
      </c>
      <c r="V74" s="268" t="str">
        <f>IF(Main!BF75&gt;0,Main!BF75,"")</f>
        <v>1211-3717-4809</v>
      </c>
      <c r="W74" s="263">
        <f>IF(Main!BS75&gt;0,Main!BS75,"")</f>
        <v>42046</v>
      </c>
      <c r="X74" s="263">
        <f>IF(Main!BT75&gt;0,Main!BT75,"")</f>
        <v>42046</v>
      </c>
      <c r="Y74" s="263">
        <f>IF(Main!BU75&gt;0,Main!BU75,"")</f>
        <v>42046</v>
      </c>
      <c r="Z74" s="263">
        <f>IF(Main!AS75&gt;0,Main!AS75,"")</f>
        <v>42045</v>
      </c>
      <c r="AA74" s="263">
        <f>IF(Main!BJ75&gt;0,Main!BJ75,"")</f>
        <v>42045</v>
      </c>
      <c r="AB74" s="263">
        <f>IF(Main!BC75&gt;0,Main!BC75,"")</f>
        <v>42045</v>
      </c>
      <c r="AC74" s="263">
        <f>IF(Main!AW75&gt;0,Main!AW75,"")</f>
        <v>42045</v>
      </c>
      <c r="AD74" s="263">
        <f>IF(Main!BG75&gt;0,Main!BG75,"")</f>
        <v>42045</v>
      </c>
      <c r="AE74" s="263">
        <f>IF(Main!BE75&gt;0,Main!BE75,"")</f>
        <v>42045</v>
      </c>
      <c r="AF74" s="263">
        <f>IF(Main!BM75&gt;0,Main!BM75,"")</f>
        <v>42045</v>
      </c>
      <c r="AG74" s="263">
        <f>IF(Main!BN75&gt;0,Main!BN75,"")</f>
        <v>42045</v>
      </c>
      <c r="AH74" s="263">
        <f>IF(Main!BO75&gt;0,Main!BO75,"")</f>
        <v>42045</v>
      </c>
      <c r="AI74" s="263" t="str">
        <f>IF(Main!BR75&gt;0,Main!BR75,"")</f>
        <v/>
      </c>
      <c r="AJ74" s="263">
        <f>IF(Main!BQ75&gt;0,Main!BQ75,"")</f>
        <v>42045</v>
      </c>
      <c r="AK74" s="263">
        <f>IF(Main!AV75&gt;0,Main!AV75,"")</f>
        <v>42046</v>
      </c>
      <c r="AL74" s="263">
        <f>IF(Main!AU75&gt;0,Main!AU75,"")</f>
        <v>42045</v>
      </c>
      <c r="AM74" s="263">
        <f>IF(Main!AT75&gt;0,Main!AT75,"")</f>
        <v>42045</v>
      </c>
      <c r="AN74" s="259" t="str">
        <f>Main!BW75</f>
        <v xml:space="preserve">1905 2/10/2015, 2305 2/9/2015, MDR 2/10/2015, </v>
      </c>
    </row>
    <row r="75" spans="1:40" x14ac:dyDescent="0.25">
      <c r="A75" s="258">
        <f>Main!C76</f>
        <v>1082292</v>
      </c>
      <c r="B75" s="259" t="str">
        <f>Main!D76</f>
        <v>Pastrana, Quennie May Valderama</v>
      </c>
      <c r="C75" s="259" t="str">
        <f>Main!AH76</f>
        <v>Probationary</v>
      </c>
      <c r="D75" s="260">
        <f>Main!B76</f>
        <v>42044</v>
      </c>
      <c r="E75" s="260" t="str">
        <f>IF(Main!AI76&lt;1,"",Main!AI76)</f>
        <v>Jobstreet</v>
      </c>
      <c r="F75" s="260" t="str">
        <f>IF(Main!AJ76&lt;1,"",Main!AJ76)</f>
        <v/>
      </c>
      <c r="G75" s="260" t="str">
        <f>IF(Main!AK76&lt;1,"",Main!AK76)</f>
        <v/>
      </c>
      <c r="H75" s="259" t="str">
        <f>Main!Y76</f>
        <v>Recruiter- Consumer Sales</v>
      </c>
      <c r="I75" s="259" t="str">
        <f>Main!Z76</f>
        <v>Level 0</v>
      </c>
      <c r="J75" s="259">
        <f>IF(Main!A76&lt;1,"",Main!A76)</f>
        <v>183</v>
      </c>
      <c r="K75" s="260">
        <f>IF(Main!AN76&gt;0,Main!AN76,"")</f>
        <v>34203</v>
      </c>
      <c r="L75" s="258" t="str">
        <f>IF(Main!Q76&gt;0,Main!Q76,"")</f>
        <v>kwiniemay@gmail.com</v>
      </c>
      <c r="M75" s="410">
        <f>VALUE(IF(Main!S76&gt;0,Main!S76,""))</f>
        <v>9258560707</v>
      </c>
      <c r="N75" s="261" t="str">
        <f>Main!T76</f>
        <v/>
      </c>
      <c r="O75" s="258" t="str">
        <f>IF(Main!AO76&gt;0,Main!AO76,"")</f>
        <v>1990 Pedro Gil St., Sta. Ana, Manila</v>
      </c>
      <c r="P75" s="258" t="str">
        <f>IF(Main!AP76&gt;0,Main!AP76,"")</f>
        <v/>
      </c>
      <c r="Q75" s="258" t="str">
        <f>IF(Main!AR76&gt;0,Main!AR76,"")</f>
        <v/>
      </c>
      <c r="R75" s="259" t="str">
        <f>IF(Main!AQ76&gt;0,Main!AQ76,"")</f>
        <v/>
      </c>
      <c r="S75" s="259" t="str">
        <f>IF(Main!BD76&gt;0,Main!BD76,"")</f>
        <v>34-2852886-0</v>
      </c>
      <c r="T75" s="259" t="str">
        <f>IF(Main!AX76&gt;0,Main!AX76,"")</f>
        <v>412-693-215</v>
      </c>
      <c r="U75" s="259" t="str">
        <f>IF(Main!BH76&gt;0,Main!BH76,"")</f>
        <v>01-051820194-3</v>
      </c>
      <c r="V75" s="268" t="str">
        <f>IF(Main!BF76&gt;0,Main!BF76,"")</f>
        <v>1210-8815-3607</v>
      </c>
      <c r="W75" s="263">
        <f>IF(Main!BS76&gt;0,Main!BS76,"")</f>
        <v>42046</v>
      </c>
      <c r="X75" s="263">
        <f>IF(Main!BT76&gt;0,Main!BT76,"")</f>
        <v>42046</v>
      </c>
      <c r="Y75" s="263">
        <f>IF(Main!BU76&gt;0,Main!BU76,"")</f>
        <v>42046</v>
      </c>
      <c r="Z75" s="263" t="str">
        <f>IF(Main!AS76&gt;0,Main!AS76,"")</f>
        <v/>
      </c>
      <c r="AA75" s="263">
        <f>IF(Main!BJ76&gt;0,Main!BJ76,"")</f>
        <v>42046</v>
      </c>
      <c r="AB75" s="263">
        <f>IF(Main!BC76&gt;0,Main!BC76,"")</f>
        <v>42046</v>
      </c>
      <c r="AC75" s="263">
        <f>IF(Main!AW76&gt;0,Main!AW76,"")</f>
        <v>42046</v>
      </c>
      <c r="AD75" s="263">
        <f>IF(Main!BG76&gt;0,Main!BG76,"")</f>
        <v>42046</v>
      </c>
      <c r="AE75" s="263">
        <f>IF(Main!BE76&gt;0,Main!BE76,"")</f>
        <v>42046</v>
      </c>
      <c r="AF75" s="263">
        <f>IF(Main!BM76&gt;0,Main!BM76,"")</f>
        <v>42046</v>
      </c>
      <c r="AG75" s="263" t="str">
        <f>IF(Main!BN76&gt;0,Main!BN76,"")</f>
        <v/>
      </c>
      <c r="AH75" s="263" t="str">
        <f>IF(Main!BO76&gt;0,Main!BO76,"")</f>
        <v/>
      </c>
      <c r="AI75" s="263">
        <f>IF(Main!BR76&gt;0,Main!BR76,"")</f>
        <v>42046</v>
      </c>
      <c r="AJ75" s="263">
        <f>IF(Main!BQ76&gt;0,Main!BQ76,"")</f>
        <v>42046</v>
      </c>
      <c r="AK75" s="263">
        <f>IF(Main!AV76&gt;0,Main!AV76,"")</f>
        <v>42046</v>
      </c>
      <c r="AL75" s="263" t="str">
        <f>IF(Main!AU76&gt;0,Main!AU76,"")</f>
        <v/>
      </c>
      <c r="AM75" s="263" t="str">
        <f>IF(Main!AT76&gt;0,Main!AT76,"")</f>
        <v/>
      </c>
      <c r="AN75" s="259" t="str">
        <f>Main!BW76</f>
        <v xml:space="preserve">2305 (for processing) 2/9/2015, </v>
      </c>
    </row>
    <row r="76" spans="1:40" x14ac:dyDescent="0.25">
      <c r="A76" s="258">
        <f>Main!C77</f>
        <v>1082293</v>
      </c>
      <c r="B76" s="259" t="str">
        <f>Main!D77</f>
        <v>Ponce, Valerie Joyce Peralta</v>
      </c>
      <c r="C76" s="259" t="str">
        <f>Main!AH77</f>
        <v>Probationary</v>
      </c>
      <c r="D76" s="260">
        <f>Main!B77</f>
        <v>42044</v>
      </c>
      <c r="E76" s="260" t="str">
        <f>IF(Main!AI77&lt;1,"",Main!AI77)</f>
        <v>Jobstreet</v>
      </c>
      <c r="F76" s="260" t="str">
        <f>IF(Main!AJ77&lt;1,"",Main!AJ77)</f>
        <v/>
      </c>
      <c r="G76" s="260" t="str">
        <f>IF(Main!AK77&lt;1,"",Main!AK77)</f>
        <v/>
      </c>
      <c r="H76" s="259" t="str">
        <f>Main!Y77</f>
        <v>Recruiter- Consumer Sales</v>
      </c>
      <c r="I76" s="259" t="str">
        <f>Main!Z77</f>
        <v>Level 0</v>
      </c>
      <c r="J76" s="259">
        <f>IF(Main!A77&lt;1,"",Main!A77)</f>
        <v>183</v>
      </c>
      <c r="K76" s="260">
        <f>IF(Main!AN77&gt;0,Main!AN77,"")</f>
        <v>33646</v>
      </c>
      <c r="L76" s="258" t="str">
        <f>IF(Main!Q77&gt;0,Main!Q77,"")</f>
        <v>vponce42@yahoo.com</v>
      </c>
      <c r="M76" s="410">
        <f>VALUE(IF(Main!S77&gt;0,Main!S77,""))</f>
        <v>9051530114</v>
      </c>
      <c r="N76" s="261" t="str">
        <f>Main!T77</f>
        <v/>
      </c>
      <c r="O76" s="258" t="str">
        <f>IF(Main!AO77&gt;0,Main!AO77,"")</f>
        <v>1746 Rd Lot. 17 Paco Manila</v>
      </c>
      <c r="P76" s="258" t="str">
        <f>IF(Main!AP77&gt;0,Main!AP77,"")</f>
        <v>#55 Mabini St. Sabang Baliwag Bulacan</v>
      </c>
      <c r="Q76" s="258" t="str">
        <f>IF(Main!AR77&gt;0,Main!AR77,"")</f>
        <v>Single</v>
      </c>
      <c r="R76" s="259" t="str">
        <f>IF(Main!AQ77&gt;0,Main!AQ77,"")</f>
        <v>Female</v>
      </c>
      <c r="S76" s="259" t="str">
        <f>IF(Main!BD77&gt;0,Main!BD77,"")</f>
        <v>34-2485387-2</v>
      </c>
      <c r="T76" s="259" t="str">
        <f>IF(Main!AX77&gt;0,Main!AX77,"")</f>
        <v>407-464-405</v>
      </c>
      <c r="U76" s="259" t="str">
        <f>IF(Main!BH77&gt;0,Main!BH77,"")</f>
        <v>02-050772395-1</v>
      </c>
      <c r="V76" s="268" t="str">
        <f>IF(Main!BF77&gt;0,Main!BF77,"")</f>
        <v>1210-9651-4123</v>
      </c>
      <c r="W76" s="263">
        <f>IF(Main!BS77&gt;0,Main!BS77,"")</f>
        <v>42045</v>
      </c>
      <c r="X76" s="263">
        <f>IF(Main!BT77&gt;0,Main!BT77,"")</f>
        <v>42045</v>
      </c>
      <c r="Y76" s="263">
        <f>IF(Main!BU77&gt;0,Main!BU77,"")</f>
        <v>42045</v>
      </c>
      <c r="Z76" s="263">
        <f>IF(Main!AS77&gt;0,Main!AS77,"")</f>
        <v>42046</v>
      </c>
      <c r="AA76" s="263">
        <f>IF(Main!BJ77&gt;0,Main!BJ77,"")</f>
        <v>42053</v>
      </c>
      <c r="AB76" s="263">
        <f>IF(Main!BC77&gt;0,Main!BC77,"")</f>
        <v>42046</v>
      </c>
      <c r="AC76" s="263">
        <f>IF(Main!AW77&gt;0,Main!AW77,"")</f>
        <v>42046</v>
      </c>
      <c r="AD76" s="263">
        <f>IF(Main!BG77&gt;0,Main!BG77,"")</f>
        <v>42046</v>
      </c>
      <c r="AE76" s="263">
        <f>IF(Main!BE77&gt;0,Main!BE77,"")</f>
        <v>42060</v>
      </c>
      <c r="AF76" s="263">
        <f>IF(Main!BM77&gt;0,Main!BM77,"")</f>
        <v>42046</v>
      </c>
      <c r="AG76" s="263" t="str">
        <f>IF(Main!BN77&gt;0,Main!BN77,"")</f>
        <v/>
      </c>
      <c r="AH76" s="263" t="str">
        <f>IF(Main!BO77&gt;0,Main!BO77,"")</f>
        <v/>
      </c>
      <c r="AI76" s="263" t="str">
        <f>IF(Main!BR77&gt;0,Main!BR77,"")</f>
        <v/>
      </c>
      <c r="AJ76" s="263">
        <f>IF(Main!BQ77&gt;0,Main!BQ77,"")</f>
        <v>42046</v>
      </c>
      <c r="AK76" s="263">
        <f>IF(Main!AV77&gt;0,Main!AV77,"")</f>
        <v>42046</v>
      </c>
      <c r="AL76" s="263">
        <f>IF(Main!AU77&gt;0,Main!AU77,"")</f>
        <v>42046</v>
      </c>
      <c r="AM76" s="263">
        <f>IF(Main!AT77&gt;0,Main!AT77,"")</f>
        <v>42062</v>
      </c>
      <c r="AN76" s="259" t="str">
        <f>Main!BW77</f>
        <v xml:space="preserve">2305 2/9/2015, MDR 2/18/2015, </v>
      </c>
    </row>
    <row r="77" spans="1:40" x14ac:dyDescent="0.25">
      <c r="A77" s="258">
        <f>Main!C78</f>
        <v>1082294</v>
      </c>
      <c r="B77" s="259" t="str">
        <f>Main!D78</f>
        <v>Sadaya, Francis John Dela Cruz</v>
      </c>
      <c r="C77" s="259" t="str">
        <f>Main!AH78</f>
        <v>Probationary</v>
      </c>
      <c r="D77" s="260">
        <f>Main!B78</f>
        <v>42044</v>
      </c>
      <c r="E77" s="260" t="str">
        <f>IF(Main!AI78&lt;1,"",Main!AI78)</f>
        <v>Jobstreet</v>
      </c>
      <c r="F77" s="260" t="str">
        <f>IF(Main!AJ78&lt;1,"",Main!AJ78)</f>
        <v/>
      </c>
      <c r="G77" s="260" t="str">
        <f>IF(Main!AK78&lt;1,"",Main!AK78)</f>
        <v/>
      </c>
      <c r="H77" s="259" t="str">
        <f>Main!Y78</f>
        <v>Recruiter- Consumer Sales</v>
      </c>
      <c r="I77" s="259" t="str">
        <f>Main!Z78</f>
        <v>Level 0</v>
      </c>
      <c r="J77" s="259">
        <f>IF(Main!A78&lt;1,"",Main!A78)</f>
        <v>183</v>
      </c>
      <c r="K77" s="260">
        <f>IF(Main!AN78&gt;0,Main!AN78,"")</f>
        <v>33591</v>
      </c>
      <c r="L77" s="258" t="str">
        <f>IF(Main!Q78&gt;0,Main!Q78,"")</f>
        <v>francissadaya@gmail.com</v>
      </c>
      <c r="M77" s="410">
        <f>VALUE(IF(Main!S78&gt;0,Main!S78,""))</f>
        <v>9265420027</v>
      </c>
      <c r="N77" s="261" t="str">
        <f>Main!T78</f>
        <v/>
      </c>
      <c r="O77" s="258" t="str">
        <f>IF(Main!AO78&gt;0,Main!AO78,"")</f>
        <v>823-B coronado St., Hulo, Mandaluyong City</v>
      </c>
      <c r="P77" s="258" t="str">
        <f>IF(Main!AP78&gt;0,Main!AP78,"")</f>
        <v>823-B coronado St., Hulo, Mandaluyong City</v>
      </c>
      <c r="Q77" s="258" t="str">
        <f>IF(Main!AR78&gt;0,Main!AR78,"")</f>
        <v>Single</v>
      </c>
      <c r="R77" s="259" t="str">
        <f>IF(Main!AQ78&gt;0,Main!AQ78,"")</f>
        <v>Male</v>
      </c>
      <c r="S77" s="259" t="str">
        <f>IF(Main!BD78&gt;0,Main!BD78,"")</f>
        <v>34-3467475-3</v>
      </c>
      <c r="T77" s="259" t="str">
        <f>IF(Main!AX78&gt;0,Main!AX78,"")</f>
        <v>280-352-959</v>
      </c>
      <c r="U77" s="259" t="str">
        <f>IF(Main!BH78&gt;0,Main!BH78,"")</f>
        <v>02-025682568-7</v>
      </c>
      <c r="V77" s="268" t="str">
        <f>IF(Main!BF78&gt;0,Main!BF78,"")</f>
        <v>1210-6242-7546</v>
      </c>
      <c r="W77" s="263">
        <f>IF(Main!BS78&gt;0,Main!BS78,"")</f>
        <v>42046</v>
      </c>
      <c r="X77" s="263">
        <f>IF(Main!BT78&gt;0,Main!BT78,"")</f>
        <v>42046</v>
      </c>
      <c r="Y77" s="263">
        <f>IF(Main!BU78&gt;0,Main!BU78,"")</f>
        <v>42046</v>
      </c>
      <c r="Z77" s="263">
        <f>IF(Main!AS78&gt;0,Main!AS78,"")</f>
        <v>42059</v>
      </c>
      <c r="AA77" s="263">
        <f>IF(Main!BJ78&gt;0,Main!BJ78,"")</f>
        <v>42076</v>
      </c>
      <c r="AB77" s="263">
        <f>IF(Main!BC78&gt;0,Main!BC78,"")</f>
        <v>42061</v>
      </c>
      <c r="AC77" s="263">
        <f>IF(Main!AW78&gt;0,Main!AW78,"")</f>
        <v>42062</v>
      </c>
      <c r="AD77" s="263">
        <f>IF(Main!BG78&gt;0,Main!BG78,"")</f>
        <v>42059</v>
      </c>
      <c r="AE77" s="263">
        <f>IF(Main!BE78&gt;0,Main!BE78,"")</f>
        <v>42058</v>
      </c>
      <c r="AF77" s="263">
        <f>IF(Main!BM78&gt;0,Main!BM78,"")</f>
        <v>42059</v>
      </c>
      <c r="AG77" s="263" t="str">
        <f>IF(Main!BN78&gt;0,Main!BN78,"")</f>
        <v/>
      </c>
      <c r="AH77" s="263" t="str">
        <f>IF(Main!BO78&gt;0,Main!BO78,"")</f>
        <v/>
      </c>
      <c r="AI77" s="263" t="str">
        <f>IF(Main!BR78&gt;0,Main!BR78,"")</f>
        <v/>
      </c>
      <c r="AJ77" s="263" t="str">
        <f>IF(Main!BQ78&gt;0,Main!BQ78,"")</f>
        <v/>
      </c>
      <c r="AK77" s="263">
        <f>IF(Main!AV78&gt;0,Main!AV78,"")</f>
        <v>42046</v>
      </c>
      <c r="AL77" s="263">
        <f>IF(Main!AU78&gt;0,Main!AU78,"")</f>
        <v>42054</v>
      </c>
      <c r="AM77" s="263">
        <f>IF(Main!AT78&gt;0,Main!AT78,"")</f>
        <v>42054</v>
      </c>
      <c r="AN77" s="259" t="str">
        <f>Main!BW78</f>
        <v xml:space="preserve">2305 2/11/2015, MDR 2/24/2015, NBI receipt 2/27/2015, </v>
      </c>
    </row>
    <row r="78" spans="1:40" x14ac:dyDescent="0.25">
      <c r="A78" s="258">
        <f>Main!C79</f>
        <v>1082295</v>
      </c>
      <c r="B78" s="259" t="str">
        <f>Main!D79</f>
        <v>Pates, Manuel Pattung</v>
      </c>
      <c r="C78" s="259" t="str">
        <f>Main!AH79</f>
        <v>Probationary</v>
      </c>
      <c r="D78" s="260">
        <f>Main!B79</f>
        <v>42044</v>
      </c>
      <c r="E78" s="260" t="str">
        <f>IF(Main!AI79&lt;1,"",Main!AI79)</f>
        <v>Jobstreet</v>
      </c>
      <c r="F78" s="260" t="str">
        <f>IF(Main!AJ79&lt;1,"",Main!AJ79)</f>
        <v/>
      </c>
      <c r="G78" s="260" t="str">
        <f>IF(Main!AK79&lt;1,"",Main!AK79)</f>
        <v/>
      </c>
      <c r="H78" s="259" t="str">
        <f>Main!Y79</f>
        <v>Recruiter- Consumer Sales</v>
      </c>
      <c r="I78" s="259" t="str">
        <f>Main!Z79</f>
        <v>Level 0</v>
      </c>
      <c r="J78" s="259">
        <f>IF(Main!A79&lt;1,"",Main!A79)</f>
        <v>183</v>
      </c>
      <c r="K78" s="260">
        <f>IF(Main!AN79&gt;0,Main!AN79,"")</f>
        <v>32793</v>
      </c>
      <c r="L78" s="258" t="str">
        <f>IF(Main!Q79&gt;0,Main!Q79,"")</f>
        <v>libra_1271@yahoo.com</v>
      </c>
      <c r="M78" s="410">
        <f>VALUE(IF(Main!S79&gt;0,Main!S79,""))</f>
        <v>9266235061</v>
      </c>
      <c r="N78" s="261" t="str">
        <f>Main!T79</f>
        <v/>
      </c>
      <c r="O78" s="258" t="str">
        <f>IF(Main!AO79&gt;0,Main!AO79,"")</f>
        <v>#79 Intan St. Brgy. 155 Bagong Barrio Caloocan City</v>
      </c>
      <c r="P78" s="258" t="str">
        <f>IF(Main!AP79&gt;0,Main!AP79,"")</f>
        <v>#79 Intan St. Brgy. 155 Bagong Barrio Caloocan City</v>
      </c>
      <c r="Q78" s="258" t="str">
        <f>IF(Main!AR79&gt;0,Main!AR79,"")</f>
        <v>Single</v>
      </c>
      <c r="R78" s="259" t="str">
        <f>IF(Main!AQ79&gt;0,Main!AQ79,"")</f>
        <v>Male</v>
      </c>
      <c r="S78" s="259" t="str">
        <f>IF(Main!BD79&gt;0,Main!BD79,"")</f>
        <v>34-2236630-3</v>
      </c>
      <c r="T78" s="259" t="str">
        <f>IF(Main!AX79&gt;0,Main!AX79,"")</f>
        <v>500-072-627</v>
      </c>
      <c r="U78" s="259" t="str">
        <f>IF(Main!BH79&gt;0,Main!BH79,"")</f>
        <v>03-050851075-2</v>
      </c>
      <c r="V78" s="268" t="str">
        <f>IF(Main!BF79&gt;0,Main!BF79,"")</f>
        <v>1211-1401-0222</v>
      </c>
      <c r="W78" s="263">
        <f>IF(Main!BS79&gt;0,Main!BS79,"")</f>
        <v>42045</v>
      </c>
      <c r="X78" s="263">
        <f>IF(Main!BT79&gt;0,Main!BT79,"")</f>
        <v>42045</v>
      </c>
      <c r="Y78" s="263">
        <f>IF(Main!BU79&gt;0,Main!BU79,"")</f>
        <v>42045</v>
      </c>
      <c r="Z78" s="263">
        <f>IF(Main!AS79&gt;0,Main!AS79,"")</f>
        <v>42046</v>
      </c>
      <c r="AA78" s="263">
        <f>IF(Main!BJ79&gt;0,Main!BJ79,"")</f>
        <v>42046</v>
      </c>
      <c r="AB78" s="263">
        <f>IF(Main!BC79&gt;0,Main!BC79,"")</f>
        <v>42046</v>
      </c>
      <c r="AC78" s="263">
        <f>IF(Main!AW79&gt;0,Main!AW79,"")</f>
        <v>42067</v>
      </c>
      <c r="AD78" s="263">
        <f>IF(Main!BG79&gt;0,Main!BG79,"")</f>
        <v>42046</v>
      </c>
      <c r="AE78" s="263">
        <f>IF(Main!BE79&gt;0,Main!BE79,"")</f>
        <v>42048</v>
      </c>
      <c r="AF78" s="263">
        <f>IF(Main!BM79&gt;0,Main!BM79,"")</f>
        <v>42046</v>
      </c>
      <c r="AG78" s="263" t="str">
        <f>IF(Main!BN79&gt;0,Main!BN79,"")</f>
        <v/>
      </c>
      <c r="AH78" s="263" t="str">
        <f>IF(Main!BO79&gt;0,Main!BO79,"")</f>
        <v/>
      </c>
      <c r="AI78" s="263">
        <f>IF(Main!BR79&gt;0,Main!BR79,"")</f>
        <v>42046</v>
      </c>
      <c r="AJ78" s="263">
        <f>IF(Main!BQ79&gt;0,Main!BQ79,"")</f>
        <v>42046</v>
      </c>
      <c r="AK78" s="263">
        <f>IF(Main!AV79&gt;0,Main!AV79,"")</f>
        <v>42046</v>
      </c>
      <c r="AL78" s="263">
        <f>IF(Main!AU79&gt;0,Main!AU79,"")</f>
        <v>42046</v>
      </c>
      <c r="AM78" s="263">
        <f>IF(Main!AT79&gt;0,Main!AT79,"")</f>
        <v>42046</v>
      </c>
      <c r="AN78" s="259" t="str">
        <f>Main!BW79</f>
        <v xml:space="preserve">MDR 2/13/2015, </v>
      </c>
    </row>
    <row r="79" spans="1:40" x14ac:dyDescent="0.25">
      <c r="A79" s="258">
        <f>Main!C80</f>
        <v>1082296</v>
      </c>
      <c r="B79" s="259" t="str">
        <f>Main!D80</f>
        <v>Tuliao, Jerome Nicko Merilles</v>
      </c>
      <c r="C79" s="259" t="str">
        <f>Main!AH80</f>
        <v>Probationary</v>
      </c>
      <c r="D79" s="260">
        <f>Main!B80</f>
        <v>42044</v>
      </c>
      <c r="E79" s="260" t="str">
        <f>IF(Main!AI80&lt;1,"",Main!AI80)</f>
        <v>NS Endorsement</v>
      </c>
      <c r="F79" s="260" t="str">
        <f>IF(Main!AJ80&lt;1,"",Main!AJ80)</f>
        <v/>
      </c>
      <c r="G79" s="260" t="str">
        <f>IF(Main!AK80&lt;1,"",Main!AK80)</f>
        <v/>
      </c>
      <c r="H79" s="259" t="str">
        <f>Main!Y80</f>
        <v>Internet Researcher</v>
      </c>
      <c r="I79" s="259" t="str">
        <f>Main!Z80</f>
        <v>Level 1</v>
      </c>
      <c r="J79" s="259">
        <f>IF(Main!A80&lt;1,"",Main!A80)</f>
        <v>183</v>
      </c>
      <c r="K79" s="260">
        <f>IF(Main!AN80&gt;0,Main!AN80,"")</f>
        <v>33118</v>
      </c>
      <c r="L79" s="258" t="str">
        <f>IF(Main!Q80&gt;0,Main!Q80,"")</f>
        <v>jrmt0290@gmail.com</v>
      </c>
      <c r="M79" s="410">
        <f>VALUE(IF(Main!S80&gt;0,Main!S80,""))</f>
        <v>9269413002</v>
      </c>
      <c r="N79" s="261" t="str">
        <f>Main!T80</f>
        <v/>
      </c>
      <c r="O79" s="258" t="str">
        <f>IF(Main!AO80&gt;0,Main!AO80,"")</f>
        <v>Unit 6 Purok 7 Lower Nawasa Comm. Quezon City</v>
      </c>
      <c r="P79" s="258" t="str">
        <f>IF(Main!AP80&gt;0,Main!AP80,"")</f>
        <v>Unit 6 Purok 7 Lower Nawasa Comm. Quezon City</v>
      </c>
      <c r="Q79" s="258" t="str">
        <f>IF(Main!AR80&gt;0,Main!AR80,"")</f>
        <v>Single</v>
      </c>
      <c r="R79" s="259" t="str">
        <f>IF(Main!AQ80&gt;0,Main!AQ80,"")</f>
        <v>Male</v>
      </c>
      <c r="S79" s="259" t="str">
        <f>IF(Main!BD80&gt;0,Main!BD80,"")</f>
        <v>34-1751157-4</v>
      </c>
      <c r="T79" s="259" t="str">
        <f>IF(Main!AX80&gt;0,Main!AX80,"")</f>
        <v>288-923-334</v>
      </c>
      <c r="U79" s="259" t="str">
        <f>IF(Main!BH80&gt;0,Main!BH80,"")</f>
        <v>03050782865-1</v>
      </c>
      <c r="V79" s="268" t="str">
        <f>IF(Main!BF80&gt;0,Main!BF80,"")</f>
        <v>1211-1560-7041</v>
      </c>
      <c r="W79" s="263">
        <f>IF(Main!BS80&gt;0,Main!BS80,"")</f>
        <v>42046</v>
      </c>
      <c r="X79" s="263">
        <f>IF(Main!BT80&gt;0,Main!BT80,"")</f>
        <v>42046</v>
      </c>
      <c r="Y79" s="263">
        <f>IF(Main!BU80&gt;0,Main!BU80,"")</f>
        <v>42046</v>
      </c>
      <c r="Z79" s="263">
        <f>IF(Main!AS80&gt;0,Main!AS80,"")</f>
        <v>42047</v>
      </c>
      <c r="AA79" s="263">
        <f>IF(Main!BJ80&gt;0,Main!BJ80,"")</f>
        <v>42054</v>
      </c>
      <c r="AB79" s="263">
        <f>IF(Main!BC80&gt;0,Main!BC80,"")</f>
        <v>42047</v>
      </c>
      <c r="AC79" s="263">
        <f>IF(Main!AW80&gt;0,Main!AW80,"")</f>
        <v>42047</v>
      </c>
      <c r="AD79" s="263">
        <f>IF(Main!BG80&gt;0,Main!BG80,"")</f>
        <v>42047</v>
      </c>
      <c r="AE79" s="263">
        <f>IF(Main!BE80&gt;0,Main!BE80,"")</f>
        <v>42061</v>
      </c>
      <c r="AF79" s="263">
        <f>IF(Main!BM80&gt;0,Main!BM80,"")</f>
        <v>42047</v>
      </c>
      <c r="AG79" s="263" t="str">
        <f>IF(Main!BN80&gt;0,Main!BN80,"")</f>
        <v/>
      </c>
      <c r="AH79" s="263" t="str">
        <f>IF(Main!BO80&gt;0,Main!BO80,"")</f>
        <v/>
      </c>
      <c r="AI79" s="263" t="str">
        <f>IF(Main!BR80&gt;0,Main!BR80,"")</f>
        <v/>
      </c>
      <c r="AJ79" s="263">
        <f>IF(Main!BQ80&gt;0,Main!BQ80,"")</f>
        <v>42047</v>
      </c>
      <c r="AK79" s="263">
        <f>IF(Main!AV80&gt;0,Main!AV80,"")</f>
        <v>42046</v>
      </c>
      <c r="AL79" s="263">
        <f>IF(Main!AU80&gt;0,Main!AU80,"")</f>
        <v>42047</v>
      </c>
      <c r="AM79" s="263">
        <f>IF(Main!AT80&gt;0,Main!AT80,"")</f>
        <v>42047</v>
      </c>
      <c r="AN79" s="259" t="str">
        <f>Main!BW80</f>
        <v xml:space="preserve">1905 2/12/2015, 2305 2/11/2015, MDR 2/12/2015, </v>
      </c>
    </row>
    <row r="80" spans="1:40" x14ac:dyDescent="0.25">
      <c r="A80" s="258">
        <f>Main!C81</f>
        <v>1082297</v>
      </c>
      <c r="B80" s="259" t="str">
        <f>Main!D81</f>
        <v>Tupalar, Mary Jane Eugenio</v>
      </c>
      <c r="C80" s="259" t="str">
        <f>Main!AH81</f>
        <v>Probationary</v>
      </c>
      <c r="D80" s="260">
        <f>Main!B81</f>
        <v>42044</v>
      </c>
      <c r="E80" s="260" t="str">
        <f>IF(Main!AI81&lt;1,"",Main!AI81)</f>
        <v>Jobstreet</v>
      </c>
      <c r="F80" s="260" t="str">
        <f>IF(Main!AJ81&lt;1,"",Main!AJ81)</f>
        <v/>
      </c>
      <c r="G80" s="260" t="str">
        <f>IF(Main!AK81&lt;1,"",Main!AK81)</f>
        <v/>
      </c>
      <c r="H80" s="259" t="str">
        <f>Main!Y81</f>
        <v>Recruiter- Consumer Sales</v>
      </c>
      <c r="I80" s="259" t="str">
        <f>Main!Z81</f>
        <v>Level 0</v>
      </c>
      <c r="J80" s="259">
        <f>IF(Main!A81&lt;1,"",Main!A81)</f>
        <v>183</v>
      </c>
      <c r="K80" s="260">
        <f>IF(Main!AN81&gt;0,Main!AN81,"")</f>
        <v>32948</v>
      </c>
      <c r="L80" s="258" t="str">
        <f>IF(Main!Q81&gt;0,Main!Q81,"")</f>
        <v>jaynetupalar@yahoo.com</v>
      </c>
      <c r="M80" s="410">
        <f>VALUE(IF(Main!S81&gt;0,Main!S81,""))</f>
        <v>9336014283</v>
      </c>
      <c r="N80" s="261" t="str">
        <f>Main!T81</f>
        <v/>
      </c>
      <c r="O80" s="258" t="str">
        <f>IF(Main!AO81&gt;0,Main!AO81,"")</f>
        <v>#24B Eugenio Compound Sanville Subdivision Culiat Tandang Sora Quezon City</v>
      </c>
      <c r="P80" s="258" t="str">
        <f>IF(Main!AP81&gt;0,Main!AP81,"")</f>
        <v>#24B Eugenio Compound Sanville Subdivision Culiat Tandang Sora Quezon City</v>
      </c>
      <c r="Q80" s="258" t="str">
        <f>IF(Main!AR81&gt;0,Main!AR81,"")</f>
        <v>Single</v>
      </c>
      <c r="R80" s="259" t="str">
        <f>IF(Main!AQ81&gt;0,Main!AQ81,"")</f>
        <v>Female</v>
      </c>
      <c r="S80" s="259" t="str">
        <f>IF(Main!BD81&gt;0,Main!BD81,"")</f>
        <v>34-3322452-8</v>
      </c>
      <c r="T80" s="259" t="str">
        <f>IF(Main!AX81&gt;0,Main!AX81,"")</f>
        <v>423-755-827</v>
      </c>
      <c r="U80" s="259" t="str">
        <f>IF(Main!BH81&gt;0,Main!BH81,"")</f>
        <v>03-050959790-8</v>
      </c>
      <c r="V80" s="268" t="str">
        <f>IF(Main!BF81&gt;0,Main!BF81,"")</f>
        <v>1211-2836-0226</v>
      </c>
      <c r="W80" s="263">
        <f>IF(Main!BS81&gt;0,Main!BS81,"")</f>
        <v>42045</v>
      </c>
      <c r="X80" s="263">
        <f>IF(Main!BT81&gt;0,Main!BT81,"")</f>
        <v>42045</v>
      </c>
      <c r="Y80" s="263">
        <f>IF(Main!BU81&gt;0,Main!BU81,"")</f>
        <v>42045</v>
      </c>
      <c r="Z80" s="263">
        <f>IF(Main!AS81&gt;0,Main!AS81,"")</f>
        <v>42045</v>
      </c>
      <c r="AA80" s="263">
        <f>IF(Main!BJ81&gt;0,Main!BJ81,"")</f>
        <v>42045</v>
      </c>
      <c r="AB80" s="263">
        <f>IF(Main!BC81&gt;0,Main!BC81,"")</f>
        <v>42045</v>
      </c>
      <c r="AC80" s="263">
        <f>IF(Main!AW81&gt;0,Main!AW81,"")</f>
        <v>42045</v>
      </c>
      <c r="AD80" s="263">
        <f>IF(Main!BG81&gt;0,Main!BG81,"")</f>
        <v>42045</v>
      </c>
      <c r="AE80" s="263">
        <f>IF(Main!BE81&gt;0,Main!BE81,"")</f>
        <v>42045</v>
      </c>
      <c r="AF80" s="263">
        <f>IF(Main!BM81&gt;0,Main!BM81,"")</f>
        <v>42045</v>
      </c>
      <c r="AG80" s="263" t="str">
        <f>IF(Main!BN81&gt;0,Main!BN81,"")</f>
        <v/>
      </c>
      <c r="AH80" s="263">
        <f>IF(Main!BO81&gt;0,Main!BO81,"")</f>
        <v>42045</v>
      </c>
      <c r="AI80" s="263" t="str">
        <f>IF(Main!BR81&gt;0,Main!BR81,"")</f>
        <v/>
      </c>
      <c r="AJ80" s="263">
        <f>IF(Main!BQ81&gt;0,Main!BQ81,"")</f>
        <v>42045</v>
      </c>
      <c r="AK80" s="263">
        <f>IF(Main!AV81&gt;0,Main!AV81,"")</f>
        <v>42046</v>
      </c>
      <c r="AL80" s="263">
        <f>IF(Main!AU81&gt;0,Main!AU81,"")</f>
        <v>42045</v>
      </c>
      <c r="AM80" s="263">
        <f>IF(Main!AT81&gt;0,Main!AT81,"")</f>
        <v>42045</v>
      </c>
      <c r="AN80" s="259" t="str">
        <f>Main!BW81</f>
        <v xml:space="preserve">1905 2/10/2015, 2305 2/9/2015, MDR 2/10/2015, </v>
      </c>
    </row>
    <row r="81" spans="1:40" x14ac:dyDescent="0.25">
      <c r="A81" s="258">
        <f>Main!C82</f>
        <v>1082298</v>
      </c>
      <c r="B81" s="259" t="str">
        <f>Main!D82</f>
        <v>Viente, Jasmin Aludo</v>
      </c>
      <c r="C81" s="259" t="str">
        <f>Main!AH82</f>
        <v>Probationary</v>
      </c>
      <c r="D81" s="260">
        <f>Main!B82</f>
        <v>42045</v>
      </c>
      <c r="E81" s="260" t="str">
        <f>IF(Main!AI82&lt;1,"",Main!AI82)</f>
        <v>Jobstreet</v>
      </c>
      <c r="F81" s="260" t="str">
        <f>IF(Main!AJ82&lt;1,"",Main!AJ82)</f>
        <v/>
      </c>
      <c r="G81" s="260" t="str">
        <f>IF(Main!AK82&lt;1,"",Main!AK82)</f>
        <v/>
      </c>
      <c r="H81" s="259" t="str">
        <f>Main!Y82</f>
        <v>Internal Recruiter</v>
      </c>
      <c r="I81" s="259" t="str">
        <f>Main!Z82</f>
        <v>N/A</v>
      </c>
      <c r="J81" s="259">
        <f>IF(Main!A82&lt;1,"",Main!A82)</f>
        <v>183</v>
      </c>
      <c r="K81" s="260">
        <f>IF(Main!AN82&gt;0,Main!AN82,"")</f>
        <v>34064</v>
      </c>
      <c r="L81" s="258" t="str">
        <f>IF(Main!Q82&gt;0,Main!Q82,"")</f>
        <v>jasminviente@gmail.com</v>
      </c>
      <c r="M81" s="410">
        <f>VALUE(IF(Main!S82&gt;0,Main!S82,""))</f>
        <v>9363848537</v>
      </c>
      <c r="N81" s="261" t="str">
        <f>Main!T82</f>
        <v/>
      </c>
      <c r="O81" s="258" t="str">
        <f>IF(Main!AO82&gt;0,Main!AO82,"")</f>
        <v>Blk 41 Lot 47A Revelation St. CHRV Langkaan II, Dasmariñas City, Cavite</v>
      </c>
      <c r="P81" s="258" t="str">
        <f>IF(Main!AP82&gt;0,Main!AP82,"")</f>
        <v>Blk 41 Lot 47A Revelation St. CHRV Langkaan II, Dasmariñas City, Cavite</v>
      </c>
      <c r="Q81" s="258" t="str">
        <f>IF(Main!AR82&gt;0,Main!AR82,"")</f>
        <v>Single</v>
      </c>
      <c r="R81" s="259" t="str">
        <f>IF(Main!AQ82&gt;0,Main!AQ82,"")</f>
        <v>Female</v>
      </c>
      <c r="S81" s="259" t="str">
        <f>IF(Main!BD82&gt;0,Main!BD82,"")</f>
        <v>34-3727624-2</v>
      </c>
      <c r="T81" s="259" t="str">
        <f>IF(Main!AX82&gt;0,Main!AX82,"")</f>
        <v>315-382-803</v>
      </c>
      <c r="U81" s="259" t="str">
        <f>IF(Main!BH82&gt;0,Main!BH82,"")</f>
        <v>01-051622950-6</v>
      </c>
      <c r="V81" s="268" t="str">
        <f>IF(Main!BF82&gt;0,Main!BF82,"")</f>
        <v>1210-9889-7309</v>
      </c>
      <c r="W81" s="263">
        <f>IF(Main!BS82&gt;0,Main!BS82,"")</f>
        <v>42044</v>
      </c>
      <c r="X81" s="263">
        <f>IF(Main!BT82&gt;0,Main!BT82,"")</f>
        <v>42044</v>
      </c>
      <c r="Y81" s="263">
        <f>IF(Main!BU82&gt;0,Main!BU82,"")</f>
        <v>42044</v>
      </c>
      <c r="Z81" s="263">
        <f>IF(Main!AS82&gt;0,Main!AS82,"")</f>
        <v>42045</v>
      </c>
      <c r="AA81" s="263">
        <f>IF(Main!BJ82&gt;0,Main!BJ82,"")</f>
        <v>42107</v>
      </c>
      <c r="AB81" s="263">
        <f>IF(Main!BC82&gt;0,Main!BC82,"")</f>
        <v>42045</v>
      </c>
      <c r="AC81" s="263">
        <f>IF(Main!AW82&gt;0,Main!AW82,"")</f>
        <v>42051</v>
      </c>
      <c r="AD81" s="263">
        <f>IF(Main!BG82&gt;0,Main!BG82,"")</f>
        <v>42094</v>
      </c>
      <c r="AE81" s="263">
        <f>IF(Main!BE82&gt;0,Main!BE82,"")</f>
        <v>42094</v>
      </c>
      <c r="AF81" s="263">
        <f>IF(Main!BM82&gt;0,Main!BM82,"")</f>
        <v>42045</v>
      </c>
      <c r="AG81" s="263" t="str">
        <f>IF(Main!BN82&gt;0,Main!BN82,"")</f>
        <v/>
      </c>
      <c r="AH81" s="263" t="str">
        <f>IF(Main!BO82&gt;0,Main!BO82,"")</f>
        <v/>
      </c>
      <c r="AI81" s="263" t="str">
        <f>IF(Main!BR82&gt;0,Main!BR82,"")</f>
        <v/>
      </c>
      <c r="AJ81" s="263" t="str">
        <f>IF(Main!BQ82&gt;0,Main!BQ82,"")</f>
        <v/>
      </c>
      <c r="AK81" s="263">
        <f>IF(Main!AV82&gt;0,Main!AV82,"")</f>
        <v>42045</v>
      </c>
      <c r="AL81" s="263">
        <f>IF(Main!AU82&gt;0,Main!AU82,"")</f>
        <v>42045</v>
      </c>
      <c r="AM81" s="263">
        <f>IF(Main!AT82&gt;0,Main!AT82,"")</f>
        <v>42045</v>
      </c>
      <c r="AN81" s="259" t="str">
        <f>Main!BW82</f>
        <v xml:space="preserve">2305 2/10/2015, </v>
      </c>
    </row>
    <row r="82" spans="1:40" s="265" customFormat="1" ht="15.75" thickBot="1" x14ac:dyDescent="0.3">
      <c r="A82" s="258">
        <f>Main!C83</f>
        <v>1082299</v>
      </c>
      <c r="B82" s="259" t="str">
        <f>Main!D83</f>
        <v>Arbuis, Gilbert Nullan</v>
      </c>
      <c r="C82" s="259" t="str">
        <f>Main!AH83</f>
        <v>Probationary</v>
      </c>
      <c r="D82" s="260">
        <f>Main!B83</f>
        <v>42045</v>
      </c>
      <c r="E82" s="260" t="str">
        <f>IF(Main!AI83&lt;1,"",Main!AI83)</f>
        <v>Jobstreet</v>
      </c>
      <c r="F82" s="260" t="str">
        <f>IF(Main!AJ83&lt;1,"",Main!AJ83)</f>
        <v/>
      </c>
      <c r="G82" s="260" t="str">
        <f>IF(Main!AK83&lt;1,"",Main!AK83)</f>
        <v/>
      </c>
      <c r="H82" s="259" t="str">
        <f>Main!Y83</f>
        <v>Systems Administrator</v>
      </c>
      <c r="I82" s="259" t="str">
        <f>Main!Z83</f>
        <v>N/A</v>
      </c>
      <c r="J82" s="259">
        <f>IF(Main!A83&lt;1,"",Main!A83)</f>
        <v>183</v>
      </c>
      <c r="K82" s="260">
        <f>IF(Main!AN83&gt;0,Main!AN83,"")</f>
        <v>28661</v>
      </c>
      <c r="L82" s="258" t="str">
        <f>IF(Main!Q83&gt;0,Main!Q83,"")</f>
        <v>gilbertarbuis@yahoo.com</v>
      </c>
      <c r="M82" s="410">
        <f>VALUE(IF(Main!S83&gt;0,Main!S83,""))</f>
        <v>9152111403</v>
      </c>
      <c r="N82" s="261" t="str">
        <f>Main!T83</f>
        <v/>
      </c>
      <c r="O82" s="258" t="str">
        <f>IF(Main!AO83&gt;0,Main!AO83,"")</f>
        <v>Blk 16, Lot 11, Phase 4A, Isidora St. San Antonio Heights Subdivision, Sto. Tomas, Batangas City</v>
      </c>
      <c r="P82" s="258" t="str">
        <f>IF(Main!AP83&gt;0,Main!AP83,"")</f>
        <v/>
      </c>
      <c r="Q82" s="258" t="str">
        <f>IF(Main!AR83&gt;0,Main!AR83,"")</f>
        <v/>
      </c>
      <c r="R82" s="259" t="str">
        <f>IF(Main!AQ83&gt;0,Main!AQ83,"")</f>
        <v>Male</v>
      </c>
      <c r="S82" s="259" t="str">
        <f>IF(Main!BD83&gt;0,Main!BD83,"")</f>
        <v/>
      </c>
      <c r="T82" s="259" t="str">
        <f>IF(Main!AX83&gt;0,Main!AX83,"")</f>
        <v/>
      </c>
      <c r="U82" s="259" t="str">
        <f>IF(Main!BH83&gt;0,Main!BH83,"")</f>
        <v/>
      </c>
      <c r="V82" s="268" t="str">
        <f>IF(Main!BF83&gt;0,Main!BF83,"")</f>
        <v/>
      </c>
      <c r="W82" s="263">
        <f>IF(Main!BS83&gt;0,Main!BS83,"")</f>
        <v>42045</v>
      </c>
      <c r="X82" s="263" t="str">
        <f>IF(Main!BT83&gt;0,Main!BT83,"")</f>
        <v/>
      </c>
      <c r="Y82" s="263">
        <f>IF(Main!BU83&gt;0,Main!BU83,"")</f>
        <v>42045</v>
      </c>
      <c r="Z82" s="263" t="str">
        <f>IF(Main!AS83&gt;0,Main!AS83,"")</f>
        <v/>
      </c>
      <c r="AA82" s="263" t="str">
        <f>IF(Main!BJ83&gt;0,Main!BJ83,"")</f>
        <v/>
      </c>
      <c r="AB82" s="263" t="str">
        <f>IF(Main!BC83&gt;0,Main!BC83,"")</f>
        <v/>
      </c>
      <c r="AC82" s="263" t="str">
        <f>IF(Main!AW83&gt;0,Main!AW83,"")</f>
        <v/>
      </c>
      <c r="AD82" s="263" t="str">
        <f>IF(Main!BG83&gt;0,Main!BG83,"")</f>
        <v/>
      </c>
      <c r="AE82" s="263" t="str">
        <f>IF(Main!BE83&gt;0,Main!BE83,"")</f>
        <v/>
      </c>
      <c r="AF82" s="263" t="str">
        <f>IF(Main!BM83&gt;0,Main!BM83,"")</f>
        <v/>
      </c>
      <c r="AG82" s="263" t="str">
        <f>IF(Main!BN83&gt;0,Main!BN83,"")</f>
        <v/>
      </c>
      <c r="AH82" s="263" t="str">
        <f>IF(Main!BO83&gt;0,Main!BO83,"")</f>
        <v/>
      </c>
      <c r="AI82" s="263" t="str">
        <f>IF(Main!BR83&gt;0,Main!BR83,"")</f>
        <v/>
      </c>
      <c r="AJ82" s="263" t="str">
        <f>IF(Main!BQ83&gt;0,Main!BQ83,"")</f>
        <v/>
      </c>
      <c r="AK82" s="263" t="str">
        <f>IF(Main!AV83&gt;0,Main!AV83,"")</f>
        <v/>
      </c>
      <c r="AL82" s="263" t="str">
        <f>IF(Main!AU83&gt;0,Main!AU83,"")</f>
        <v/>
      </c>
      <c r="AM82" s="263" t="str">
        <f>IF(Main!AT83&gt;0,Main!AT83,"")</f>
        <v/>
      </c>
      <c r="AN82" s="259" t="str">
        <f>Main!BW83</f>
        <v/>
      </c>
    </row>
    <row r="83" spans="1:40" ht="15.75" thickTop="1" x14ac:dyDescent="0.25">
      <c r="A83" s="258">
        <f>Main!C84</f>
        <v>1082300</v>
      </c>
      <c r="B83" s="259" t="str">
        <f>Main!D84</f>
        <v>Sinday, Kristine Mendoza</v>
      </c>
      <c r="C83" s="259" t="str">
        <f>Main!AH84</f>
        <v>Probationary</v>
      </c>
      <c r="D83" s="260">
        <f>Main!B84</f>
        <v>42051</v>
      </c>
      <c r="E83" s="260" t="str">
        <f>IF(Main!AI84&lt;1,"",Main!AI84)</f>
        <v>Jobstreet</v>
      </c>
      <c r="F83" s="260" t="str">
        <f>IF(Main!AJ84&lt;1,"",Main!AJ84)</f>
        <v/>
      </c>
      <c r="G83" s="260" t="str">
        <f>IF(Main!AK84&lt;1,"",Main!AK84)</f>
        <v/>
      </c>
      <c r="H83" s="259" t="str">
        <f>Main!Y84</f>
        <v>Senior Recruiter</v>
      </c>
      <c r="I83" s="259" t="str">
        <f>Main!Z84</f>
        <v>Level 2</v>
      </c>
      <c r="J83" s="259">
        <f>IF(Main!A84&lt;1,"",Main!A84)</f>
        <v>184</v>
      </c>
      <c r="K83" s="260">
        <f>IF(Main!AN84&gt;0,Main!AN84,"")</f>
        <v>31406</v>
      </c>
      <c r="L83" s="258" t="str">
        <f>IF(Main!Q84&gt;0,Main!Q84,"")</f>
        <v>kristine_sinday@yahoo.com</v>
      </c>
      <c r="M83" s="410">
        <f>VALUE(IF(Main!S84&gt;0,Main!S84,""))</f>
        <v>9213171274</v>
      </c>
      <c r="N83" s="261" t="str">
        <f>Main!T84</f>
        <v/>
      </c>
      <c r="O83" s="258" t="str">
        <f>IF(Main!AO84&gt;0,Main!AO84,"")</f>
        <v>018 Parola St. Brgy. San Roque, Cainta Rizal</v>
      </c>
      <c r="P83" s="258" t="str">
        <f>IF(Main!AP84&gt;0,Main!AP84,"")</f>
        <v/>
      </c>
      <c r="Q83" s="258" t="str">
        <f>IF(Main!AR84&gt;0,Main!AR84,"")</f>
        <v/>
      </c>
      <c r="R83" s="259" t="str">
        <f>IF(Main!AQ84&gt;0,Main!AQ84,"")</f>
        <v/>
      </c>
      <c r="S83" s="259" t="str">
        <f>IF(Main!BD84&gt;0,Main!BD84,"")</f>
        <v/>
      </c>
      <c r="T83" s="259" t="str">
        <f>IF(Main!AX84&gt;0,Main!AX84,"")</f>
        <v/>
      </c>
      <c r="U83" s="259" t="str">
        <f>IF(Main!BH84&gt;0,Main!BH84,"")</f>
        <v/>
      </c>
      <c r="V83" s="268" t="str">
        <f>IF(Main!BF84&gt;0,Main!BF84,"")</f>
        <v/>
      </c>
      <c r="W83" s="263">
        <f>IF(Main!BS84&gt;0,Main!BS84,"")</f>
        <v>42052</v>
      </c>
      <c r="X83" s="263">
        <f>IF(Main!BT84&gt;0,Main!BT84,"")</f>
        <v>42052</v>
      </c>
      <c r="Y83" s="263">
        <f>IF(Main!BU84&gt;0,Main!BU84,"")</f>
        <v>42052</v>
      </c>
      <c r="Z83" s="263" t="str">
        <f>IF(Main!AS84&gt;0,Main!AS84,"")</f>
        <v/>
      </c>
      <c r="AA83" s="263" t="str">
        <f>IF(Main!BJ84&gt;0,Main!BJ84,"")</f>
        <v/>
      </c>
      <c r="AB83" s="263" t="str">
        <f>IF(Main!BC84&gt;0,Main!BC84,"")</f>
        <v/>
      </c>
      <c r="AC83" s="263" t="str">
        <f>IF(Main!AW84&gt;0,Main!AW84,"")</f>
        <v/>
      </c>
      <c r="AD83" s="263" t="str">
        <f>IF(Main!BG84&gt;0,Main!BG84,"")</f>
        <v/>
      </c>
      <c r="AE83" s="263" t="str">
        <f>IF(Main!BE84&gt;0,Main!BE84,"")</f>
        <v/>
      </c>
      <c r="AF83" s="263" t="str">
        <f>IF(Main!BM84&gt;0,Main!BM84,"")</f>
        <v/>
      </c>
      <c r="AG83" s="263" t="str">
        <f>IF(Main!BN84&gt;0,Main!BN84,"")</f>
        <v/>
      </c>
      <c r="AH83" s="263" t="str">
        <f>IF(Main!BO84&gt;0,Main!BO84,"")</f>
        <v/>
      </c>
      <c r="AI83" s="263" t="str">
        <f>IF(Main!BR84&gt;0,Main!BR84,"")</f>
        <v/>
      </c>
      <c r="AJ83" s="263" t="str">
        <f>IF(Main!BQ84&gt;0,Main!BQ84,"")</f>
        <v/>
      </c>
      <c r="AK83" s="263">
        <f>IF(Main!AV84&gt;0,Main!AV84,"")</f>
        <v>42053</v>
      </c>
      <c r="AL83" s="263" t="str">
        <f>IF(Main!AU84&gt;0,Main!AU84,"")</f>
        <v/>
      </c>
      <c r="AM83" s="263" t="str">
        <f>IF(Main!AT84&gt;0,Main!AT84,"")</f>
        <v/>
      </c>
      <c r="AN83" s="259" t="str">
        <f>Main!BW84</f>
        <v/>
      </c>
    </row>
    <row r="84" spans="1:40" x14ac:dyDescent="0.25">
      <c r="A84" s="258">
        <f>Main!C85</f>
        <v>1082301</v>
      </c>
      <c r="B84" s="259" t="str">
        <f>Main!D85</f>
        <v>Abuid, Ronel Rivero</v>
      </c>
      <c r="C84" s="259" t="str">
        <f>Main!AH85</f>
        <v>Probationary</v>
      </c>
      <c r="D84" s="260">
        <f>Main!B85</f>
        <v>42051</v>
      </c>
      <c r="E84" s="260" t="str">
        <f>IF(Main!AI85&lt;1,"",Main!AI85)</f>
        <v>Walk-in</v>
      </c>
      <c r="F84" s="260" t="str">
        <f>IF(Main!AJ85&lt;1,"",Main!AJ85)</f>
        <v/>
      </c>
      <c r="G84" s="260" t="str">
        <f>IF(Main!AK85&lt;1,"",Main!AK85)</f>
        <v/>
      </c>
      <c r="H84" s="259" t="str">
        <f>Main!Y85</f>
        <v>Senior Recruiter</v>
      </c>
      <c r="I84" s="259" t="str">
        <f>Main!Z85</f>
        <v>Level 2</v>
      </c>
      <c r="J84" s="259">
        <f>IF(Main!A85&lt;1,"",Main!A85)</f>
        <v>184</v>
      </c>
      <c r="K84" s="260">
        <f>IF(Main!AN85&gt;0,Main!AN85,"")</f>
        <v>32037</v>
      </c>
      <c r="L84" s="258" t="str">
        <f>IF(Main!Q85&gt;0,Main!Q85,"")</f>
        <v>ronelabuid@gmail.com</v>
      </c>
      <c r="M84" s="410">
        <f>VALUE(IF(Main!S85&gt;0,Main!S85,""))</f>
        <v>9158907037</v>
      </c>
      <c r="N84" s="261" t="str">
        <f>Main!T85</f>
        <v/>
      </c>
      <c r="O84" s="258" t="str">
        <f>IF(Main!AO85&gt;0,Main!AO85,"")</f>
        <v>565 Plaridel St. San Roque, Cavite City</v>
      </c>
      <c r="P84" s="258" t="str">
        <f>IF(Main!AP85&gt;0,Main!AP85,"")</f>
        <v>565 Plaridel St. San Roque, Cavite City</v>
      </c>
      <c r="Q84" s="258" t="str">
        <f>IF(Main!AR85&gt;0,Main!AR85,"")</f>
        <v>Single</v>
      </c>
      <c r="R84" s="259" t="str">
        <f>IF(Main!AQ85&gt;0,Main!AQ85,"")</f>
        <v>Male</v>
      </c>
      <c r="S84" s="259" t="str">
        <f>IF(Main!BD85&gt;0,Main!BD85,"")</f>
        <v>34-1428774-6</v>
      </c>
      <c r="T84" s="259" t="str">
        <f>IF(Main!AX85&gt;0,Main!AX85,"")</f>
        <v>290-993-238</v>
      </c>
      <c r="U84" s="259" t="str">
        <f>IF(Main!BH85&gt;0,Main!BH85,"")</f>
        <v>03-050517917-6</v>
      </c>
      <c r="V84" s="268" t="str">
        <f>IF(Main!BF85&gt;0,Main!BF85,"")</f>
        <v>1211-0035-0215</v>
      </c>
      <c r="W84" s="263">
        <f>IF(Main!BS85&gt;0,Main!BS85,"")</f>
        <v>42052</v>
      </c>
      <c r="X84" s="263">
        <f>IF(Main!BT85&gt;0,Main!BT85,"")</f>
        <v>42052</v>
      </c>
      <c r="Y84" s="263">
        <f>IF(Main!BU85&gt;0,Main!BU85,"")</f>
        <v>42052</v>
      </c>
      <c r="Z84" s="263">
        <f>IF(Main!AS85&gt;0,Main!AS85,"")</f>
        <v>42052</v>
      </c>
      <c r="AA84" s="263">
        <f>IF(Main!BJ85&gt;0,Main!BJ85,"")</f>
        <v>42052</v>
      </c>
      <c r="AB84" s="263">
        <f>IF(Main!BC85&gt;0,Main!BC85,"")</f>
        <v>42083</v>
      </c>
      <c r="AC84" s="263">
        <f>IF(Main!AW85&gt;0,Main!AW85,"")</f>
        <v>42052</v>
      </c>
      <c r="AD84" s="263">
        <f>IF(Main!BG85&gt;0,Main!BG85,"")</f>
        <v>42081</v>
      </c>
      <c r="AE84" s="263">
        <f>IF(Main!BE85&gt;0,Main!BE85,"")</f>
        <v>42075</v>
      </c>
      <c r="AF84" s="263">
        <f>IF(Main!BM85&gt;0,Main!BM85,"")</f>
        <v>42052</v>
      </c>
      <c r="AG84" s="263" t="str">
        <f>IF(Main!BN85&gt;0,Main!BN85,"")</f>
        <v/>
      </c>
      <c r="AH84" s="263" t="str">
        <f>IF(Main!BO85&gt;0,Main!BO85,"")</f>
        <v/>
      </c>
      <c r="AI84" s="263">
        <f>IF(Main!BR85&gt;0,Main!BR85,"")</f>
        <v>42052</v>
      </c>
      <c r="AJ84" s="263">
        <f>IF(Main!BQ85&gt;0,Main!BQ85,"")</f>
        <v>42052</v>
      </c>
      <c r="AK84" s="263">
        <f>IF(Main!AV85&gt;0,Main!AV85,"")</f>
        <v>42053</v>
      </c>
      <c r="AL84" s="263">
        <f>IF(Main!AU85&gt;0,Main!AU85,"")</f>
        <v>42052</v>
      </c>
      <c r="AM84" s="263">
        <f>IF(Main!AT85&gt;0,Main!AT85,"")</f>
        <v>42052</v>
      </c>
      <c r="AN84" s="259" t="str">
        <f>Main!BW85</f>
        <v xml:space="preserve">1905 3/30/2015, 2305 3/12/2015, MDR 3/18/2015, </v>
      </c>
    </row>
    <row r="85" spans="1:40" x14ac:dyDescent="0.25">
      <c r="A85" s="258">
        <f>Main!C86</f>
        <v>1082302</v>
      </c>
      <c r="B85" s="259" t="str">
        <f>Main!D86</f>
        <v>Ng, Wilmard Bragas</v>
      </c>
      <c r="C85" s="259" t="str">
        <f>Main!AH86</f>
        <v>Probationary</v>
      </c>
      <c r="D85" s="260">
        <f>Main!B86</f>
        <v>42051</v>
      </c>
      <c r="E85" s="260" t="str">
        <f>IF(Main!AI86&lt;1,"",Main!AI86)</f>
        <v>Jobstreet</v>
      </c>
      <c r="F85" s="260" t="str">
        <f>IF(Main!AJ86&lt;1,"",Main!AJ86)</f>
        <v/>
      </c>
      <c r="G85" s="260" t="str">
        <f>IF(Main!AK86&lt;1,"",Main!AK86)</f>
        <v/>
      </c>
      <c r="H85" s="259" t="str">
        <f>Main!Y86</f>
        <v>Senior Recruiter</v>
      </c>
      <c r="I85" s="259" t="str">
        <f>Main!Z86</f>
        <v>Level 2</v>
      </c>
      <c r="J85" s="259">
        <f>IF(Main!A86&lt;1,"",Main!A86)</f>
        <v>184</v>
      </c>
      <c r="K85" s="260">
        <f>IF(Main!AN86&gt;0,Main!AN86,"")</f>
        <v>33766</v>
      </c>
      <c r="L85" s="258" t="str">
        <f>IF(Main!Q86&gt;0,Main!Q86,"")</f>
        <v>wilmard.ng01@gmail.com</v>
      </c>
      <c r="M85" s="410">
        <f>VALUE(IF(Main!S86&gt;0,Main!S86,""))</f>
        <v>9124040709</v>
      </c>
      <c r="N85" s="261" t="str">
        <f>Main!T86</f>
        <v/>
      </c>
      <c r="O85" s="258" t="str">
        <f>IF(Main!AO86&gt;0,Main!AO86,"")</f>
        <v>1358 Kamatis St. Napico-Manggahan, Pasig City</v>
      </c>
      <c r="P85" s="258" t="str">
        <f>IF(Main!AP86&gt;0,Main!AP86,"")</f>
        <v/>
      </c>
      <c r="Q85" s="258" t="str">
        <f>IF(Main!AR86&gt;0,Main!AR86,"")</f>
        <v/>
      </c>
      <c r="R85" s="259" t="str">
        <f>IF(Main!AQ86&gt;0,Main!AQ86,"")</f>
        <v/>
      </c>
      <c r="S85" s="259" t="str">
        <f>IF(Main!BD86&gt;0,Main!BD86,"")</f>
        <v/>
      </c>
      <c r="T85" s="259" t="str">
        <f>IF(Main!AX86&gt;0,Main!AX86,"")</f>
        <v/>
      </c>
      <c r="U85" s="259" t="str">
        <f>IF(Main!BH86&gt;0,Main!BH86,"")</f>
        <v/>
      </c>
      <c r="V85" s="268" t="str">
        <f>IF(Main!BF86&gt;0,Main!BF86,"")</f>
        <v/>
      </c>
      <c r="W85" s="263">
        <f>IF(Main!BS86&gt;0,Main!BS86,"")</f>
        <v>42052</v>
      </c>
      <c r="X85" s="263">
        <f>IF(Main!BT86&gt;0,Main!BT86,"")</f>
        <v>42052</v>
      </c>
      <c r="Y85" s="263">
        <f>IF(Main!BU86&gt;0,Main!BU86,"")</f>
        <v>42052</v>
      </c>
      <c r="Z85" s="263" t="str">
        <f>IF(Main!AS86&gt;0,Main!AS86,"")</f>
        <v/>
      </c>
      <c r="AA85" s="263" t="str">
        <f>IF(Main!BJ86&gt;0,Main!BJ86,"")</f>
        <v/>
      </c>
      <c r="AB85" s="263" t="str">
        <f>IF(Main!BC86&gt;0,Main!BC86,"")</f>
        <v/>
      </c>
      <c r="AC85" s="263" t="str">
        <f>IF(Main!AW86&gt;0,Main!AW86,"")</f>
        <v/>
      </c>
      <c r="AD85" s="263" t="str">
        <f>IF(Main!BG86&gt;0,Main!BG86,"")</f>
        <v/>
      </c>
      <c r="AE85" s="263" t="str">
        <f>IF(Main!BE86&gt;0,Main!BE86,"")</f>
        <v/>
      </c>
      <c r="AF85" s="263" t="str">
        <f>IF(Main!BM86&gt;0,Main!BM86,"")</f>
        <v/>
      </c>
      <c r="AG85" s="263" t="str">
        <f>IF(Main!BN86&gt;0,Main!BN86,"")</f>
        <v/>
      </c>
      <c r="AH85" s="263" t="str">
        <f>IF(Main!BO86&gt;0,Main!BO86,"")</f>
        <v/>
      </c>
      <c r="AI85" s="263" t="str">
        <f>IF(Main!BR86&gt;0,Main!BR86,"")</f>
        <v/>
      </c>
      <c r="AJ85" s="263" t="str">
        <f>IF(Main!BQ86&gt;0,Main!BQ86,"")</f>
        <v/>
      </c>
      <c r="AK85" s="263">
        <f>IF(Main!AV86&gt;0,Main!AV86,"")</f>
        <v>42053</v>
      </c>
      <c r="AL85" s="263" t="str">
        <f>IF(Main!AU86&gt;0,Main!AU86,"")</f>
        <v/>
      </c>
      <c r="AM85" s="263" t="str">
        <f>IF(Main!AT86&gt;0,Main!AT86,"")</f>
        <v/>
      </c>
      <c r="AN85" s="259" t="str">
        <f>Main!BW86</f>
        <v xml:space="preserve">2305 (for processing) 2/17/2015, </v>
      </c>
    </row>
    <row r="86" spans="1:40" x14ac:dyDescent="0.25">
      <c r="A86" s="258">
        <f>Main!C87</f>
        <v>1082303</v>
      </c>
      <c r="B86" s="259" t="str">
        <f>Main!D87</f>
        <v>Lorica, Babylyne Ante</v>
      </c>
      <c r="C86" s="259" t="str">
        <f>Main!AH87</f>
        <v>Probationary</v>
      </c>
      <c r="D86" s="260">
        <f>Main!B87</f>
        <v>42051</v>
      </c>
      <c r="E86" s="260" t="str">
        <f>IF(Main!AI87&lt;1,"",Main!AI87)</f>
        <v>Jobstreet</v>
      </c>
      <c r="F86" s="260" t="str">
        <f>IF(Main!AJ87&lt;1,"",Main!AJ87)</f>
        <v/>
      </c>
      <c r="G86" s="260" t="str">
        <f>IF(Main!AK87&lt;1,"",Main!AK87)</f>
        <v/>
      </c>
      <c r="H86" s="259" t="str">
        <f>Main!Y87</f>
        <v>Senior Recruiter</v>
      </c>
      <c r="I86" s="259" t="str">
        <f>Main!Z87</f>
        <v>Level 1</v>
      </c>
      <c r="J86" s="259">
        <f>IF(Main!A87&lt;1,"",Main!A87)</f>
        <v>184</v>
      </c>
      <c r="K86" s="260">
        <f>IF(Main!AN87&gt;0,Main!AN87,"")</f>
        <v>32422</v>
      </c>
      <c r="L86" s="258" t="str">
        <f>IF(Main!Q87&gt;0,Main!Q87,"")</f>
        <v>babylynelorica@ymail.com</v>
      </c>
      <c r="M86" s="410">
        <f>VALUE(IF(Main!S87&gt;0,Main!S87,""))</f>
        <v>9202802488</v>
      </c>
      <c r="N86" s="261" t="str">
        <f>Main!T87</f>
        <v/>
      </c>
      <c r="O86" s="258" t="str">
        <f>IF(Main!AO87&gt;0,Main!AO87,"")</f>
        <v/>
      </c>
      <c r="P86" s="258" t="str">
        <f>IF(Main!AP87&gt;0,Main!AP87,"")</f>
        <v/>
      </c>
      <c r="Q86" s="258" t="str">
        <f>IF(Main!AR87&gt;0,Main!AR87,"")</f>
        <v/>
      </c>
      <c r="R86" s="259" t="str">
        <f>IF(Main!AQ87&gt;0,Main!AQ87,"")</f>
        <v/>
      </c>
      <c r="S86" s="259" t="str">
        <f>IF(Main!BD87&gt;0,Main!BD87,"")</f>
        <v/>
      </c>
      <c r="T86" s="259" t="str">
        <f>IF(Main!AX87&gt;0,Main!AX87,"")</f>
        <v/>
      </c>
      <c r="U86" s="259" t="str">
        <f>IF(Main!BH87&gt;0,Main!BH87,"")</f>
        <v/>
      </c>
      <c r="V86" s="268" t="str">
        <f>IF(Main!BF87&gt;0,Main!BF87,"")</f>
        <v/>
      </c>
      <c r="W86" s="263">
        <f>IF(Main!BS87&gt;0,Main!BS87,"")</f>
        <v>42052</v>
      </c>
      <c r="X86" s="263">
        <f>IF(Main!BT87&gt;0,Main!BT87,"")</f>
        <v>42052</v>
      </c>
      <c r="Y86" s="263">
        <f>IF(Main!BU87&gt;0,Main!BU87,"")</f>
        <v>42052</v>
      </c>
      <c r="Z86" s="263" t="str">
        <f>IF(Main!AS87&gt;0,Main!AS87,"")</f>
        <v/>
      </c>
      <c r="AA86" s="263" t="str">
        <f>IF(Main!BJ87&gt;0,Main!BJ87,"")</f>
        <v/>
      </c>
      <c r="AB86" s="263" t="str">
        <f>IF(Main!BC87&gt;0,Main!BC87,"")</f>
        <v/>
      </c>
      <c r="AC86" s="263" t="str">
        <f>IF(Main!AW87&gt;0,Main!AW87,"")</f>
        <v/>
      </c>
      <c r="AD86" s="263" t="str">
        <f>IF(Main!BG87&gt;0,Main!BG87,"")</f>
        <v/>
      </c>
      <c r="AE86" s="263" t="str">
        <f>IF(Main!BE87&gt;0,Main!BE87,"")</f>
        <v/>
      </c>
      <c r="AF86" s="263" t="str">
        <f>IF(Main!BM87&gt;0,Main!BM87,"")</f>
        <v/>
      </c>
      <c r="AG86" s="263" t="str">
        <f>IF(Main!BN87&gt;0,Main!BN87,"")</f>
        <v/>
      </c>
      <c r="AH86" s="263" t="str">
        <f>IF(Main!BO87&gt;0,Main!BO87,"")</f>
        <v/>
      </c>
      <c r="AI86" s="263" t="str">
        <f>IF(Main!BR87&gt;0,Main!BR87,"")</f>
        <v/>
      </c>
      <c r="AJ86" s="263" t="str">
        <f>IF(Main!BQ87&gt;0,Main!BQ87,"")</f>
        <v/>
      </c>
      <c r="AK86" s="263" t="str">
        <f>IF(Main!AV87&gt;0,Main!AV87,"")</f>
        <v/>
      </c>
      <c r="AL86" s="263" t="str">
        <f>IF(Main!AU87&gt;0,Main!AU87,"")</f>
        <v/>
      </c>
      <c r="AM86" s="263" t="str">
        <f>IF(Main!AT87&gt;0,Main!AT87,"")</f>
        <v/>
      </c>
      <c r="AN86" s="259" t="str">
        <f>Main!BW87</f>
        <v/>
      </c>
    </row>
    <row r="87" spans="1:40" x14ac:dyDescent="0.25">
      <c r="A87" s="258">
        <f>Main!C88</f>
        <v>1082304</v>
      </c>
      <c r="B87" s="259" t="str">
        <f>Main!D88</f>
        <v>Padilla, Joanna Marie Montealegre</v>
      </c>
      <c r="C87" s="259" t="str">
        <f>Main!AH88</f>
        <v>Probationary</v>
      </c>
      <c r="D87" s="260">
        <f>Main!B88</f>
        <v>42051</v>
      </c>
      <c r="E87" s="260" t="str">
        <f>IF(Main!AI88&lt;1,"",Main!AI88)</f>
        <v>ERP</v>
      </c>
      <c r="F87" s="260" t="str">
        <f>IF(Main!AJ88&lt;1,"",Main!AJ88)</f>
        <v>Gually Ong</v>
      </c>
      <c r="G87" s="260" t="str">
        <f>IF(Main!AK88&lt;1,"",Main!AK88)</f>
        <v/>
      </c>
      <c r="H87" s="259" t="str">
        <f>Main!Y88</f>
        <v>Senior Recruiter</v>
      </c>
      <c r="I87" s="259" t="str">
        <f>Main!Z88</f>
        <v>Level 2</v>
      </c>
      <c r="J87" s="259">
        <f>IF(Main!A88&lt;1,"",Main!A88)</f>
        <v>184</v>
      </c>
      <c r="K87" s="260">
        <f>IF(Main!AN88&gt;0,Main!AN88,"")</f>
        <v>33246</v>
      </c>
      <c r="L87" s="258" t="str">
        <f>IF(Main!Q88&gt;0,Main!Q88,"")</f>
        <v>Emailme0881@gmail.com</v>
      </c>
      <c r="M87" s="410">
        <f>VALUE(IF(Main!S88&gt;0,Main!S88,""))</f>
        <v>9201975377</v>
      </c>
      <c r="N87" s="261" t="str">
        <f>Main!T88</f>
        <v/>
      </c>
      <c r="O87" s="258" t="str">
        <f>IF(Main!AO88&gt;0,Main!AO88,"")</f>
        <v>15 Bowling Street Monquita Pueblo Dita Santa Rosa Laguna</v>
      </c>
      <c r="P87" s="258" t="str">
        <f>IF(Main!AP88&gt;0,Main!AP88,"")</f>
        <v>15 Bowling Street Monquita Pueblo Dita Santa Rosa Laguna</v>
      </c>
      <c r="Q87" s="258" t="str">
        <f>IF(Main!AR88&gt;0,Main!AR88,"")</f>
        <v>Single</v>
      </c>
      <c r="R87" s="259" t="str">
        <f>IF(Main!AQ88&gt;0,Main!AQ88,"")</f>
        <v>Female</v>
      </c>
      <c r="S87" s="259" t="str">
        <f>IF(Main!BD88&gt;0,Main!BD88,"")</f>
        <v>04-2196906-9</v>
      </c>
      <c r="T87" s="259" t="str">
        <f>IF(Main!AX88&gt;0,Main!AX88,"")</f>
        <v>298-220-877</v>
      </c>
      <c r="U87" s="259" t="str">
        <f>IF(Main!BH88&gt;0,Main!BH88,"")</f>
        <v>08-025334971-2</v>
      </c>
      <c r="V87" s="268" t="str">
        <f>IF(Main!BF88&gt;0,Main!BF88,"")</f>
        <v>1211-2941-2992</v>
      </c>
      <c r="W87" s="263">
        <f>IF(Main!BS88&gt;0,Main!BS88,"")</f>
        <v>42052</v>
      </c>
      <c r="X87" s="263">
        <f>IF(Main!BT88&gt;0,Main!BT88,"")</f>
        <v>42052</v>
      </c>
      <c r="Y87" s="263">
        <f>IF(Main!BU88&gt;0,Main!BU88,"")</f>
        <v>42052</v>
      </c>
      <c r="Z87" s="263">
        <f>IF(Main!AS88&gt;0,Main!AS88,"")</f>
        <v>42052</v>
      </c>
      <c r="AA87" s="263" t="str">
        <f>IF(Main!BJ88&gt;0,Main!BJ88,"")</f>
        <v/>
      </c>
      <c r="AB87" s="263">
        <f>IF(Main!BC88&gt;0,Main!BC88,"")</f>
        <v>42052</v>
      </c>
      <c r="AC87" s="263">
        <f>IF(Main!AW88&gt;0,Main!AW88,"")</f>
        <v>42062</v>
      </c>
      <c r="AD87" s="263">
        <f>IF(Main!BG88&gt;0,Main!BG88,"")</f>
        <v>42052</v>
      </c>
      <c r="AE87" s="263">
        <f>IF(Main!BE88&gt;0,Main!BE88,"")</f>
        <v>42052</v>
      </c>
      <c r="AF87" s="263">
        <f>IF(Main!BM88&gt;0,Main!BM88,"")</f>
        <v>42052</v>
      </c>
      <c r="AG87" s="263" t="str">
        <f>IF(Main!BN88&gt;0,Main!BN88,"")</f>
        <v/>
      </c>
      <c r="AH87" s="263" t="str">
        <f>IF(Main!BO88&gt;0,Main!BO88,"")</f>
        <v/>
      </c>
      <c r="AI87" s="263">
        <f>IF(Main!BR88&gt;0,Main!BR88,"")</f>
        <v>42052</v>
      </c>
      <c r="AJ87" s="263">
        <f>IF(Main!BQ88&gt;0,Main!BQ88,"")</f>
        <v>42052</v>
      </c>
      <c r="AK87" s="263">
        <f>IF(Main!AV88&gt;0,Main!AV88,"")</f>
        <v>42053</v>
      </c>
      <c r="AL87" s="263">
        <f>IF(Main!AU88&gt;0,Main!AU88,"")</f>
        <v>42052</v>
      </c>
      <c r="AM87" s="263">
        <f>IF(Main!AT88&gt;0,Main!AT88,"")</f>
        <v>42052</v>
      </c>
      <c r="AN87" s="259" t="str">
        <f>Main!BW88</f>
        <v xml:space="preserve">2305 2/17/2015, </v>
      </c>
    </row>
    <row r="88" spans="1:40" x14ac:dyDescent="0.25">
      <c r="A88" s="258">
        <f>Main!C89</f>
        <v>1082305</v>
      </c>
      <c r="B88" s="259" t="str">
        <f>Main!D89</f>
        <v>Mangalonzo, Keith Gabriel Obcena</v>
      </c>
      <c r="C88" s="259" t="str">
        <f>Main!AH89</f>
        <v>Probationary</v>
      </c>
      <c r="D88" s="260">
        <f>Main!B89</f>
        <v>42051</v>
      </c>
      <c r="E88" s="260" t="str">
        <f>IF(Main!AI89&lt;1,"",Main!AI89)</f>
        <v>Jobstreet</v>
      </c>
      <c r="F88" s="260" t="str">
        <f>IF(Main!AJ89&lt;1,"",Main!AJ89)</f>
        <v/>
      </c>
      <c r="G88" s="260" t="str">
        <f>IF(Main!AK89&lt;1,"",Main!AK89)</f>
        <v/>
      </c>
      <c r="H88" s="259" t="str">
        <f>Main!Y89</f>
        <v>Senior Recruiter</v>
      </c>
      <c r="I88" s="259" t="str">
        <f>Main!Z89</f>
        <v>Level 2</v>
      </c>
      <c r="J88" s="259">
        <f>IF(Main!A89&lt;1,"",Main!A89)</f>
        <v>184</v>
      </c>
      <c r="K88" s="260">
        <f>IF(Main!AN89&gt;0,Main!AN89,"")</f>
        <v>31686</v>
      </c>
      <c r="L88" s="258" t="str">
        <f>IF(Main!Q89&gt;0,Main!Q89,"")</f>
        <v>kgmangalonzo@gmail.com</v>
      </c>
      <c r="M88" s="410">
        <f>VALUE(IF(Main!S89&gt;0,Main!S89,""))</f>
        <v>9273531729</v>
      </c>
      <c r="N88" s="261" t="str">
        <f>Main!T89</f>
        <v/>
      </c>
      <c r="O88" s="258" t="str">
        <f>IF(Main!AO89&gt;0,Main!AO89,"")</f>
        <v>108 18th Ave., Brgy. San Roque, Cubao, Quezon City</v>
      </c>
      <c r="P88" s="258" t="str">
        <f>IF(Main!AP89&gt;0,Main!AP89,"")</f>
        <v>108 18th Ave., Brgy. San Roque, Cubao, Quezon City</v>
      </c>
      <c r="Q88" s="258" t="str">
        <f>IF(Main!AR89&gt;0,Main!AR89,"")</f>
        <v>Single</v>
      </c>
      <c r="R88" s="259" t="str">
        <f>IF(Main!AQ89&gt;0,Main!AQ89,"")</f>
        <v>Male</v>
      </c>
      <c r="S88" s="259" t="str">
        <f>IF(Main!BD89&gt;0,Main!BD89,"")</f>
        <v>34-0865284-0</v>
      </c>
      <c r="T88" s="259" t="str">
        <f>IF(Main!AX89&gt;0,Main!AX89,"")</f>
        <v>287-232-250</v>
      </c>
      <c r="U88" s="259" t="str">
        <f>IF(Main!BH89&gt;0,Main!BH89,"")</f>
        <v>03-050885917-8</v>
      </c>
      <c r="V88" s="268" t="str">
        <f>IF(Main!BF89&gt;0,Main!BF89,"")</f>
        <v>1210-1269-4599</v>
      </c>
      <c r="W88" s="263">
        <f>IF(Main!BS89&gt;0,Main!BS89,"")</f>
        <v>42052</v>
      </c>
      <c r="X88" s="263">
        <f>IF(Main!BT89&gt;0,Main!BT89,"")</f>
        <v>42052</v>
      </c>
      <c r="Y88" s="263">
        <f>IF(Main!BU89&gt;0,Main!BU89,"")</f>
        <v>42052</v>
      </c>
      <c r="Z88" s="263">
        <f>IF(Main!AS89&gt;0,Main!AS89,"")</f>
        <v>42052</v>
      </c>
      <c r="AA88" s="263">
        <f>IF(Main!BJ89&gt;0,Main!BJ89,"")</f>
        <v>42052</v>
      </c>
      <c r="AB88" s="263">
        <f>IF(Main!BC89&gt;0,Main!BC89,"")</f>
        <v>42052</v>
      </c>
      <c r="AC88" s="263">
        <f>IF(Main!AW89&gt;0,Main!AW89,"")</f>
        <v>42052</v>
      </c>
      <c r="AD88" s="263">
        <f>IF(Main!BG89&gt;0,Main!BG89,"")</f>
        <v>42052</v>
      </c>
      <c r="AE88" s="263">
        <f>IF(Main!BE89&gt;0,Main!BE89,"")</f>
        <v>42052</v>
      </c>
      <c r="AF88" s="263">
        <f>IF(Main!BM89&gt;0,Main!BM89,"")</f>
        <v>42052</v>
      </c>
      <c r="AG88" s="263" t="str">
        <f>IF(Main!BN89&gt;0,Main!BN89,"")</f>
        <v/>
      </c>
      <c r="AH88" s="263" t="str">
        <f>IF(Main!BO89&gt;0,Main!BO89,"")</f>
        <v/>
      </c>
      <c r="AI88" s="263">
        <f>IF(Main!BR89&gt;0,Main!BR89,"")</f>
        <v>42052</v>
      </c>
      <c r="AJ88" s="263">
        <f>IF(Main!BQ89&gt;0,Main!BQ89,"")</f>
        <v>42052</v>
      </c>
      <c r="AK88" s="263">
        <f>IF(Main!AV89&gt;0,Main!AV89,"")</f>
        <v>42053</v>
      </c>
      <c r="AL88" s="263">
        <f>IF(Main!AU89&gt;0,Main!AU89,"")</f>
        <v>42052</v>
      </c>
      <c r="AM88" s="263">
        <f>IF(Main!AT89&gt;0,Main!AT89,"")</f>
        <v>42052</v>
      </c>
      <c r="AN88" s="259" t="str">
        <f>Main!BW89</f>
        <v xml:space="preserve">1905 2/25/2015, 2305 2/17/2015, MDR 2/17/2015, </v>
      </c>
    </row>
    <row r="89" spans="1:40" x14ac:dyDescent="0.25">
      <c r="A89" s="258">
        <f>Main!C90</f>
        <v>1082306</v>
      </c>
      <c r="B89" s="259" t="str">
        <f>Main!D90</f>
        <v>De Guia, Jethro Laurena</v>
      </c>
      <c r="C89" s="259" t="str">
        <f>Main!AH90</f>
        <v>Probationary</v>
      </c>
      <c r="D89" s="260">
        <f>Main!B90</f>
        <v>42051</v>
      </c>
      <c r="E89" s="260" t="str">
        <f>IF(Main!AI90&lt;1,"",Main!AI90)</f>
        <v>Jobstreet</v>
      </c>
      <c r="F89" s="260" t="str">
        <f>IF(Main!AJ90&lt;1,"",Main!AJ90)</f>
        <v/>
      </c>
      <c r="G89" s="260" t="str">
        <f>IF(Main!AK90&lt;1,"",Main!AK90)</f>
        <v/>
      </c>
      <c r="H89" s="259" t="str">
        <f>Main!Y90</f>
        <v>Senior Recruiter</v>
      </c>
      <c r="I89" s="259" t="str">
        <f>Main!Z90</f>
        <v>Level 1</v>
      </c>
      <c r="J89" s="259">
        <f>IF(Main!A90&lt;1,"",Main!A90)</f>
        <v>184</v>
      </c>
      <c r="K89" s="260">
        <f>IF(Main!AN90&gt;0,Main!AN90,"")</f>
        <v>33212</v>
      </c>
      <c r="L89" s="258" t="str">
        <f>IF(Main!Q90&gt;0,Main!Q90,"")</f>
        <v>jethro.deguia@yahoo.com</v>
      </c>
      <c r="M89" s="410">
        <f>VALUE(IF(Main!S90&gt;0,Main!S90,""))</f>
        <v>9178422898</v>
      </c>
      <c r="N89" s="261" t="str">
        <f>Main!T90</f>
        <v/>
      </c>
      <c r="O89" s="258" t="str">
        <f>IF(Main!AO90&gt;0,Main!AO90,"")</f>
        <v>9328 B St. San Antonio Village, Makati City</v>
      </c>
      <c r="P89" s="258" t="str">
        <f>IF(Main!AP90&gt;0,Main!AP90,"")</f>
        <v>9328 B St. San Antonio Village, Makati City</v>
      </c>
      <c r="Q89" s="258" t="str">
        <f>IF(Main!AR90&gt;0,Main!AR90,"")</f>
        <v>Single</v>
      </c>
      <c r="R89" s="259" t="str">
        <f>IF(Main!AQ90&gt;0,Main!AQ90,"")</f>
        <v>Male</v>
      </c>
      <c r="S89" s="259" t="str">
        <f>IF(Main!BD90&gt;0,Main!BD90,"")</f>
        <v>34-2441941-0</v>
      </c>
      <c r="T89" s="259" t="str">
        <f>IF(Main!AX90&gt;0,Main!AX90,"")</f>
        <v>403-200-710</v>
      </c>
      <c r="U89" s="259" t="str">
        <f>IF(Main!BH90&gt;0,Main!BH90,"")</f>
        <v>01-051779234-4</v>
      </c>
      <c r="V89" s="268" t="str">
        <f>IF(Main!BF90&gt;0,Main!BF90,"")</f>
        <v>1210-9894-4660</v>
      </c>
      <c r="W89" s="263">
        <f>IF(Main!BS90&gt;0,Main!BS90,"")</f>
        <v>42052</v>
      </c>
      <c r="X89" s="263">
        <f>IF(Main!BT90&gt;0,Main!BT90,"")</f>
        <v>42052</v>
      </c>
      <c r="Y89" s="263">
        <f>IF(Main!BU90&gt;0,Main!BU90,"")</f>
        <v>42052</v>
      </c>
      <c r="Z89" s="263">
        <f>IF(Main!AS90&gt;0,Main!AS90,"")</f>
        <v>42053</v>
      </c>
      <c r="AA89" s="263">
        <f>IF(Main!BJ90&gt;0,Main!BJ90,"")</f>
        <v>42053</v>
      </c>
      <c r="AB89" s="263">
        <f>IF(Main!BC90&gt;0,Main!BC90,"")</f>
        <v>42054</v>
      </c>
      <c r="AC89" s="263">
        <f>IF(Main!AW90&gt;0,Main!AW90,"")</f>
        <v>42054</v>
      </c>
      <c r="AD89" s="263">
        <f>IF(Main!BG90&gt;0,Main!BG90,"")</f>
        <v>42054</v>
      </c>
      <c r="AE89" s="263">
        <f>IF(Main!BE90&gt;0,Main!BE90,"")</f>
        <v>42054</v>
      </c>
      <c r="AF89" s="263">
        <f>IF(Main!BM90&gt;0,Main!BM90,"")</f>
        <v>42054</v>
      </c>
      <c r="AG89" s="263" t="str">
        <f>IF(Main!BN90&gt;0,Main!BN90,"")</f>
        <v/>
      </c>
      <c r="AH89" s="263" t="str">
        <f>IF(Main!BO90&gt;0,Main!BO90,"")</f>
        <v/>
      </c>
      <c r="AI89" s="263">
        <f>IF(Main!BR90&gt;0,Main!BR90,"")</f>
        <v>42054</v>
      </c>
      <c r="AJ89" s="263">
        <f>IF(Main!BQ90&gt;0,Main!BQ90,"")</f>
        <v>42054</v>
      </c>
      <c r="AK89" s="263">
        <f>IF(Main!AV90&gt;0,Main!AV90,"")</f>
        <v>42053</v>
      </c>
      <c r="AL89" s="263">
        <f>IF(Main!AU90&gt;0,Main!AU90,"")</f>
        <v>42053</v>
      </c>
      <c r="AM89" s="263">
        <f>IF(Main!AT90&gt;0,Main!AT90,"")</f>
        <v>42053</v>
      </c>
      <c r="AN89" s="259" t="str">
        <f>Main!BW90</f>
        <v xml:space="preserve">1905 2/19/2015, 2305 2/19/2015, </v>
      </c>
    </row>
    <row r="90" spans="1:40" x14ac:dyDescent="0.25">
      <c r="A90" s="258">
        <f>Main!C91</f>
        <v>1082307</v>
      </c>
      <c r="B90" s="259" t="str">
        <f>Main!D91</f>
        <v>Rodriguez, Lorley Mariz Dagal</v>
      </c>
      <c r="C90" s="259" t="str">
        <f>Main!AH91</f>
        <v>Probationary</v>
      </c>
      <c r="D90" s="260">
        <f>Main!B91</f>
        <v>42051</v>
      </c>
      <c r="E90" s="260" t="str">
        <f>IF(Main!AI91&lt;1,"",Main!AI91)</f>
        <v>ARP</v>
      </c>
      <c r="F90" s="260" t="str">
        <f>IF(Main!AJ91&lt;1,"",Main!AJ91)</f>
        <v/>
      </c>
      <c r="G90" s="260" t="str">
        <f>IF(Main!AK91&lt;1,"",Main!AK91)</f>
        <v/>
      </c>
      <c r="H90" s="259" t="str">
        <f>Main!Y91</f>
        <v>Senior Recruiter</v>
      </c>
      <c r="I90" s="259" t="str">
        <f>Main!Z91</f>
        <v>Level 2</v>
      </c>
      <c r="J90" s="259">
        <f>IF(Main!A91&lt;1,"",Main!A91)</f>
        <v>184</v>
      </c>
      <c r="K90" s="260">
        <f>IF(Main!AN91&gt;0,Main!AN91,"")</f>
        <v>33165</v>
      </c>
      <c r="L90" s="258" t="str">
        <f>IF(Main!Q91&gt;0,Main!Q91,"")</f>
        <v>lorleymarizrodriguez@gmail.com</v>
      </c>
      <c r="M90" s="410">
        <f>VALUE(IF(Main!S91&gt;0,Main!S91,""))</f>
        <v>9351152314</v>
      </c>
      <c r="N90" s="261" t="str">
        <f>Main!T91</f>
        <v/>
      </c>
      <c r="O90" s="258" t="str">
        <f>IF(Main!AO91&gt;0,Main!AO91,"")</f>
        <v>1 Sto. Tomas Palatiw, Pasig City</v>
      </c>
      <c r="P90" s="258" t="str">
        <f>IF(Main!AP91&gt;0,Main!AP91,"")</f>
        <v/>
      </c>
      <c r="Q90" s="258" t="str">
        <f>IF(Main!AR91&gt;0,Main!AR91,"")</f>
        <v/>
      </c>
      <c r="R90" s="259" t="str">
        <f>IF(Main!AQ91&gt;0,Main!AQ91,"")</f>
        <v>Female</v>
      </c>
      <c r="S90" s="259" t="str">
        <f>IF(Main!BD91&gt;0,Main!BD91,"")</f>
        <v/>
      </c>
      <c r="T90" s="259" t="str">
        <f>IF(Main!AX91&gt;0,Main!AX91,"")</f>
        <v/>
      </c>
      <c r="U90" s="259" t="str">
        <f>IF(Main!BH91&gt;0,Main!BH91,"")</f>
        <v/>
      </c>
      <c r="V90" s="268" t="str">
        <f>IF(Main!BF91&gt;0,Main!BF91,"")</f>
        <v/>
      </c>
      <c r="W90" s="263">
        <f>IF(Main!BS91&gt;0,Main!BS91,"")</f>
        <v>42061</v>
      </c>
      <c r="X90" s="263">
        <f>IF(Main!BT91&gt;0,Main!BT91,"")</f>
        <v>42061</v>
      </c>
      <c r="Y90" s="263">
        <f>IF(Main!BU91&gt;0,Main!BU91,"")</f>
        <v>42061</v>
      </c>
      <c r="Z90" s="263" t="str">
        <f>IF(Main!AS91&gt;0,Main!AS91,"")</f>
        <v/>
      </c>
      <c r="AA90" s="263" t="str">
        <f>IF(Main!BJ91&gt;0,Main!BJ91,"")</f>
        <v/>
      </c>
      <c r="AB90" s="263" t="str">
        <f>IF(Main!BC91&gt;0,Main!BC91,"")</f>
        <v/>
      </c>
      <c r="AC90" s="263" t="str">
        <f>IF(Main!AW91&gt;0,Main!AW91,"")</f>
        <v/>
      </c>
      <c r="AD90" s="263" t="str">
        <f>IF(Main!BG91&gt;0,Main!BG91,"")</f>
        <v/>
      </c>
      <c r="AE90" s="263" t="str">
        <f>IF(Main!BE91&gt;0,Main!BE91,"")</f>
        <v/>
      </c>
      <c r="AF90" s="263" t="str">
        <f>IF(Main!BM91&gt;0,Main!BM91,"")</f>
        <v/>
      </c>
      <c r="AG90" s="263" t="str">
        <f>IF(Main!BN91&gt;0,Main!BN91,"")</f>
        <v/>
      </c>
      <c r="AH90" s="263" t="str">
        <f>IF(Main!BO91&gt;0,Main!BO91,"")</f>
        <v/>
      </c>
      <c r="AI90" s="263" t="str">
        <f>IF(Main!BR91&gt;0,Main!BR91,"")</f>
        <v/>
      </c>
      <c r="AJ90" s="263" t="str">
        <f>IF(Main!BQ91&gt;0,Main!BQ91,"")</f>
        <v/>
      </c>
      <c r="AK90" s="263" t="str">
        <f>IF(Main!AV91&gt;0,Main!AV91,"")</f>
        <v/>
      </c>
      <c r="AL90" s="263" t="str">
        <f>IF(Main!AU91&gt;0,Main!AU91,"")</f>
        <v/>
      </c>
      <c r="AM90" s="263" t="str">
        <f>IF(Main!AT91&gt;0,Main!AT91,"")</f>
        <v/>
      </c>
      <c r="AN90" s="259" t="str">
        <f>Main!BW91</f>
        <v/>
      </c>
    </row>
    <row r="91" spans="1:40" x14ac:dyDescent="0.25">
      <c r="A91" s="258">
        <f>Main!C92</f>
        <v>1082308</v>
      </c>
      <c r="B91" s="259" t="str">
        <f>Main!D92</f>
        <v>Sodusta, Kenneth Oskar Montealto</v>
      </c>
      <c r="C91" s="259" t="str">
        <f>Main!AH92</f>
        <v>Probationary</v>
      </c>
      <c r="D91" s="260">
        <f>Main!B92</f>
        <v>42051</v>
      </c>
      <c r="E91" s="260" t="str">
        <f>IF(Main!AI92&lt;1,"",Main!AI92)</f>
        <v>PSG Official Website</v>
      </c>
      <c r="F91" s="260" t="str">
        <f>IF(Main!AJ92&lt;1,"",Main!AJ92)</f>
        <v/>
      </c>
      <c r="G91" s="260" t="str">
        <f>IF(Main!AK92&lt;1,"",Main!AK92)</f>
        <v/>
      </c>
      <c r="H91" s="259" t="str">
        <f>Main!Y92</f>
        <v>Training Researcher</v>
      </c>
      <c r="I91" s="259" t="str">
        <f>Main!Z92</f>
        <v>N/A</v>
      </c>
      <c r="J91" s="259">
        <f>IF(Main!A92&lt;1,"",Main!A92)</f>
        <v>184</v>
      </c>
      <c r="K91" s="260">
        <f>IF(Main!AN92&gt;0,Main!AN92,"")</f>
        <v>33133</v>
      </c>
      <c r="L91" s="258" t="str">
        <f>IF(Main!Q92&gt;0,Main!Q92,"")</f>
        <v>kenn08.koms@gmail.com</v>
      </c>
      <c r="M91" s="410">
        <f>VALUE(IF(Main!S92&gt;0,Main!S92,""))</f>
        <v>9059609645</v>
      </c>
      <c r="N91" s="261" t="str">
        <f>Main!T92</f>
        <v>9479934152</v>
      </c>
      <c r="O91" s="258" t="str">
        <f>IF(Main!AO92&gt;0,Main!AO92,"")</f>
        <v>352 Mayon St., Brgy. Lourdes, Quezon City</v>
      </c>
      <c r="P91" s="258" t="str">
        <f>IF(Main!AP92&gt;0,Main!AP92,"")</f>
        <v>S. Flores., Oton, Iloilo</v>
      </c>
      <c r="Q91" s="258" t="str">
        <f>IF(Main!AR92&gt;0,Main!AR92,"")</f>
        <v>Single</v>
      </c>
      <c r="R91" s="259" t="str">
        <f>IF(Main!AQ92&gt;0,Main!AQ92,"")</f>
        <v>Male</v>
      </c>
      <c r="S91" s="259" t="str">
        <f>IF(Main!BD92&gt;0,Main!BD92,"")</f>
        <v>07-2647478-7</v>
      </c>
      <c r="T91" s="259" t="str">
        <f>IF(Main!AX92&gt;0,Main!AX92,"")</f>
        <v>416-238-964</v>
      </c>
      <c r="U91" s="259" t="str">
        <f>IF(Main!BH92&gt;0,Main!BH92,"")</f>
        <v>01-051589049-7</v>
      </c>
      <c r="V91" s="268" t="str">
        <f>IF(Main!BF92&gt;0,Main!BF92,"")</f>
        <v>1211-3910-3261</v>
      </c>
      <c r="W91" s="263">
        <f>IF(Main!BS92&gt;0,Main!BS92,"")</f>
        <v>42051</v>
      </c>
      <c r="X91" s="263">
        <f>IF(Main!BT92&gt;0,Main!BT92,"")</f>
        <v>42051</v>
      </c>
      <c r="Y91" s="263">
        <f>IF(Main!BU92&gt;0,Main!BU92,"")</f>
        <v>42051</v>
      </c>
      <c r="Z91" s="263">
        <f>IF(Main!AS92&gt;0,Main!AS92,"")</f>
        <v>42051</v>
      </c>
      <c r="AA91" s="263">
        <f>IF(Main!BJ92&gt;0,Main!BJ92,"")</f>
        <v>42051</v>
      </c>
      <c r="AB91" s="263">
        <f>IF(Main!BC92&gt;0,Main!BC92,"")</f>
        <v>42051</v>
      </c>
      <c r="AC91" s="263">
        <f>IF(Main!AW92&gt;0,Main!AW92,"")</f>
        <v>42066</v>
      </c>
      <c r="AD91" s="263">
        <f>IF(Main!BG92&gt;0,Main!BG92,"")</f>
        <v>42069</v>
      </c>
      <c r="AE91" s="263">
        <f>IF(Main!BE92&gt;0,Main!BE92,"")</f>
        <v>42069</v>
      </c>
      <c r="AF91" s="263">
        <f>IF(Main!BM92&gt;0,Main!BM92,"")</f>
        <v>42066</v>
      </c>
      <c r="AG91" s="263" t="str">
        <f>IF(Main!BN92&gt;0,Main!BN92,"")</f>
        <v/>
      </c>
      <c r="AH91" s="263" t="str">
        <f>IF(Main!BO92&gt;0,Main!BO92,"")</f>
        <v/>
      </c>
      <c r="AI91" s="263" t="str">
        <f>IF(Main!BR92&gt;0,Main!BR92,"")</f>
        <v/>
      </c>
      <c r="AJ91" s="263">
        <f>IF(Main!BQ92&gt;0,Main!BQ92,"")</f>
        <v>42066</v>
      </c>
      <c r="AK91" s="263">
        <f>IF(Main!AV92&gt;0,Main!AV92,"")</f>
        <v>42051</v>
      </c>
      <c r="AL91" s="263">
        <f>IF(Main!AU92&gt;0,Main!AU92,"")</f>
        <v>42051</v>
      </c>
      <c r="AM91" s="263">
        <f>IF(Main!AT92&gt;0,Main!AT92,"")</f>
        <v>42051</v>
      </c>
      <c r="AN91" s="259" t="str">
        <f>Main!BW92</f>
        <v xml:space="preserve">1905 3/3/2015, 2305 2/16/2015, MDR 3/6/2015, </v>
      </c>
    </row>
    <row r="92" spans="1:40" x14ac:dyDescent="0.25">
      <c r="A92" s="258">
        <f>Main!C93</f>
        <v>1082309</v>
      </c>
      <c r="B92" s="259" t="str">
        <f>Main!D93</f>
        <v>Soria, Marian Mae Velasquez</v>
      </c>
      <c r="C92" s="259" t="str">
        <f>Main!AH93</f>
        <v>Probationary</v>
      </c>
      <c r="D92" s="260">
        <f>Main!B93</f>
        <v>42051</v>
      </c>
      <c r="E92" s="260" t="str">
        <f>IF(Main!AI93&lt;1,"",Main!AI93)</f>
        <v/>
      </c>
      <c r="F92" s="260" t="str">
        <f>IF(Main!AJ93&lt;1,"",Main!AJ93)</f>
        <v/>
      </c>
      <c r="G92" s="260" t="str">
        <f>IF(Main!AK93&lt;1,"",Main!AK93)</f>
        <v/>
      </c>
      <c r="H92" s="259" t="str">
        <f>Main!Y93</f>
        <v>Senior Team Manager</v>
      </c>
      <c r="I92" s="259" t="str">
        <f>Main!Z93</f>
        <v>STM</v>
      </c>
      <c r="J92" s="259">
        <f>IF(Main!A93&lt;1,"",Main!A93)</f>
        <v>184</v>
      </c>
      <c r="K92" s="260">
        <f>IF(Main!AN93&gt;0,Main!AN93,"")</f>
        <v>30716</v>
      </c>
      <c r="L92" s="258" t="str">
        <f>IF(Main!Q93&gt;0,Main!Q93,"")</f>
        <v>mariansoria84@yahoo.com</v>
      </c>
      <c r="M92" s="410">
        <f>VALUE(IF(Main!S93&gt;0,Main!S93,""))</f>
        <v>9178227877</v>
      </c>
      <c r="N92" s="261" t="str">
        <f>Main!T93</f>
        <v/>
      </c>
      <c r="O92" s="258" t="str">
        <f>IF(Main!AO93&gt;0,Main!AO93,"")</f>
        <v>30 UN Steet, Better Living Subdivision, Brgy Don Bosco, Parañaque City</v>
      </c>
      <c r="P92" s="258" t="str">
        <f>IF(Main!AP93&gt;0,Main!AP93,"")</f>
        <v>48B Ocampo Avenue, Don Jose Hts, Commonwealth, Quezon City 1121</v>
      </c>
      <c r="Q92" s="258" t="str">
        <f>IF(Main!AR93&gt;0,Main!AR93,"")</f>
        <v>Married</v>
      </c>
      <c r="R92" s="259" t="str">
        <f>IF(Main!AQ93&gt;0,Main!AQ93,"")</f>
        <v>Female</v>
      </c>
      <c r="S92" s="259" t="str">
        <f>IF(Main!BD93&gt;0,Main!BD93,"")</f>
        <v>33-9645540-5</v>
      </c>
      <c r="T92" s="259" t="str">
        <f>IF(Main!AX93&gt;0,Main!AX93,"")</f>
        <v>240-019-824</v>
      </c>
      <c r="U92" s="259" t="str">
        <f>IF(Main!BH93&gt;0,Main!BH93,"")</f>
        <v>01-050571093-8</v>
      </c>
      <c r="V92" s="268" t="str">
        <f>IF(Main!BF93&gt;0,Main!BF93,"")</f>
        <v>1010-0267-9567</v>
      </c>
      <c r="W92" s="263">
        <f>IF(Main!BS93&gt;0,Main!BS93,"")</f>
        <v>42051</v>
      </c>
      <c r="X92" s="263">
        <f>IF(Main!BT93&gt;0,Main!BT93,"")</f>
        <v>42051</v>
      </c>
      <c r="Y92" s="263">
        <f>IF(Main!BU93&gt;0,Main!BU93,"")</f>
        <v>42051</v>
      </c>
      <c r="Z92" s="263">
        <f>IF(Main!AS93&gt;0,Main!AS93,"")</f>
        <v>42051</v>
      </c>
      <c r="AA92" s="263">
        <f>IF(Main!BJ93&gt;0,Main!BJ93,"")</f>
        <v>42051</v>
      </c>
      <c r="AB92" s="263">
        <f>IF(Main!BC93&gt;0,Main!BC93,"")</f>
        <v>42051</v>
      </c>
      <c r="AC92" s="263">
        <f>IF(Main!AW93&gt;0,Main!AW93,"")</f>
        <v>42051</v>
      </c>
      <c r="AD92" s="263">
        <f>IF(Main!BG93&gt;0,Main!BG93,"")</f>
        <v>42051</v>
      </c>
      <c r="AE92" s="263">
        <f>IF(Main!BE93&gt;0,Main!BE93,"")</f>
        <v>42051</v>
      </c>
      <c r="AF92" s="263">
        <f>IF(Main!BM93&gt;0,Main!BM93,"")</f>
        <v>42051</v>
      </c>
      <c r="AG92" s="263">
        <f>IF(Main!BN93&gt;0,Main!BN93,"")</f>
        <v>42051</v>
      </c>
      <c r="AH92" s="263">
        <f>IF(Main!BO93&gt;0,Main!BO93,"")</f>
        <v>42051</v>
      </c>
      <c r="AI92" s="263">
        <f>IF(Main!BR93&gt;0,Main!BR93,"")</f>
        <v>42051</v>
      </c>
      <c r="AJ92" s="263">
        <f>IF(Main!BQ93&gt;0,Main!BQ93,"")</f>
        <v>42051</v>
      </c>
      <c r="AK92" s="263">
        <f>IF(Main!AV93&gt;0,Main!AV93,"")</f>
        <v>42051</v>
      </c>
      <c r="AL92" s="263">
        <f>IF(Main!AU93&gt;0,Main!AU93,"")</f>
        <v>42051</v>
      </c>
      <c r="AM92" s="263">
        <f>IF(Main!AT93&gt;0,Main!AT93,"")</f>
        <v>42051</v>
      </c>
      <c r="AN92" s="259" t="str">
        <f>Main!BW93</f>
        <v xml:space="preserve">1905 2/16/2015, 2305 2/16/2015, MDR 2/16/2015, </v>
      </c>
    </row>
    <row r="93" spans="1:40" s="265" customFormat="1" ht="15.75" thickBot="1" x14ac:dyDescent="0.3">
      <c r="A93" s="258">
        <f>Main!C94</f>
        <v>1082310</v>
      </c>
      <c r="B93" s="259" t="str">
        <f>Main!D94</f>
        <v>Tantoco, Maria Christina</v>
      </c>
      <c r="C93" s="259" t="str">
        <f>Main!AH94</f>
        <v>Probationary</v>
      </c>
      <c r="D93" s="260">
        <f>Main!B94</f>
        <v>42051</v>
      </c>
      <c r="E93" s="260" t="str">
        <f>IF(Main!AI94&lt;1,"",Main!AI94)</f>
        <v/>
      </c>
      <c r="F93" s="260" t="str">
        <f>IF(Main!AJ94&lt;1,"",Main!AJ94)</f>
        <v/>
      </c>
      <c r="G93" s="260" t="str">
        <f>IF(Main!AK94&lt;1,"",Main!AK94)</f>
        <v/>
      </c>
      <c r="H93" s="259" t="str">
        <f>Main!Y94</f>
        <v>Senior Team Manager</v>
      </c>
      <c r="I93" s="259" t="str">
        <f>Main!Z94</f>
        <v>STM</v>
      </c>
      <c r="J93" s="259">
        <f>IF(Main!A94&lt;1,"",Main!A94)</f>
        <v>184</v>
      </c>
      <c r="K93" s="260" t="str">
        <f>IF(Main!AN94&gt;0,Main!AN94,"")</f>
        <v/>
      </c>
      <c r="L93" s="258" t="str">
        <f>IF(Main!Q94&gt;0,Main!Q94,"")</f>
        <v/>
      </c>
      <c r="M93" s="410"/>
      <c r="N93" s="261" t="str">
        <f>Main!T94</f>
        <v/>
      </c>
      <c r="O93" s="258" t="str">
        <f>IF(Main!AO94&gt;0,Main!AO94,"")</f>
        <v>333 Green Palm Corner Red Palm SPS Subdivision, Malinao, Pasig City</v>
      </c>
      <c r="P93" s="258" t="str">
        <f>IF(Main!AP94&gt;0,Main!AP94,"")</f>
        <v>333 Green Palm Corner Red Palm SPS Subdivision, Malinao, Pasig City</v>
      </c>
      <c r="Q93" s="258" t="str">
        <f>IF(Main!AR94&gt;0,Main!AR94,"")</f>
        <v>Single</v>
      </c>
      <c r="R93" s="259" t="str">
        <f>IF(Main!AQ94&gt;0,Main!AQ94,"")</f>
        <v>Female</v>
      </c>
      <c r="S93" s="259" t="str">
        <f>IF(Main!BD94&gt;0,Main!BD94,"")</f>
        <v>33-5034691-6</v>
      </c>
      <c r="T93" s="259" t="str">
        <f>IF(Main!AX94&gt;0,Main!AX94,"")</f>
        <v>249-000-161</v>
      </c>
      <c r="U93" s="259" t="str">
        <f>IF(Main!BH94&gt;0,Main!BH94,"")</f>
        <v>01-051723816-9</v>
      </c>
      <c r="V93" s="268" t="str">
        <f>IF(Main!BF94&gt;0,Main!BF94,"")</f>
        <v>1010-0120-4682</v>
      </c>
      <c r="W93" s="263">
        <f>IF(Main!BS94&gt;0,Main!BS94,"")</f>
        <v>42051</v>
      </c>
      <c r="X93" s="263">
        <f>IF(Main!BT94&gt;0,Main!BT94,"")</f>
        <v>42051</v>
      </c>
      <c r="Y93" s="263">
        <f>IF(Main!BU94&gt;0,Main!BU94,"")</f>
        <v>42051</v>
      </c>
      <c r="Z93" s="263">
        <f>IF(Main!AS94&gt;0,Main!AS94,"")</f>
        <v>42104</v>
      </c>
      <c r="AA93" s="263">
        <f>IF(Main!BJ94&gt;0,Main!BJ94,"")</f>
        <v>42104</v>
      </c>
      <c r="AB93" s="263">
        <f>IF(Main!BC94&gt;0,Main!BC94,"")</f>
        <v>42125</v>
      </c>
      <c r="AC93" s="263">
        <f>IF(Main!AW94&gt;0,Main!AW94,"")</f>
        <v>42125</v>
      </c>
      <c r="AD93" s="263">
        <f>IF(Main!BG94&gt;0,Main!BG94,"")</f>
        <v>42125</v>
      </c>
      <c r="AE93" s="263">
        <f>IF(Main!BE94&gt;0,Main!BE94,"")</f>
        <v>42130</v>
      </c>
      <c r="AF93" s="263">
        <f>IF(Main!BM94&gt;0,Main!BM94,"")</f>
        <v>42104</v>
      </c>
      <c r="AG93" s="263" t="str">
        <f>IF(Main!BN94&gt;0,Main!BN94,"")</f>
        <v/>
      </c>
      <c r="AH93" s="263" t="str">
        <f>IF(Main!BO94&gt;0,Main!BO94,"")</f>
        <v/>
      </c>
      <c r="AI93" s="263" t="str">
        <f>IF(Main!BR94&gt;0,Main!BR94,"")</f>
        <v/>
      </c>
      <c r="AJ93" s="263" t="str">
        <f>IF(Main!BQ94&gt;0,Main!BQ94,"")</f>
        <v/>
      </c>
      <c r="AK93" s="263">
        <f>IF(Main!AV94&gt;0,Main!AV94,"")</f>
        <v>42104</v>
      </c>
      <c r="AL93" s="263">
        <f>IF(Main!AU94&gt;0,Main!AU94,"")</f>
        <v>42090</v>
      </c>
      <c r="AM93" s="263">
        <f>IF(Main!AT94&gt;0,Main!AT94,"")</f>
        <v>42090</v>
      </c>
      <c r="AN93" s="259" t="str">
        <f>Main!BW94</f>
        <v xml:space="preserve">1905 5/1/2015, 2305 4/10/2015, </v>
      </c>
    </row>
    <row r="94" spans="1:40" ht="15.75" thickTop="1" x14ac:dyDescent="0.25">
      <c r="A94" s="258">
        <f>Main!C95</f>
        <v>1082311</v>
      </c>
      <c r="B94" s="259" t="str">
        <f>Main!D95</f>
        <v>Bartolome, Maybel Rose Pelagio</v>
      </c>
      <c r="C94" s="259" t="str">
        <f>Main!AH95</f>
        <v>Probationary</v>
      </c>
      <c r="D94" s="260">
        <f>Main!B95</f>
        <v>42058</v>
      </c>
      <c r="E94" s="260" t="str">
        <f>IF(Main!AI95&lt;1,"",Main!AI95)</f>
        <v>Jobstreet</v>
      </c>
      <c r="F94" s="260" t="str">
        <f>IF(Main!AJ95&lt;1,"",Main!AJ95)</f>
        <v/>
      </c>
      <c r="G94" s="260" t="str">
        <f>IF(Main!AK95&lt;1,"",Main!AK95)</f>
        <v/>
      </c>
      <c r="H94" s="259" t="str">
        <f>Main!Y95</f>
        <v>Reporting Specialist</v>
      </c>
      <c r="I94" s="259" t="str">
        <f>Main!Z95</f>
        <v>Level 2</v>
      </c>
      <c r="J94" s="259">
        <f>IF(Main!A95&lt;1,"",Main!A95)</f>
        <v>185</v>
      </c>
      <c r="K94" s="260">
        <f>IF(Main!AN95&gt;0,Main!AN95,"")</f>
        <v>31888</v>
      </c>
      <c r="L94" s="258" t="str">
        <f>IF(Main!Q95&gt;0,Main!Q95,"")</f>
        <v>maybelpbartolome@gmail.com</v>
      </c>
      <c r="M94" s="410">
        <f>VALUE(IF(Main!S95&gt;0,Main!S95,""))</f>
        <v>9178394853</v>
      </c>
      <c r="N94" s="261" t="str">
        <f>Main!T95</f>
        <v/>
      </c>
      <c r="O94" s="258" t="str">
        <f>IF(Main!AO95&gt;0,Main!AO95,"")</f>
        <v>Blk 29 Lot 16 Phase 6 Carmona Estates, Carmona Cavite</v>
      </c>
      <c r="P94" s="258" t="str">
        <f>IF(Main!AP95&gt;0,Main!AP95,"")</f>
        <v/>
      </c>
      <c r="Q94" s="258" t="str">
        <f>IF(Main!AR95&gt;0,Main!AR95,"")</f>
        <v>Female</v>
      </c>
      <c r="R94" s="259" t="str">
        <f>IF(Main!AQ95&gt;0,Main!AQ95,"")</f>
        <v>Male</v>
      </c>
      <c r="S94" s="259" t="str">
        <f>IF(Main!BD95&gt;0,Main!BD95,"")</f>
        <v>04-2057862-0</v>
      </c>
      <c r="T94" s="259" t="str">
        <f>IF(Main!AX95&gt;0,Main!AX95,"")</f>
        <v>286-165-108</v>
      </c>
      <c r="U94" s="259" t="str">
        <f>IF(Main!BH95&gt;0,Main!BH95,"")</f>
        <v>01-050674342-2</v>
      </c>
      <c r="V94" s="268" t="str">
        <f>IF(Main!BF95&gt;0,Main!BF95,"")</f>
        <v>1210-2762-7277</v>
      </c>
      <c r="W94" s="263">
        <f>IF(Main!BS95&gt;0,Main!BS95,"")</f>
        <v>42054</v>
      </c>
      <c r="X94" s="263">
        <f>IF(Main!BT95&gt;0,Main!BT95,"")</f>
        <v>42054</v>
      </c>
      <c r="Y94" s="263">
        <f>IF(Main!BU95&gt;0,Main!BU95,"")</f>
        <v>42054</v>
      </c>
      <c r="Z94" s="263">
        <f>IF(Main!AS95&gt;0,Main!AS95,"")</f>
        <v>42072</v>
      </c>
      <c r="AA94" s="263">
        <f>IF(Main!BJ95&gt;0,Main!BJ95,"")</f>
        <v>42081</v>
      </c>
      <c r="AB94" s="263">
        <f>IF(Main!BC95&gt;0,Main!BC95,"")</f>
        <v>42072</v>
      </c>
      <c r="AC94" s="263">
        <f>IF(Main!AW95&gt;0,Main!AW95,"")</f>
        <v>42072</v>
      </c>
      <c r="AD94" s="263">
        <f>IF(Main!BG95&gt;0,Main!BG95,"")</f>
        <v>42072</v>
      </c>
      <c r="AE94" s="263">
        <f>IF(Main!BE95&gt;0,Main!BE95,"")</f>
        <v>42072</v>
      </c>
      <c r="AF94" s="263">
        <f>IF(Main!BM95&gt;0,Main!BM95,"")</f>
        <v>42072</v>
      </c>
      <c r="AG94" s="263">
        <f>IF(Main!BN95&gt;0,Main!BN95,"")</f>
        <v>42072</v>
      </c>
      <c r="AH94" s="263">
        <f>IF(Main!BO95&gt;0,Main!BO95,"")</f>
        <v>42072</v>
      </c>
      <c r="AI94" s="263" t="str">
        <f>IF(Main!BR95&gt;0,Main!BR95,"")</f>
        <v/>
      </c>
      <c r="AJ94" s="263">
        <f>IF(Main!BQ95&gt;0,Main!BQ95,"")</f>
        <v>42072</v>
      </c>
      <c r="AK94" s="263">
        <f>IF(Main!AV95&gt;0,Main!AV95,"")</f>
        <v>42072</v>
      </c>
      <c r="AL94" s="263">
        <f>IF(Main!AU95&gt;0,Main!AU95,"")</f>
        <v>42072</v>
      </c>
      <c r="AM94" s="263">
        <f>IF(Main!AT95&gt;0,Main!AT95,"")</f>
        <v>42072</v>
      </c>
      <c r="AN94" s="259" t="str">
        <f>Main!BW95</f>
        <v xml:space="preserve">1905 3/9/2015, 2305 3/17/2015, MDR 3/9/2015, </v>
      </c>
    </row>
    <row r="95" spans="1:40" x14ac:dyDescent="0.25">
      <c r="A95" s="258">
        <f>Main!C96</f>
        <v>1082312</v>
      </c>
      <c r="B95" s="259" t="str">
        <f>Main!D96</f>
        <v>Casanova, Shiela Punzalan</v>
      </c>
      <c r="C95" s="259" t="str">
        <f>Main!AH96</f>
        <v>Probationary</v>
      </c>
      <c r="D95" s="260">
        <f>Main!B96</f>
        <v>42058</v>
      </c>
      <c r="E95" s="260" t="str">
        <f>IF(Main!AI96&lt;1,"",Main!AI96)</f>
        <v>Jobstreet</v>
      </c>
      <c r="F95" s="260" t="str">
        <f>IF(Main!AJ96&lt;1,"",Main!AJ96)</f>
        <v/>
      </c>
      <c r="G95" s="260" t="str">
        <f>IF(Main!AK96&lt;1,"",Main!AK96)</f>
        <v/>
      </c>
      <c r="H95" s="259" t="str">
        <f>Main!Y96</f>
        <v>Senior Recruiter</v>
      </c>
      <c r="I95" s="259" t="str">
        <f>Main!Z96</f>
        <v>Level 2</v>
      </c>
      <c r="J95" s="259">
        <f>IF(Main!A96&lt;1,"",Main!A96)</f>
        <v>185</v>
      </c>
      <c r="K95" s="260">
        <f>IF(Main!AN96&gt;0,Main!AN96,"")</f>
        <v>30707</v>
      </c>
      <c r="L95" s="258" t="str">
        <f>IF(Main!Q96&gt;0,Main!Q96,"")</f>
        <v/>
      </c>
      <c r="M95" s="410">
        <f>VALUE(IF(Main!S96&gt;0,Main!S96,""))</f>
        <v>9278893191</v>
      </c>
      <c r="N95" s="261" t="str">
        <f>Main!T96</f>
        <v/>
      </c>
      <c r="O95" s="258" t="str">
        <f>IF(Main!AO96&gt;0,Main!AO96,"")</f>
        <v># 1171 J.P. Rizal, Makati City</v>
      </c>
      <c r="P95" s="258" t="str">
        <f>IF(Main!AP96&gt;0,Main!AP96,"")</f>
        <v># 180 Calamias, Ibaan, Batangas</v>
      </c>
      <c r="Q95" s="258" t="str">
        <f>IF(Main!AR96&gt;0,Main!AR96,"")</f>
        <v>Married</v>
      </c>
      <c r="R95" s="259" t="str">
        <f>IF(Main!AQ96&gt;0,Main!AQ96,"")</f>
        <v>Female</v>
      </c>
      <c r="S95" s="259" t="str">
        <f>IF(Main!BD96&gt;0,Main!BD96,"")</f>
        <v>04-1474802-6</v>
      </c>
      <c r="T95" s="259" t="str">
        <f>IF(Main!AX96&gt;0,Main!AX96,"")</f>
        <v>304-319-834</v>
      </c>
      <c r="U95" s="259" t="str">
        <f>IF(Main!BH96&gt;0,Main!BH96,"")</f>
        <v>09-050098643-2</v>
      </c>
      <c r="V95" s="268" t="str">
        <f>IF(Main!BF96&gt;0,Main!BF96,"")</f>
        <v>1040-0088-0650</v>
      </c>
      <c r="W95" s="263">
        <f>IF(Main!BS96&gt;0,Main!BS96,"")</f>
        <v>42059</v>
      </c>
      <c r="X95" s="263">
        <f>IF(Main!BT96&gt;0,Main!BT96,"")</f>
        <v>42059</v>
      </c>
      <c r="Y95" s="263">
        <f>IF(Main!BU96&gt;0,Main!BU96,"")</f>
        <v>42059</v>
      </c>
      <c r="Z95" s="263">
        <f>IF(Main!AS96&gt;0,Main!AS96,"")</f>
        <v>42069</v>
      </c>
      <c r="AA95" s="263">
        <f>IF(Main!BJ96&gt;0,Main!BJ96,"")</f>
        <v>42073</v>
      </c>
      <c r="AB95" s="263">
        <f>IF(Main!BC96&gt;0,Main!BC96,"")</f>
        <v>42069</v>
      </c>
      <c r="AC95" s="263">
        <f>IF(Main!AW96&gt;0,Main!AW96,"")</f>
        <v>42066</v>
      </c>
      <c r="AD95" s="263">
        <f>IF(Main!BG96&gt;0,Main!BG96,"")</f>
        <v>42066</v>
      </c>
      <c r="AE95" s="263">
        <f>IF(Main!BE96&gt;0,Main!BE96,"")</f>
        <v>42060</v>
      </c>
      <c r="AF95" s="263">
        <f>IF(Main!BM96&gt;0,Main!BM96,"")</f>
        <v>42066</v>
      </c>
      <c r="AG95" s="263">
        <f>IF(Main!BN96&gt;0,Main!BN96,"")</f>
        <v>42066</v>
      </c>
      <c r="AH95" s="263">
        <f>IF(Main!BO96&gt;0,Main!BO96,"")</f>
        <v>42066</v>
      </c>
      <c r="AI95" s="263">
        <f>IF(Main!BR96&gt;0,Main!BR96,"")</f>
        <v>42066</v>
      </c>
      <c r="AJ95" s="263">
        <f>IF(Main!BQ96&gt;0,Main!BQ96,"")</f>
        <v>42066</v>
      </c>
      <c r="AK95" s="263">
        <f>IF(Main!AV96&gt;0,Main!AV96,"")</f>
        <v>42060</v>
      </c>
      <c r="AL95" s="263">
        <f>IF(Main!AU96&gt;0,Main!AU96,"")</f>
        <v>42069</v>
      </c>
      <c r="AM95" s="263">
        <f>IF(Main!AT96&gt;0,Main!AT96,"")</f>
        <v>42069</v>
      </c>
      <c r="AN95" s="259" t="str">
        <f>Main!BW96</f>
        <v xml:space="preserve">1905 3/3/2015, 2305 3/6/2015, MDR 3/3/2015, NBI receipt 3/3/2015, </v>
      </c>
    </row>
    <row r="96" spans="1:40" x14ac:dyDescent="0.25">
      <c r="A96" s="258">
        <f>Main!C97</f>
        <v>1082313</v>
      </c>
      <c r="B96" s="259" t="str">
        <f>Main!D97</f>
        <v>Regudo, Dianne Nicolas</v>
      </c>
      <c r="C96" s="259" t="str">
        <f>Main!AH97</f>
        <v>Probationary</v>
      </c>
      <c r="D96" s="260">
        <f>Main!B97</f>
        <v>42058</v>
      </c>
      <c r="E96" s="260" t="str">
        <f>IF(Main!AI97&lt;1,"",Main!AI97)</f>
        <v>Jobstreet</v>
      </c>
      <c r="F96" s="260" t="str">
        <f>IF(Main!AJ97&lt;1,"",Main!AJ97)</f>
        <v/>
      </c>
      <c r="G96" s="260" t="str">
        <f>IF(Main!AK97&lt;1,"",Main!AK97)</f>
        <v/>
      </c>
      <c r="H96" s="259" t="str">
        <f>Main!Y97</f>
        <v>Senior Recruiter</v>
      </c>
      <c r="I96" s="259" t="str">
        <f>Main!Z97</f>
        <v>Level 1</v>
      </c>
      <c r="J96" s="259">
        <f>IF(Main!A97&lt;1,"",Main!A97)</f>
        <v>185</v>
      </c>
      <c r="K96" s="260">
        <f>IF(Main!AN97&gt;0,Main!AN97,"")</f>
        <v>34298</v>
      </c>
      <c r="L96" s="258" t="str">
        <f>IF(Main!Q97&gt;0,Main!Q97,"")</f>
        <v>regudodianne@ymail.com</v>
      </c>
      <c r="M96" s="410">
        <f>VALUE(IF(Main!S97&gt;0,Main!S97,""))</f>
        <v>9263659304</v>
      </c>
      <c r="N96" s="261" t="str">
        <f>Main!T97</f>
        <v/>
      </c>
      <c r="O96" s="258" t="str">
        <f>IF(Main!AO97&gt;0,Main!AO97,"")</f>
        <v>032 Belen St. RP Gulod Novaliches Quezon City</v>
      </c>
      <c r="P96" s="258" t="str">
        <f>IF(Main!AP97&gt;0,Main!AP97,"")</f>
        <v>032 Belen St. RP Gulod Novaliches Quezon City</v>
      </c>
      <c r="Q96" s="258" t="str">
        <f>IF(Main!AR97&gt;0,Main!AR97,"")</f>
        <v>Single</v>
      </c>
      <c r="R96" s="259" t="str">
        <f>IF(Main!AQ97&gt;0,Main!AQ97,"")</f>
        <v>Female</v>
      </c>
      <c r="S96" s="259" t="str">
        <f>IF(Main!BD97&gt;0,Main!BD97,"")</f>
        <v>3-44304760-1</v>
      </c>
      <c r="T96" s="259" t="str">
        <f>IF(Main!AX97&gt;0,Main!AX97,"")</f>
        <v>317-273-715</v>
      </c>
      <c r="U96" s="259" t="str">
        <f>IF(Main!BH97&gt;0,Main!BH97,"")</f>
        <v>01-051915133-8</v>
      </c>
      <c r="V96" s="268" t="str">
        <f>IF(Main!BF97&gt;0,Main!BF97,"")</f>
        <v>1211-0886-2533</v>
      </c>
      <c r="W96" s="263">
        <f>IF(Main!BS97&gt;0,Main!BS97,"")</f>
        <v>42059</v>
      </c>
      <c r="X96" s="263">
        <f>IF(Main!BT97&gt;0,Main!BT97,"")</f>
        <v>42059</v>
      </c>
      <c r="Y96" s="263">
        <f>IF(Main!BU97&gt;0,Main!BU97,"")</f>
        <v>42059</v>
      </c>
      <c r="Z96" s="263">
        <f>IF(Main!AS97&gt;0,Main!AS97,"")</f>
        <v>42060</v>
      </c>
      <c r="AA96" s="263">
        <f>IF(Main!BJ97&gt;0,Main!BJ97,"")</f>
        <v>42060</v>
      </c>
      <c r="AB96" s="263">
        <f>IF(Main!BC97&gt;0,Main!BC97,"")</f>
        <v>42060</v>
      </c>
      <c r="AC96" s="263">
        <f>IF(Main!AW97&gt;0,Main!AW97,"")</f>
        <v>42061</v>
      </c>
      <c r="AD96" s="263">
        <f>IF(Main!BG97&gt;0,Main!BG97,"")</f>
        <v>42060</v>
      </c>
      <c r="AE96" s="263">
        <f>IF(Main!BE97&gt;0,Main!BE97,"")</f>
        <v>42060</v>
      </c>
      <c r="AF96" s="263">
        <f>IF(Main!BM97&gt;0,Main!BM97,"")</f>
        <v>42060</v>
      </c>
      <c r="AG96" s="263" t="str">
        <f>IF(Main!BN97&gt;0,Main!BN97,"")</f>
        <v/>
      </c>
      <c r="AH96" s="263" t="str">
        <f>IF(Main!BO97&gt;0,Main!BO97,"")</f>
        <v/>
      </c>
      <c r="AI96" s="263" t="str">
        <f>IF(Main!BR97&gt;0,Main!BR97,"")</f>
        <v/>
      </c>
      <c r="AJ96" s="263">
        <f>IF(Main!BQ97&gt;0,Main!BQ97,"")</f>
        <v>42060</v>
      </c>
      <c r="AK96" s="263">
        <f>IF(Main!AV97&gt;0,Main!AV97,"")</f>
        <v>42060</v>
      </c>
      <c r="AL96" s="263">
        <f>IF(Main!AU97&gt;0,Main!AU97,"")</f>
        <v>42060</v>
      </c>
      <c r="AM96" s="263">
        <f>IF(Main!AT97&gt;0,Main!AT97,"")</f>
        <v>42060</v>
      </c>
      <c r="AN96" s="259" t="str">
        <f>Main!BW97</f>
        <v xml:space="preserve">1905 2/25/2015, 2305 2/25/2015, MDR 2/25/2015, </v>
      </c>
    </row>
    <row r="97" spans="1:40" x14ac:dyDescent="0.25">
      <c r="A97" s="258">
        <f>Main!C98</f>
        <v>1082314</v>
      </c>
      <c r="B97" s="259" t="str">
        <f>Main!D98</f>
        <v>Silang, Reggie Salivio</v>
      </c>
      <c r="C97" s="259" t="str">
        <f>Main!AH98</f>
        <v>Probationary</v>
      </c>
      <c r="D97" s="260">
        <f>Main!B98</f>
        <v>42058</v>
      </c>
      <c r="E97" s="260" t="str">
        <f>IF(Main!AI98&lt;1,"",Main!AI98)</f>
        <v>Jobstreet</v>
      </c>
      <c r="F97" s="260" t="str">
        <f>IF(Main!AJ98&lt;1,"",Main!AJ98)</f>
        <v/>
      </c>
      <c r="G97" s="260" t="str">
        <f>IF(Main!AK98&lt;1,"",Main!AK98)</f>
        <v/>
      </c>
      <c r="H97" s="259" t="str">
        <f>Main!Y98</f>
        <v>Senior Recruiter</v>
      </c>
      <c r="I97" s="259" t="str">
        <f>Main!Z98</f>
        <v>Level 2</v>
      </c>
      <c r="J97" s="259">
        <f>IF(Main!A98&lt;1,"",Main!A98)</f>
        <v>185</v>
      </c>
      <c r="K97" s="260">
        <f>IF(Main!AN98&gt;0,Main!AN98,"")</f>
        <v>31078</v>
      </c>
      <c r="L97" s="258" t="str">
        <f>IF(Main!Q98&gt;0,Main!Q98,"")</f>
        <v>reggie.silang@icloud.com</v>
      </c>
      <c r="M97" s="410">
        <f>VALUE(IF(Main!S98&gt;0,Main!S98,""))</f>
        <v>9157092928</v>
      </c>
      <c r="N97" s="261" t="str">
        <f>Main!T98</f>
        <v>9283102222</v>
      </c>
      <c r="O97" s="258" t="str">
        <f>IF(Main!AO98&gt;0,Main!AO98,"")</f>
        <v>Blk 19, Lt 25 Cerritos Heights Camella Homes Subd Daang Hari Bacoor Cavite</v>
      </c>
      <c r="P97" s="258" t="str">
        <f>IF(Main!AP98&gt;0,Main!AP98,"")</f>
        <v/>
      </c>
      <c r="Q97" s="258" t="str">
        <f>IF(Main!AR98&gt;0,Main!AR98,"")</f>
        <v>Single</v>
      </c>
      <c r="R97" s="259" t="str">
        <f>IF(Main!AQ98&gt;0,Main!AQ98,"")</f>
        <v>Male</v>
      </c>
      <c r="S97" s="259" t="str">
        <f>IF(Main!BD98&gt;0,Main!BD98,"")</f>
        <v>07-2317315-9</v>
      </c>
      <c r="T97" s="259" t="str">
        <f>IF(Main!AX98&gt;0,Main!AX98,"")</f>
        <v>302-784-097</v>
      </c>
      <c r="U97" s="259" t="str">
        <f>IF(Main!BH98&gt;0,Main!BH98,"")</f>
        <v>11-050317528-2</v>
      </c>
      <c r="V97" s="268" t="str">
        <f>IF(Main!BF98&gt;0,Main!BF98,"")</f>
        <v>1590-0067-3762</v>
      </c>
      <c r="W97" s="263">
        <f>IF(Main!BS98&gt;0,Main!BS98,"")</f>
        <v>42059</v>
      </c>
      <c r="X97" s="263">
        <f>IF(Main!BT98&gt;0,Main!BT98,"")</f>
        <v>42059</v>
      </c>
      <c r="Y97" s="263">
        <f>IF(Main!BU98&gt;0,Main!BU98,"")</f>
        <v>42059</v>
      </c>
      <c r="Z97" s="263">
        <f>IF(Main!AS98&gt;0,Main!AS98,"")</f>
        <v>42060</v>
      </c>
      <c r="AA97" s="263" t="str">
        <f>IF(Main!BJ98&gt;0,Main!BJ98,"")</f>
        <v/>
      </c>
      <c r="AB97" s="263">
        <f>IF(Main!BC98&gt;0,Main!BC98,"")</f>
        <v>42060</v>
      </c>
      <c r="AC97" s="263">
        <f>IF(Main!AW98&gt;0,Main!AW98,"")</f>
        <v>42066</v>
      </c>
      <c r="AD97" s="263">
        <f>IF(Main!BG98&gt;0,Main!BG98,"")</f>
        <v>42066</v>
      </c>
      <c r="AE97" s="263">
        <f>IF(Main!BE98&gt;0,Main!BE98,"")</f>
        <v>42066</v>
      </c>
      <c r="AF97" s="263" t="str">
        <f>IF(Main!BM98&gt;0,Main!BM98,"")</f>
        <v/>
      </c>
      <c r="AG97" s="263" t="str">
        <f>IF(Main!BN98&gt;0,Main!BN98,"")</f>
        <v/>
      </c>
      <c r="AH97" s="263" t="str">
        <f>IF(Main!BO98&gt;0,Main!BO98,"")</f>
        <v/>
      </c>
      <c r="AI97" s="263" t="str">
        <f>IF(Main!BR98&gt;0,Main!BR98,"")</f>
        <v/>
      </c>
      <c r="AJ97" s="263" t="str">
        <f>IF(Main!BQ98&gt;0,Main!BQ98,"")</f>
        <v/>
      </c>
      <c r="AK97" s="263">
        <f>IF(Main!AV98&gt;0,Main!AV98,"")</f>
        <v>42060</v>
      </c>
      <c r="AL97" s="263">
        <f>IF(Main!AU98&gt;0,Main!AU98,"")</f>
        <v>42060</v>
      </c>
      <c r="AM97" s="263">
        <f>IF(Main!AT98&gt;0,Main!AT98,"")</f>
        <v>42060</v>
      </c>
      <c r="AN97" s="259" t="str">
        <f>Main!BW98</f>
        <v xml:space="preserve">2305 (for processing) 3/5/2015, MDR 3/3/2015, </v>
      </c>
    </row>
    <row r="98" spans="1:40" x14ac:dyDescent="0.25">
      <c r="A98" s="258">
        <f>Main!C99</f>
        <v>1082315</v>
      </c>
      <c r="B98" s="259" t="str">
        <f>Main!D99</f>
        <v xml:space="preserve">Nermal, Maria Madeline </v>
      </c>
      <c r="C98" s="259" t="str">
        <f>Main!AH99</f>
        <v>Probationary</v>
      </c>
      <c r="D98" s="260">
        <f>Main!B99</f>
        <v>42058</v>
      </c>
      <c r="E98" s="260" t="str">
        <f>IF(Main!AI99&lt;1,"",Main!AI99)</f>
        <v>ERP</v>
      </c>
      <c r="F98" s="260" t="str">
        <f>IF(Main!AJ99&lt;1,"",Main!AJ99)</f>
        <v>Samantha Largo</v>
      </c>
      <c r="G98" s="260" t="str">
        <f>IF(Main!AK99&lt;1,"",Main!AK99)</f>
        <v/>
      </c>
      <c r="H98" s="259" t="str">
        <f>Main!Y99</f>
        <v>Senior Recruiter</v>
      </c>
      <c r="I98" s="259" t="str">
        <f>Main!Z99</f>
        <v>Level 2</v>
      </c>
      <c r="J98" s="259">
        <f>IF(Main!A99&lt;1,"",Main!A99)</f>
        <v>185</v>
      </c>
      <c r="K98" s="260">
        <f>IF(Main!AN99&gt;0,Main!AN99,"")</f>
        <v>33424</v>
      </c>
      <c r="L98" s="258" t="str">
        <f>IF(Main!Q99&gt;0,Main!Q99,"")</f>
        <v>mariamadeline_05@yahoo.com</v>
      </c>
      <c r="M98" s="410">
        <f>VALUE(IF(Main!S99&gt;0,Main!S99,""))</f>
        <v>9157103553</v>
      </c>
      <c r="N98" s="261" t="str">
        <f>Main!T99</f>
        <v/>
      </c>
      <c r="O98" s="258" t="str">
        <f>IF(Main!AO99&gt;0,Main!AO99,"")</f>
        <v>12 Saturn St. Bel-Air 2 Makati City</v>
      </c>
      <c r="P98" s="258" t="str">
        <f>IF(Main!AP99&gt;0,Main!AP99,"")</f>
        <v>12 Saturn St. Bel-Air 2 Makati City</v>
      </c>
      <c r="Q98" s="258" t="str">
        <f>IF(Main!AR99&gt;0,Main!AR99,"")</f>
        <v>Single</v>
      </c>
      <c r="R98" s="259" t="str">
        <f>IF(Main!AQ99&gt;0,Main!AQ99,"")</f>
        <v>Female</v>
      </c>
      <c r="S98" s="259" t="str">
        <f>IF(Main!BD99&gt;0,Main!BD99,"")</f>
        <v>34-2695819-9</v>
      </c>
      <c r="T98" s="259" t="str">
        <f>IF(Main!AX99&gt;0,Main!AX99,"")</f>
        <v/>
      </c>
      <c r="U98" s="259" t="str">
        <f>IF(Main!BH99&gt;0,Main!BH99,"")</f>
        <v>01-051222465-8</v>
      </c>
      <c r="V98" s="268" t="str">
        <f>IF(Main!BF99&gt;0,Main!BF99,"")</f>
        <v>1211-2850-2233</v>
      </c>
      <c r="W98" s="263">
        <f>IF(Main!BS99&gt;0,Main!BS99,"")</f>
        <v>42059</v>
      </c>
      <c r="X98" s="263">
        <f>IF(Main!BT99&gt;0,Main!BT99,"")</f>
        <v>42059</v>
      </c>
      <c r="Y98" s="263">
        <f>IF(Main!BU99&gt;0,Main!BU99,"")</f>
        <v>42059</v>
      </c>
      <c r="Z98" s="263">
        <f>IF(Main!AS99&gt;0,Main!AS99,"")</f>
        <v>42060</v>
      </c>
      <c r="AA98" s="263">
        <f>IF(Main!BJ99&gt;0,Main!BJ99,"")</f>
        <v>42060</v>
      </c>
      <c r="AB98" s="263">
        <f>IF(Main!BC99&gt;0,Main!BC99,"")</f>
        <v>42060</v>
      </c>
      <c r="AC98" s="263" t="str">
        <f>IF(Main!AW99&gt;0,Main!AW99,"")</f>
        <v/>
      </c>
      <c r="AD98" s="263">
        <f>IF(Main!BG99&gt;0,Main!BG99,"")</f>
        <v>42060</v>
      </c>
      <c r="AE98" s="263">
        <f>IF(Main!BE99&gt;0,Main!BE99,"")</f>
        <v>42060</v>
      </c>
      <c r="AF98" s="263">
        <f>IF(Main!BM99&gt;0,Main!BM99,"")</f>
        <v>42060</v>
      </c>
      <c r="AG98" s="263" t="str">
        <f>IF(Main!BN99&gt;0,Main!BN99,"")</f>
        <v/>
      </c>
      <c r="AH98" s="263" t="str">
        <f>IF(Main!BO99&gt;0,Main!BO99,"")</f>
        <v/>
      </c>
      <c r="AI98" s="263" t="str">
        <f>IF(Main!BR99&gt;0,Main!BR99,"")</f>
        <v/>
      </c>
      <c r="AJ98" s="263">
        <f>IF(Main!BQ99&gt;0,Main!BQ99,"")</f>
        <v>42060</v>
      </c>
      <c r="AK98" s="263">
        <f>IF(Main!AV99&gt;0,Main!AV99,"")</f>
        <v>42060</v>
      </c>
      <c r="AL98" s="263">
        <f>IF(Main!AU99&gt;0,Main!AU99,"")</f>
        <v>42060</v>
      </c>
      <c r="AM98" s="263">
        <f>IF(Main!AT99&gt;0,Main!AT99,"")</f>
        <v>42060</v>
      </c>
      <c r="AN98" s="259" t="str">
        <f>Main!BW99</f>
        <v xml:space="preserve">MDR 3/3/2015, </v>
      </c>
    </row>
    <row r="99" spans="1:40" x14ac:dyDescent="0.25">
      <c r="A99" s="258">
        <f>Main!C100</f>
        <v>1082316</v>
      </c>
      <c r="B99" s="259" t="str">
        <f>Main!D100</f>
        <v>Posadas, April Faye Decapia</v>
      </c>
      <c r="C99" s="259" t="str">
        <f>Main!AH100</f>
        <v>Probationary</v>
      </c>
      <c r="D99" s="260">
        <f>Main!B100</f>
        <v>42065</v>
      </c>
      <c r="E99" s="260" t="str">
        <f>IF(Main!AI100&lt;1,"",Main!AI100)</f>
        <v>Jobstreet</v>
      </c>
      <c r="F99" s="260" t="str">
        <f>IF(Main!AJ100&lt;1,"",Main!AJ100)</f>
        <v/>
      </c>
      <c r="G99" s="260" t="str">
        <f>IF(Main!AK100&lt;1,"",Main!AK100)</f>
        <v/>
      </c>
      <c r="H99" s="259" t="str">
        <f>Main!Y100</f>
        <v>Operations Support Specialist</v>
      </c>
      <c r="I99" s="259" t="str">
        <f>Main!Z100</f>
        <v>N/A</v>
      </c>
      <c r="J99" s="259">
        <f>IF(Main!A100&lt;1,"",Main!A100)</f>
        <v>186</v>
      </c>
      <c r="K99" s="260">
        <f>IF(Main!AN100&gt;0,Main!AN100,"")</f>
        <v>31158</v>
      </c>
      <c r="L99" s="258" t="str">
        <f>IF(Main!Q100&gt;0,Main!Q100,"")</f>
        <v>aprilfayeposadas@gmail.com</v>
      </c>
      <c r="M99" s="410">
        <f>VALUE(IF(Main!S100&gt;0,Main!S100,""))</f>
        <v>9174688804</v>
      </c>
      <c r="N99" s="261" t="str">
        <f>Main!T100</f>
        <v/>
      </c>
      <c r="O99" s="258" t="str">
        <f>IF(Main!AO100&gt;0,Main!AO100,"")</f>
        <v/>
      </c>
      <c r="P99" s="258" t="str">
        <f>IF(Main!AP100&gt;0,Main!AP100,"")</f>
        <v/>
      </c>
      <c r="Q99" s="258" t="str">
        <f>IF(Main!AR100&gt;0,Main!AR100,"")</f>
        <v/>
      </c>
      <c r="R99" s="259" t="str">
        <f>IF(Main!AQ100&gt;0,Main!AQ100,"")</f>
        <v>Female</v>
      </c>
      <c r="S99" s="259" t="str">
        <f>IF(Main!BD100&gt;0,Main!BD100,"")</f>
        <v/>
      </c>
      <c r="T99" s="259" t="str">
        <f>IF(Main!AX100&gt;0,Main!AX100,"")</f>
        <v/>
      </c>
      <c r="U99" s="259" t="str">
        <f>IF(Main!BH100&gt;0,Main!BH100,"")</f>
        <v/>
      </c>
      <c r="V99" s="268" t="str">
        <f>IF(Main!BF100&gt;0,Main!BF100,"")</f>
        <v/>
      </c>
      <c r="W99" s="263" t="str">
        <f>IF(Main!BS100&gt;0,Main!BS100,"")</f>
        <v/>
      </c>
      <c r="X99" s="263" t="str">
        <f>IF(Main!BT100&gt;0,Main!BT100,"")</f>
        <v/>
      </c>
      <c r="Y99" s="263" t="str">
        <f>IF(Main!BU100&gt;0,Main!BU100,"")</f>
        <v/>
      </c>
      <c r="Z99" s="263" t="str">
        <f>IF(Main!AS100&gt;0,Main!AS100,"")</f>
        <v/>
      </c>
      <c r="AA99" s="263" t="str">
        <f>IF(Main!BJ100&gt;0,Main!BJ100,"")</f>
        <v/>
      </c>
      <c r="AB99" s="263" t="str">
        <f>IF(Main!BC100&gt;0,Main!BC100,"")</f>
        <v/>
      </c>
      <c r="AC99" s="263" t="str">
        <f>IF(Main!AW100&gt;0,Main!AW100,"")</f>
        <v/>
      </c>
      <c r="AD99" s="263" t="str">
        <f>IF(Main!BG100&gt;0,Main!BG100,"")</f>
        <v/>
      </c>
      <c r="AE99" s="263" t="str">
        <f>IF(Main!BE100&gt;0,Main!BE100,"")</f>
        <v/>
      </c>
      <c r="AF99" s="263" t="str">
        <f>IF(Main!BM100&gt;0,Main!BM100,"")</f>
        <v/>
      </c>
      <c r="AG99" s="263" t="str">
        <f>IF(Main!BN100&gt;0,Main!BN100,"")</f>
        <v/>
      </c>
      <c r="AH99" s="263" t="str">
        <f>IF(Main!BO100&gt;0,Main!BO100,"")</f>
        <v/>
      </c>
      <c r="AI99" s="263" t="str">
        <f>IF(Main!BR100&gt;0,Main!BR100,"")</f>
        <v/>
      </c>
      <c r="AJ99" s="263" t="str">
        <f>IF(Main!BQ100&gt;0,Main!BQ100,"")</f>
        <v/>
      </c>
      <c r="AK99" s="263" t="str">
        <f>IF(Main!AV100&gt;0,Main!AV100,"")</f>
        <v/>
      </c>
      <c r="AL99" s="263" t="str">
        <f>IF(Main!AU100&gt;0,Main!AU100,"")</f>
        <v/>
      </c>
      <c r="AM99" s="263" t="str">
        <f>IF(Main!AT100&gt;0,Main!AT100,"")</f>
        <v/>
      </c>
      <c r="AN99" s="259" t="str">
        <f>Main!BW100</f>
        <v/>
      </c>
    </row>
    <row r="100" spans="1:40" x14ac:dyDescent="0.25">
      <c r="A100" s="258">
        <f>Main!C101</f>
        <v>1082317</v>
      </c>
      <c r="B100" s="259" t="str">
        <f>Main!D101</f>
        <v>Alim, Jan Erick Abay</v>
      </c>
      <c r="C100" s="259" t="str">
        <f>Main!AH101</f>
        <v>Probationary</v>
      </c>
      <c r="D100" s="260">
        <f>Main!B101</f>
        <v>42065</v>
      </c>
      <c r="E100" s="260" t="str">
        <f>IF(Main!AI101&lt;1,"",Main!AI101)</f>
        <v>Jobstreet</v>
      </c>
      <c r="F100" s="260" t="str">
        <f>IF(Main!AJ101&lt;1,"",Main!AJ101)</f>
        <v/>
      </c>
      <c r="G100" s="260" t="str">
        <f>IF(Main!AK101&lt;1,"",Main!AK101)</f>
        <v/>
      </c>
      <c r="H100" s="259" t="str">
        <f>Main!Y101</f>
        <v>Senior Recruiter</v>
      </c>
      <c r="I100" s="259" t="str">
        <f>Main!Z101</f>
        <v>Level 1</v>
      </c>
      <c r="J100" s="259">
        <f>IF(Main!A101&lt;1,"",Main!A101)</f>
        <v>186</v>
      </c>
      <c r="K100" s="260">
        <f>IF(Main!AN101&gt;0,Main!AN101,"")</f>
        <v>33299</v>
      </c>
      <c r="L100" s="258" t="str">
        <f>IF(Main!Q101&gt;0,Main!Q101,"")</f>
        <v>janerickalim@gmail.com</v>
      </c>
      <c r="M100" s="410">
        <f>VALUE(IF(Main!S101&gt;0,Main!S101,""))</f>
        <v>9277830048</v>
      </c>
      <c r="N100" s="261" t="str">
        <f>Main!T101</f>
        <v/>
      </c>
      <c r="O100" s="258" t="str">
        <f>IF(Main!AO101&gt;0,Main!AO101,"")</f>
        <v>70 General E Topacio Street Poblacion 1A Imus Cavite</v>
      </c>
      <c r="P100" s="258" t="str">
        <f>IF(Main!AP101&gt;0,Main!AP101,"")</f>
        <v>70 General E Topacio Street Poblacion 1A Imus Cavite</v>
      </c>
      <c r="Q100" s="258" t="str">
        <f>IF(Main!AR101&gt;0,Main!AR101,"")</f>
        <v>Single</v>
      </c>
      <c r="R100" s="259" t="str">
        <f>IF(Main!AQ101&gt;0,Main!AQ101,"")</f>
        <v>Male</v>
      </c>
      <c r="S100" s="259" t="str">
        <f>IF(Main!BD101&gt;0,Main!BD101,"")</f>
        <v>34-4262198-9</v>
      </c>
      <c r="T100" s="259" t="str">
        <f>IF(Main!AX101&gt;0,Main!AX101,"")</f>
        <v>317-490-400</v>
      </c>
      <c r="U100" s="259" t="str">
        <f>IF(Main!BH101&gt;0,Main!BH101,"")</f>
        <v>01-051841702-4</v>
      </c>
      <c r="V100" s="268" t="str">
        <f>IF(Main!BF101&gt;0,Main!BF101,"")</f>
        <v>1211-1622-7476</v>
      </c>
      <c r="W100" s="263">
        <f>IF(Main!BS101&gt;0,Main!BS101,"")</f>
        <v>42067</v>
      </c>
      <c r="X100" s="263">
        <f>IF(Main!BT101&gt;0,Main!BT101,"")</f>
        <v>42067</v>
      </c>
      <c r="Y100" s="263">
        <f>IF(Main!BU101&gt;0,Main!BU101,"")</f>
        <v>42067</v>
      </c>
      <c r="Z100" s="263">
        <f>IF(Main!AS101&gt;0,Main!AS101,"")</f>
        <v>42087</v>
      </c>
      <c r="AA100" s="263">
        <f>IF(Main!BJ101&gt;0,Main!BJ101,"")</f>
        <v>42094</v>
      </c>
      <c r="AB100" s="263">
        <f>IF(Main!BC101&gt;0,Main!BC101,"")</f>
        <v>42090</v>
      </c>
      <c r="AC100" s="263">
        <f>IF(Main!AW101&gt;0,Main!AW101,"")</f>
        <v>42117</v>
      </c>
      <c r="AD100" s="263">
        <f>IF(Main!BG101&gt;0,Main!BG101,"")</f>
        <v>42087</v>
      </c>
      <c r="AE100" s="263">
        <f>IF(Main!BE101&gt;0,Main!BE101,"")</f>
        <v>42087</v>
      </c>
      <c r="AF100" s="263">
        <f>IF(Main!BM101&gt;0,Main!BM101,"")</f>
        <v>42067</v>
      </c>
      <c r="AG100" s="263" t="str">
        <f>IF(Main!BN101&gt;0,Main!BN101,"")</f>
        <v/>
      </c>
      <c r="AH100" s="263" t="str">
        <f>IF(Main!BO101&gt;0,Main!BO101,"")</f>
        <v/>
      </c>
      <c r="AI100" s="263" t="str">
        <f>IF(Main!BR101&gt;0,Main!BR101,"")</f>
        <v/>
      </c>
      <c r="AJ100" s="263" t="str">
        <f>IF(Main!BQ101&gt;0,Main!BQ101,"")</f>
        <v/>
      </c>
      <c r="AK100" s="263">
        <f>IF(Main!AV101&gt;0,Main!AV101,"")</f>
        <v>42115</v>
      </c>
      <c r="AL100" s="263">
        <f>IF(Main!AU101&gt;0,Main!AU101,"")</f>
        <v>42087</v>
      </c>
      <c r="AM100" s="263">
        <f>IF(Main!AT101&gt;0,Main!AT101,"")</f>
        <v>42087</v>
      </c>
      <c r="AN100" s="259" t="str">
        <f>Main!BW101</f>
        <v xml:space="preserve">2305 3/27/2015, MDR 3/27/2015, </v>
      </c>
    </row>
    <row r="101" spans="1:40" x14ac:dyDescent="0.25">
      <c r="A101" s="258">
        <f>Main!C102</f>
        <v>1082318</v>
      </c>
      <c r="B101" s="259" t="str">
        <f>Main!D102</f>
        <v>Cruz, Kimberley Jane Delim</v>
      </c>
      <c r="C101" s="259" t="str">
        <f>Main!AH102</f>
        <v>Probationary</v>
      </c>
      <c r="D101" s="260">
        <f>Main!B102</f>
        <v>42065</v>
      </c>
      <c r="E101" s="260" t="str">
        <f>IF(Main!AI102&lt;1,"",Main!AI102)</f>
        <v>Jobstreet</v>
      </c>
      <c r="F101" s="260" t="str">
        <f>IF(Main!AJ102&lt;1,"",Main!AJ102)</f>
        <v/>
      </c>
      <c r="G101" s="260" t="str">
        <f>IF(Main!AK102&lt;1,"",Main!AK102)</f>
        <v/>
      </c>
      <c r="H101" s="259" t="str">
        <f>Main!Y102</f>
        <v>Senior Recruiter</v>
      </c>
      <c r="I101" s="259" t="str">
        <f>Main!Z102</f>
        <v>Level 1</v>
      </c>
      <c r="J101" s="259">
        <f>IF(Main!A102&lt;1,"",Main!A102)</f>
        <v>186</v>
      </c>
      <c r="K101" s="260">
        <f>IF(Main!AN102&gt;0,Main!AN102,"")</f>
        <v>33734</v>
      </c>
      <c r="L101" s="258" t="str">
        <f>IF(Main!Q102&gt;0,Main!Q102,"")</f>
        <v>kimberlyjanecruz@gmail.com</v>
      </c>
      <c r="M101" s="410">
        <f>VALUE(IF(Main!S102&gt;0,Main!S102,""))</f>
        <v>9276685085</v>
      </c>
      <c r="N101" s="261" t="str">
        <f>Main!T102</f>
        <v/>
      </c>
      <c r="O101" s="258" t="str">
        <f>IF(Main!AO102&gt;0,Main!AO102,"")</f>
        <v>1426 Leon Guinto St. Ermita, Manila</v>
      </c>
      <c r="P101" s="258" t="str">
        <f>IF(Main!AP102&gt;0,Main!AP102,"")</f>
        <v>1426 Leon Guinto St. Ermita, Manila</v>
      </c>
      <c r="Q101" s="258" t="str">
        <f>IF(Main!AR102&gt;0,Main!AR102,"")</f>
        <v>Single</v>
      </c>
      <c r="R101" s="259" t="str">
        <f>IF(Main!AQ102&gt;0,Main!AQ102,"")</f>
        <v>Female</v>
      </c>
      <c r="S101" s="259" t="str">
        <f>IF(Main!BD102&gt;0,Main!BD102,"")</f>
        <v>34-3033142-7</v>
      </c>
      <c r="T101" s="259" t="str">
        <f>IF(Main!AX102&gt;0,Main!AX102,"")</f>
        <v>430-313-486</v>
      </c>
      <c r="U101" s="259" t="str">
        <f>IF(Main!BH102&gt;0,Main!BH102,"")</f>
        <v>01-051781796-7</v>
      </c>
      <c r="V101" s="268" t="str">
        <f>IF(Main!BF102&gt;0,Main!BF102,"")</f>
        <v>1211-0150-1260</v>
      </c>
      <c r="W101" s="263">
        <f>IF(Main!BS102&gt;0,Main!BS102,"")</f>
        <v>42067</v>
      </c>
      <c r="X101" s="263">
        <f>IF(Main!BT102&gt;0,Main!BT102,"")</f>
        <v>42067</v>
      </c>
      <c r="Y101" s="263">
        <f>IF(Main!BU102&gt;0,Main!BU102,"")</f>
        <v>42067</v>
      </c>
      <c r="Z101" s="263">
        <f>IF(Main!AS102&gt;0,Main!AS102,"")</f>
        <v>42074</v>
      </c>
      <c r="AA101" s="263">
        <f>IF(Main!BJ102&gt;0,Main!BJ102,"")</f>
        <v>42080</v>
      </c>
      <c r="AB101" s="263">
        <f>IF(Main!BC102&gt;0,Main!BC102,"")</f>
        <v>42074</v>
      </c>
      <c r="AC101" s="263">
        <f>IF(Main!AW102&gt;0,Main!AW102,"")</f>
        <v>42074</v>
      </c>
      <c r="AD101" s="263">
        <f>IF(Main!BG102&gt;0,Main!BG102,"")</f>
        <v>42074</v>
      </c>
      <c r="AE101" s="263">
        <f>IF(Main!BE102&gt;0,Main!BE102,"")</f>
        <v>42074</v>
      </c>
      <c r="AF101" s="263">
        <f>IF(Main!BM102&gt;0,Main!BM102,"")</f>
        <v>42074</v>
      </c>
      <c r="AG101" s="263" t="str">
        <f>IF(Main!BN102&gt;0,Main!BN102,"")</f>
        <v/>
      </c>
      <c r="AH101" s="263" t="str">
        <f>IF(Main!BO102&gt;0,Main!BO102,"")</f>
        <v/>
      </c>
      <c r="AI101" s="263">
        <f>IF(Main!BR102&gt;0,Main!BR102,"")</f>
        <v>42074</v>
      </c>
      <c r="AJ101" s="263">
        <f>IF(Main!BQ102&gt;0,Main!BQ102,"")</f>
        <v>42074</v>
      </c>
      <c r="AK101" s="263">
        <f>IF(Main!AV102&gt;0,Main!AV102,"")</f>
        <v>42067</v>
      </c>
      <c r="AL101" s="263">
        <f>IF(Main!AU102&gt;0,Main!AU102,"")</f>
        <v>42074</v>
      </c>
      <c r="AM101" s="263">
        <f>IF(Main!AT102&gt;0,Main!AT102,"")</f>
        <v>42074</v>
      </c>
      <c r="AN101" s="259" t="str">
        <f>Main!BW102</f>
        <v xml:space="preserve">1905 3/11/2015, 2305 3/11/2015, MDR 3/11/2015, </v>
      </c>
    </row>
    <row r="102" spans="1:40" x14ac:dyDescent="0.25">
      <c r="A102" s="258">
        <f>Main!C103</f>
        <v>1082319</v>
      </c>
      <c r="B102" s="259" t="str">
        <f>Main!D103</f>
        <v>Dizon, Emara Ann Laxamana</v>
      </c>
      <c r="C102" s="259" t="str">
        <f>Main!AH103</f>
        <v>Probationary</v>
      </c>
      <c r="D102" s="260">
        <f>Main!B103</f>
        <v>42065</v>
      </c>
      <c r="E102" s="260" t="str">
        <f>IF(Main!AI103&lt;1,"",Main!AI103)</f>
        <v>ERP</v>
      </c>
      <c r="F102" s="260" t="str">
        <f>IF(Main!AJ103&lt;1,"",Main!AJ103)</f>
        <v>Jobert Martin</v>
      </c>
      <c r="G102" s="260" t="str">
        <f>IF(Main!AK103&lt;1,"",Main!AK103)</f>
        <v/>
      </c>
      <c r="H102" s="259" t="str">
        <f>Main!Y103</f>
        <v>Senior Recruiter</v>
      </c>
      <c r="I102" s="259" t="str">
        <f>Main!Z103</f>
        <v>Level 1</v>
      </c>
      <c r="J102" s="259">
        <f>IF(Main!A103&lt;1,"",Main!A103)</f>
        <v>186</v>
      </c>
      <c r="K102" s="260">
        <f>IF(Main!AN103&gt;0,Main!AN103,"")</f>
        <v>33842</v>
      </c>
      <c r="L102" s="258" t="str">
        <f>IF(Main!Q103&gt;0,Main!Q103,"")</f>
        <v>iememei26@gmail.com</v>
      </c>
      <c r="M102" s="410">
        <f>VALUE(IF(Main!S103&gt;0,Main!S103,""))</f>
        <v>9232580321</v>
      </c>
      <c r="N102" s="261" t="str">
        <f>Main!T103</f>
        <v/>
      </c>
      <c r="O102" s="258" t="str">
        <f>IF(Main!AO103&gt;0,Main!AO103,"")</f>
        <v>Veterans Village, Project 7, Quezon City</v>
      </c>
      <c r="P102" s="258" t="str">
        <f>IF(Main!AP103&gt;0,Main!AP103,"")</f>
        <v/>
      </c>
      <c r="Q102" s="258" t="str">
        <f>IF(Main!AR103&gt;0,Main!AR103,"")</f>
        <v/>
      </c>
      <c r="R102" s="259" t="str">
        <f>IF(Main!AQ103&gt;0,Main!AQ103,"")</f>
        <v/>
      </c>
      <c r="S102" s="259" t="str">
        <f>IF(Main!BD103&gt;0,Main!BD103,"")</f>
        <v>34-4055929-9</v>
      </c>
      <c r="T102" s="259" t="str">
        <f>IF(Main!AX103&gt;0,Main!AX103,"")</f>
        <v>456-821-241</v>
      </c>
      <c r="U102" s="259" t="str">
        <f>IF(Main!BH103&gt;0,Main!BH103,"")</f>
        <v>07-201794799-1</v>
      </c>
      <c r="V102" s="268" t="str">
        <f>IF(Main!BF103&gt;0,Main!BF103,"")</f>
        <v>1211-4044-0064</v>
      </c>
      <c r="W102" s="263">
        <f>IF(Main!BS103&gt;0,Main!BS103,"")</f>
        <v>42067</v>
      </c>
      <c r="X102" s="263">
        <f>IF(Main!BT103&gt;0,Main!BT103,"")</f>
        <v>42067</v>
      </c>
      <c r="Y102" s="263">
        <f>IF(Main!BU103&gt;0,Main!BU103,"")</f>
        <v>42067</v>
      </c>
      <c r="Z102" s="263">
        <f>IF(Main!AS103&gt;0,Main!AS103,"")</f>
        <v>42083</v>
      </c>
      <c r="AA102" s="263">
        <f>IF(Main!BJ103&gt;0,Main!BJ103,"")</f>
        <v>42102</v>
      </c>
      <c r="AB102" s="263">
        <f>IF(Main!BC103&gt;0,Main!BC103,"")</f>
        <v>42102</v>
      </c>
      <c r="AC102" s="263">
        <f>IF(Main!AW103&gt;0,Main!AW103,"")</f>
        <v>42102</v>
      </c>
      <c r="AD102" s="263">
        <f>IF(Main!BG103&gt;0,Main!BG103,"")</f>
        <v>42083</v>
      </c>
      <c r="AE102" s="263">
        <f>IF(Main!BE103&gt;0,Main!BE103,"")</f>
        <v>42102</v>
      </c>
      <c r="AF102" s="263">
        <f>IF(Main!BM103&gt;0,Main!BM103,"")</f>
        <v>42102</v>
      </c>
      <c r="AG102" s="263" t="str">
        <f>IF(Main!BN103&gt;0,Main!BN103,"")</f>
        <v/>
      </c>
      <c r="AH102" s="263" t="str">
        <f>IF(Main!BO103&gt;0,Main!BO103,"")</f>
        <v/>
      </c>
      <c r="AI102" s="263" t="str">
        <f>IF(Main!BR103&gt;0,Main!BR103,"")</f>
        <v/>
      </c>
      <c r="AJ102" s="263" t="str">
        <f>IF(Main!BQ103&gt;0,Main!BQ103,"")</f>
        <v/>
      </c>
      <c r="AK102" s="263">
        <f>IF(Main!AV103&gt;0,Main!AV103,"")</f>
        <v>42067</v>
      </c>
      <c r="AL102" s="263">
        <f>IF(Main!AU103&gt;0,Main!AU103,"")</f>
        <v>42083</v>
      </c>
      <c r="AM102" s="263">
        <f>IF(Main!AT103&gt;0,Main!AT103,"")</f>
        <v>42083</v>
      </c>
      <c r="AN102" s="259" t="str">
        <f>Main!BW103</f>
        <v>1905 4/8/2015, 2305 4/8/2015, MDR 3/20/2015, Municipal Certificate of Birth 3/20/2015</v>
      </c>
    </row>
    <row r="103" spans="1:40" x14ac:dyDescent="0.25">
      <c r="A103" s="258">
        <f>Main!C104</f>
        <v>1082320</v>
      </c>
      <c r="B103" s="259" t="str">
        <f>Main!D104</f>
        <v>Marcelo, Barbara Canas</v>
      </c>
      <c r="C103" s="259" t="str">
        <f>Main!AH104</f>
        <v>Probationary</v>
      </c>
      <c r="D103" s="260">
        <f>Main!B104</f>
        <v>42072</v>
      </c>
      <c r="E103" s="260" t="str">
        <f>IF(Main!AI104&lt;1,"",Main!AI104)</f>
        <v>Jobstreet</v>
      </c>
      <c r="F103" s="260" t="str">
        <f>IF(Main!AJ104&lt;1,"",Main!AJ104)</f>
        <v/>
      </c>
      <c r="G103" s="260" t="str">
        <f>IF(Main!AK104&lt;1,"",Main!AK104)</f>
        <v/>
      </c>
      <c r="H103" s="259" t="str">
        <f>Main!Y104</f>
        <v>Senior Recruiter</v>
      </c>
      <c r="I103" s="259" t="str">
        <f>Main!Z104</f>
        <v>Level 1</v>
      </c>
      <c r="J103" s="259">
        <f>IF(Main!A104&lt;1,"",Main!A104)</f>
        <v>186</v>
      </c>
      <c r="K103" s="260">
        <f>IF(Main!AN104&gt;0,Main!AN104,"")</f>
        <v>33063</v>
      </c>
      <c r="L103" s="258" t="str">
        <f>IF(Main!Q104&gt;0,Main!Q104,"")</f>
        <v>barbz.marcelo09@gmail.com</v>
      </c>
      <c r="M103" s="410">
        <f>VALUE(IF(Main!S104&gt;0,Main!S104,""))</f>
        <v>9275377963</v>
      </c>
      <c r="N103" s="261" t="str">
        <f>Main!T104</f>
        <v/>
      </c>
      <c r="O103" s="258" t="str">
        <f>IF(Main!AO104&gt;0,Main!AO104,"")</f>
        <v/>
      </c>
      <c r="P103" s="258" t="str">
        <f>IF(Main!AP104&gt;0,Main!AP104,"")</f>
        <v/>
      </c>
      <c r="Q103" s="258" t="str">
        <f>IF(Main!AR104&gt;0,Main!AR104,"")</f>
        <v/>
      </c>
      <c r="R103" s="259" t="str">
        <f>IF(Main!AQ104&gt;0,Main!AQ104,"")</f>
        <v/>
      </c>
      <c r="S103" s="259" t="str">
        <f>IF(Main!BD104&gt;0,Main!BD104,"")</f>
        <v/>
      </c>
      <c r="T103" s="259" t="str">
        <f>IF(Main!AX104&gt;0,Main!AX104,"")</f>
        <v/>
      </c>
      <c r="U103" s="259" t="str">
        <f>IF(Main!BH104&gt;0,Main!BH104,"")</f>
        <v/>
      </c>
      <c r="V103" s="268" t="str">
        <f>IF(Main!BF104&gt;0,Main!BF104,"")</f>
        <v/>
      </c>
      <c r="W103" s="263" t="str">
        <f>IF(Main!BS104&gt;0,Main!BS104,"")</f>
        <v/>
      </c>
      <c r="X103" s="263" t="str">
        <f>IF(Main!BT104&gt;0,Main!BT104,"")</f>
        <v/>
      </c>
      <c r="Y103" s="263" t="str">
        <f>IF(Main!BU104&gt;0,Main!BU104,"")</f>
        <v/>
      </c>
      <c r="Z103" s="263" t="str">
        <f>IF(Main!AS104&gt;0,Main!AS104,"")</f>
        <v/>
      </c>
      <c r="AA103" s="263" t="str">
        <f>IF(Main!BJ104&gt;0,Main!BJ104,"")</f>
        <v/>
      </c>
      <c r="AB103" s="263" t="str">
        <f>IF(Main!BC104&gt;0,Main!BC104,"")</f>
        <v/>
      </c>
      <c r="AC103" s="263" t="str">
        <f>IF(Main!AW104&gt;0,Main!AW104,"")</f>
        <v/>
      </c>
      <c r="AD103" s="263" t="str">
        <f>IF(Main!BG104&gt;0,Main!BG104,"")</f>
        <v/>
      </c>
      <c r="AE103" s="263" t="str">
        <f>IF(Main!BE104&gt;0,Main!BE104,"")</f>
        <v/>
      </c>
      <c r="AF103" s="263" t="str">
        <f>IF(Main!BM104&gt;0,Main!BM104,"")</f>
        <v/>
      </c>
      <c r="AG103" s="263" t="str">
        <f>IF(Main!BN104&gt;0,Main!BN104,"")</f>
        <v/>
      </c>
      <c r="AH103" s="263" t="str">
        <f>IF(Main!BO104&gt;0,Main!BO104,"")</f>
        <v/>
      </c>
      <c r="AI103" s="263" t="str">
        <f>IF(Main!BR104&gt;0,Main!BR104,"")</f>
        <v/>
      </c>
      <c r="AJ103" s="263" t="str">
        <f>IF(Main!BQ104&gt;0,Main!BQ104,"")</f>
        <v/>
      </c>
      <c r="AK103" s="263" t="str">
        <f>IF(Main!AV104&gt;0,Main!AV104,"")</f>
        <v/>
      </c>
      <c r="AL103" s="263" t="str">
        <f>IF(Main!AU104&gt;0,Main!AU104,"")</f>
        <v/>
      </c>
      <c r="AM103" s="263" t="str">
        <f>IF(Main!AT104&gt;0,Main!AT104,"")</f>
        <v/>
      </c>
      <c r="AN103" s="259" t="str">
        <f>Main!BW104</f>
        <v/>
      </c>
    </row>
    <row r="104" spans="1:40" x14ac:dyDescent="0.25">
      <c r="A104" s="258">
        <f>Main!C105</f>
        <v>1082321</v>
      </c>
      <c r="B104" s="259" t="str">
        <f>Main!D105</f>
        <v>Ramos, Karen Joy Villarico</v>
      </c>
      <c r="C104" s="259" t="str">
        <f>Main!AH105</f>
        <v>Probationary</v>
      </c>
      <c r="D104" s="260">
        <f>Main!B105</f>
        <v>42065</v>
      </c>
      <c r="E104" s="260" t="str">
        <f>IF(Main!AI105&lt;1,"",Main!AI105)</f>
        <v>Jobstreet</v>
      </c>
      <c r="F104" s="260" t="str">
        <f>IF(Main!AJ105&lt;1,"",Main!AJ105)</f>
        <v/>
      </c>
      <c r="G104" s="260" t="str">
        <f>IF(Main!AK105&lt;1,"",Main!AK105)</f>
        <v/>
      </c>
      <c r="H104" s="259" t="str">
        <f>Main!Y105</f>
        <v>Senior Recruiter</v>
      </c>
      <c r="I104" s="259" t="str">
        <f>Main!Z105</f>
        <v>Level 2</v>
      </c>
      <c r="J104" s="259">
        <f>IF(Main!A105&lt;1,"",Main!A105)</f>
        <v>186</v>
      </c>
      <c r="K104" s="260">
        <f>IF(Main!AN105&gt;0,Main!AN105,"")</f>
        <v>33451</v>
      </c>
      <c r="L104" s="258" t="str">
        <f>IF(Main!Q105&gt;0,Main!Q105,"")</f>
        <v>rhenramos07@gmail.com</v>
      </c>
      <c r="M104" s="410">
        <f>VALUE(IF(Main!S105&gt;0,Main!S105,""))</f>
        <v>9163154846</v>
      </c>
      <c r="N104" s="261" t="str">
        <f>Main!T105</f>
        <v/>
      </c>
      <c r="O104" s="258" t="str">
        <f>IF(Main!AO105&gt;0,Main!AO105,"")</f>
        <v/>
      </c>
      <c r="P104" s="258" t="str">
        <f>IF(Main!AP105&gt;0,Main!AP105,"")</f>
        <v/>
      </c>
      <c r="Q104" s="258" t="str">
        <f>IF(Main!AR105&gt;0,Main!AR105,"")</f>
        <v/>
      </c>
      <c r="R104" s="259" t="str">
        <f>IF(Main!AQ105&gt;0,Main!AQ105,"")</f>
        <v/>
      </c>
      <c r="S104" s="259" t="str">
        <f>IF(Main!BD105&gt;0,Main!BD105,"")</f>
        <v/>
      </c>
      <c r="T104" s="259" t="str">
        <f>IF(Main!AX105&gt;0,Main!AX105,"")</f>
        <v/>
      </c>
      <c r="U104" s="259" t="str">
        <f>IF(Main!BH105&gt;0,Main!BH105,"")</f>
        <v/>
      </c>
      <c r="V104" s="268" t="str">
        <f>IF(Main!BF105&gt;0,Main!BF105,"")</f>
        <v/>
      </c>
      <c r="W104" s="263" t="str">
        <f>IF(Main!BS105&gt;0,Main!BS105,"")</f>
        <v/>
      </c>
      <c r="X104" s="263" t="str">
        <f>IF(Main!BT105&gt;0,Main!BT105,"")</f>
        <v/>
      </c>
      <c r="Y104" s="263" t="str">
        <f>IF(Main!BU105&gt;0,Main!BU105,"")</f>
        <v/>
      </c>
      <c r="Z104" s="263" t="str">
        <f>IF(Main!AS105&gt;0,Main!AS105,"")</f>
        <v/>
      </c>
      <c r="AA104" s="263" t="str">
        <f>IF(Main!BJ105&gt;0,Main!BJ105,"")</f>
        <v/>
      </c>
      <c r="AB104" s="263" t="str">
        <f>IF(Main!BC105&gt;0,Main!BC105,"")</f>
        <v/>
      </c>
      <c r="AC104" s="263" t="str">
        <f>IF(Main!AW105&gt;0,Main!AW105,"")</f>
        <v/>
      </c>
      <c r="AD104" s="263" t="str">
        <f>IF(Main!BG105&gt;0,Main!BG105,"")</f>
        <v/>
      </c>
      <c r="AE104" s="263" t="str">
        <f>IF(Main!BE105&gt;0,Main!BE105,"")</f>
        <v/>
      </c>
      <c r="AF104" s="263" t="str">
        <f>IF(Main!BM105&gt;0,Main!BM105,"")</f>
        <v/>
      </c>
      <c r="AG104" s="263" t="str">
        <f>IF(Main!BN105&gt;0,Main!BN105,"")</f>
        <v/>
      </c>
      <c r="AH104" s="263" t="str">
        <f>IF(Main!BO105&gt;0,Main!BO105,"")</f>
        <v/>
      </c>
      <c r="AI104" s="263" t="str">
        <f>IF(Main!BR105&gt;0,Main!BR105,"")</f>
        <v/>
      </c>
      <c r="AJ104" s="263" t="str">
        <f>IF(Main!BQ105&gt;0,Main!BQ105,"")</f>
        <v/>
      </c>
      <c r="AK104" s="263" t="str">
        <f>IF(Main!AV105&gt;0,Main!AV105,"")</f>
        <v/>
      </c>
      <c r="AL104" s="263" t="str">
        <f>IF(Main!AU105&gt;0,Main!AU105,"")</f>
        <v/>
      </c>
      <c r="AM104" s="263" t="str">
        <f>IF(Main!AT105&gt;0,Main!AT105,"")</f>
        <v/>
      </c>
      <c r="AN104" s="259" t="str">
        <f>Main!BW105</f>
        <v/>
      </c>
    </row>
    <row r="105" spans="1:40" x14ac:dyDescent="0.25">
      <c r="A105" s="258">
        <f>Main!C106</f>
        <v>1082322</v>
      </c>
      <c r="B105" s="259" t="str">
        <f>Main!D106</f>
        <v>Sales, Kevin Ross Salvador</v>
      </c>
      <c r="C105" s="259" t="str">
        <f>Main!AH106</f>
        <v>Probationary</v>
      </c>
      <c r="D105" s="260">
        <f>Main!B106</f>
        <v>42065</v>
      </c>
      <c r="E105" s="260" t="str">
        <f>IF(Main!AI106&lt;1,"",Main!AI106)</f>
        <v>ERP</v>
      </c>
      <c r="F105" s="260" t="str">
        <f>IF(Main!AJ106&lt;1,"",Main!AJ106)</f>
        <v/>
      </c>
      <c r="G105" s="260" t="str">
        <f>IF(Main!AK106&lt;1,"",Main!AK106)</f>
        <v/>
      </c>
      <c r="H105" s="259" t="str">
        <f>Main!Y106</f>
        <v>Senior Recruiter</v>
      </c>
      <c r="I105" s="259" t="str">
        <f>Main!Z106</f>
        <v>Level 2</v>
      </c>
      <c r="J105" s="259">
        <f>IF(Main!A106&lt;1,"",Main!A106)</f>
        <v>186</v>
      </c>
      <c r="K105" s="260">
        <f>IF(Main!AN106&gt;0,Main!AN106,"")</f>
        <v>33684</v>
      </c>
      <c r="L105" s="258" t="str">
        <f>IF(Main!Q106&gt;0,Main!Q106,"")</f>
        <v>kevinross321@gmail.com</v>
      </c>
      <c r="M105" s="410">
        <f>VALUE(IF(Main!S106&gt;0,Main!S106,""))</f>
        <v>9053534641</v>
      </c>
      <c r="N105" s="261" t="str">
        <f>Main!T106</f>
        <v/>
      </c>
      <c r="O105" s="258" t="str">
        <f>IF(Main!AO106&gt;0,Main!AO106,"")</f>
        <v>3701 Ilang-ilang St. Ma. Ramona Subd. Tabang, Plaridel Bulacan</v>
      </c>
      <c r="P105" s="258" t="str">
        <f>IF(Main!AP106&gt;0,Main!AP106,"")</f>
        <v>3701 Ilang-ilang St. Ma. Ramona Subd. Tabang, Plaridel Bulacan</v>
      </c>
      <c r="Q105" s="258" t="str">
        <f>IF(Main!AR106&gt;0,Main!AR106,"")</f>
        <v>Single</v>
      </c>
      <c r="R105" s="259" t="str">
        <f>IF(Main!AQ106&gt;0,Main!AQ106,"")</f>
        <v>Male</v>
      </c>
      <c r="S105" s="259" t="str">
        <f>IF(Main!BD106&gt;0,Main!BD106,"")</f>
        <v>34-2668464-1</v>
      </c>
      <c r="T105" s="259" t="str">
        <f>IF(Main!AX106&gt;0,Main!AX106,"")</f>
        <v>309-071-813</v>
      </c>
      <c r="U105" s="259" t="str">
        <f>IF(Main!BH106&gt;0,Main!BH106,"")</f>
        <v>01-051450039-3</v>
      </c>
      <c r="V105" s="268" t="str">
        <f>IF(Main!BF106&gt;0,Main!BF106,"")</f>
        <v>1211-2409-2350</v>
      </c>
      <c r="W105" s="263">
        <f>IF(Main!BS106&gt;0,Main!BS106,"")</f>
        <v>42067</v>
      </c>
      <c r="X105" s="263">
        <f>IF(Main!BT106&gt;0,Main!BT106,"")</f>
        <v>42067</v>
      </c>
      <c r="Y105" s="263">
        <f>IF(Main!BU106&gt;0,Main!BU106,"")</f>
        <v>42067</v>
      </c>
      <c r="Z105" s="263">
        <f>IF(Main!AS106&gt;0,Main!AS106,"")</f>
        <v>42067</v>
      </c>
      <c r="AA105" s="263">
        <f>IF(Main!BJ106&gt;0,Main!BJ106,"")</f>
        <v>42102</v>
      </c>
      <c r="AB105" s="263">
        <f>IF(Main!BC106&gt;0,Main!BC106,"")</f>
        <v>42067</v>
      </c>
      <c r="AC105" s="263">
        <f>IF(Main!AW106&gt;0,Main!AW106,"")</f>
        <v>42094</v>
      </c>
      <c r="AD105" s="263">
        <f>IF(Main!BG106&gt;0,Main!BG106,"")</f>
        <v>42094</v>
      </c>
      <c r="AE105" s="263">
        <f>IF(Main!BE106&gt;0,Main!BE106,"")</f>
        <v>42094</v>
      </c>
      <c r="AF105" s="263">
        <f>IF(Main!BM106&gt;0,Main!BM106,"")</f>
        <v>42067</v>
      </c>
      <c r="AG105" s="263" t="str">
        <f>IF(Main!BN106&gt;0,Main!BN106,"")</f>
        <v/>
      </c>
      <c r="AH105" s="263" t="str">
        <f>IF(Main!BO106&gt;0,Main!BO106,"")</f>
        <v/>
      </c>
      <c r="AI105" s="263" t="str">
        <f>IF(Main!BR106&gt;0,Main!BR106,"")</f>
        <v/>
      </c>
      <c r="AJ105" s="263">
        <f>IF(Main!BQ106&gt;0,Main!BQ106,"")</f>
        <v>42067</v>
      </c>
      <c r="AK105" s="263">
        <f>IF(Main!AV106&gt;0,Main!AV106,"")</f>
        <v>42102</v>
      </c>
      <c r="AL105" s="263">
        <f>IF(Main!AU106&gt;0,Main!AU106,"")</f>
        <v>42067</v>
      </c>
      <c r="AM105" s="263">
        <f>IF(Main!AT106&gt;0,Main!AT106,"")</f>
        <v>42067</v>
      </c>
      <c r="AN105" s="259" t="str">
        <f>Main!BW106</f>
        <v xml:space="preserve">1905 3/31/2015, 2305 3/31/2015, MDR 3/31/2015, </v>
      </c>
    </row>
    <row r="106" spans="1:40" x14ac:dyDescent="0.25">
      <c r="A106" s="258">
        <f>Main!C107</f>
        <v>1082323</v>
      </c>
      <c r="B106" s="259" t="str">
        <f>Main!D107</f>
        <v>Sipalay, Grace Marasigan</v>
      </c>
      <c r="C106" s="259" t="str">
        <f>Main!AH107</f>
        <v>Probationary</v>
      </c>
      <c r="D106" s="260">
        <f>Main!B107</f>
        <v>42065</v>
      </c>
      <c r="E106" s="260" t="str">
        <f>IF(Main!AI107&lt;1,"",Main!AI107)</f>
        <v>Jobstreet</v>
      </c>
      <c r="F106" s="260" t="str">
        <f>IF(Main!AJ107&lt;1,"",Main!AJ107)</f>
        <v/>
      </c>
      <c r="G106" s="260" t="str">
        <f>IF(Main!AK107&lt;1,"",Main!AK107)</f>
        <v/>
      </c>
      <c r="H106" s="259" t="str">
        <f>Main!Y107</f>
        <v>Senior Recruiter</v>
      </c>
      <c r="I106" s="259" t="str">
        <f>Main!Z107</f>
        <v>Level 2</v>
      </c>
      <c r="J106" s="259">
        <f>IF(Main!A107&lt;1,"",Main!A107)</f>
        <v>186</v>
      </c>
      <c r="K106" s="260">
        <f>IF(Main!AN107&gt;0,Main!AN107,"")</f>
        <v>31544</v>
      </c>
      <c r="L106" s="258" t="str">
        <f>IF(Main!Q107&gt;0,Main!Q107,"")</f>
        <v>gracesipalay@yahoo.com</v>
      </c>
      <c r="M106" s="410">
        <f>VALUE(IF(Main!S107&gt;0,Main!S107,""))</f>
        <v>9175571767</v>
      </c>
      <c r="N106" s="261" t="str">
        <f>Main!T107</f>
        <v/>
      </c>
      <c r="O106" s="258" t="str">
        <f>IF(Main!AO107&gt;0,Main!AO107,"")</f>
        <v/>
      </c>
      <c r="P106" s="258" t="str">
        <f>IF(Main!AP107&gt;0,Main!AP107,"")</f>
        <v/>
      </c>
      <c r="Q106" s="258" t="str">
        <f>IF(Main!AR107&gt;0,Main!AR107,"")</f>
        <v/>
      </c>
      <c r="R106" s="259" t="str">
        <f>IF(Main!AQ107&gt;0,Main!AQ107,"")</f>
        <v/>
      </c>
      <c r="S106" s="259" t="str">
        <f>IF(Main!BD107&gt;0,Main!BD107,"")</f>
        <v/>
      </c>
      <c r="T106" s="259" t="str">
        <f>IF(Main!AX107&gt;0,Main!AX107,"")</f>
        <v/>
      </c>
      <c r="U106" s="259" t="str">
        <f>IF(Main!BH107&gt;0,Main!BH107,"")</f>
        <v/>
      </c>
      <c r="V106" s="268" t="str">
        <f>IF(Main!BF107&gt;0,Main!BF107,"")</f>
        <v/>
      </c>
      <c r="W106" s="263" t="str">
        <f>IF(Main!BS107&gt;0,Main!BS107,"")</f>
        <v/>
      </c>
      <c r="X106" s="263" t="str">
        <f>IF(Main!BT107&gt;0,Main!BT107,"")</f>
        <v/>
      </c>
      <c r="Y106" s="263" t="str">
        <f>IF(Main!BU107&gt;0,Main!BU107,"")</f>
        <v/>
      </c>
      <c r="Z106" s="263" t="str">
        <f>IF(Main!AS107&gt;0,Main!AS107,"")</f>
        <v/>
      </c>
      <c r="AA106" s="263" t="str">
        <f>IF(Main!BJ107&gt;0,Main!BJ107,"")</f>
        <v/>
      </c>
      <c r="AB106" s="263" t="str">
        <f>IF(Main!BC107&gt;0,Main!BC107,"")</f>
        <v/>
      </c>
      <c r="AC106" s="263" t="str">
        <f>IF(Main!AW107&gt;0,Main!AW107,"")</f>
        <v/>
      </c>
      <c r="AD106" s="263" t="str">
        <f>IF(Main!BG107&gt;0,Main!BG107,"")</f>
        <v/>
      </c>
      <c r="AE106" s="263" t="str">
        <f>IF(Main!BE107&gt;0,Main!BE107,"")</f>
        <v/>
      </c>
      <c r="AF106" s="263" t="str">
        <f>IF(Main!BM107&gt;0,Main!BM107,"")</f>
        <v/>
      </c>
      <c r="AG106" s="263" t="str">
        <f>IF(Main!BN107&gt;0,Main!BN107,"")</f>
        <v/>
      </c>
      <c r="AH106" s="263" t="str">
        <f>IF(Main!BO107&gt;0,Main!BO107,"")</f>
        <v/>
      </c>
      <c r="AI106" s="263" t="str">
        <f>IF(Main!BR107&gt;0,Main!BR107,"")</f>
        <v/>
      </c>
      <c r="AJ106" s="263" t="str">
        <f>IF(Main!BQ107&gt;0,Main!BQ107,"")</f>
        <v/>
      </c>
      <c r="AK106" s="263" t="str">
        <f>IF(Main!AV107&gt;0,Main!AV107,"")</f>
        <v/>
      </c>
      <c r="AL106" s="263" t="str">
        <f>IF(Main!AU107&gt;0,Main!AU107,"")</f>
        <v/>
      </c>
      <c r="AM106" s="263" t="str">
        <f>IF(Main!AT107&gt;0,Main!AT107,"")</f>
        <v/>
      </c>
      <c r="AN106" s="259" t="str">
        <f>Main!BW107</f>
        <v/>
      </c>
    </row>
    <row r="107" spans="1:40" x14ac:dyDescent="0.25">
      <c r="A107" s="258">
        <f>Main!C108</f>
        <v>1082324</v>
      </c>
      <c r="B107" s="259" t="str">
        <f>Main!D108</f>
        <v>Factor, Mark Anthony Solano</v>
      </c>
      <c r="C107" s="259" t="str">
        <f>Main!AH108</f>
        <v>Probationary</v>
      </c>
      <c r="D107" s="260">
        <f>Main!B108</f>
        <v>42072</v>
      </c>
      <c r="E107" s="260" t="str">
        <f>IF(Main!AI108&lt;1,"",Main!AI108)</f>
        <v>Jobstreet</v>
      </c>
      <c r="F107" s="260" t="str">
        <f>IF(Main!AJ108&lt;1,"",Main!AJ108)</f>
        <v/>
      </c>
      <c r="G107" s="260" t="str">
        <f>IF(Main!AK108&lt;1,"",Main!AK108)</f>
        <v/>
      </c>
      <c r="H107" s="259" t="str">
        <f>Main!Y108</f>
        <v>Senior Recruiter</v>
      </c>
      <c r="I107" s="259" t="str">
        <f>Main!Z108</f>
        <v>Level 2</v>
      </c>
      <c r="J107" s="259">
        <f>IF(Main!A108&lt;1,"",Main!A108)</f>
        <v>187</v>
      </c>
      <c r="K107" s="260">
        <f>IF(Main!AN108&gt;0,Main!AN108,"")</f>
        <v>32499</v>
      </c>
      <c r="L107" s="258" t="str">
        <f>IF(Main!Q108&gt;0,Main!Q108,"")</f>
        <v>marksfactor@gmail.com</v>
      </c>
      <c r="M107" s="410">
        <f>VALUE(IF(Main!S108&gt;0,Main!S108,""))</f>
        <v>9065597596</v>
      </c>
      <c r="N107" s="261" t="str">
        <f>Main!T108</f>
        <v/>
      </c>
      <c r="O107" s="258" t="str">
        <f>IF(Main!AO108&gt;0,Main!AO108,"")</f>
        <v/>
      </c>
      <c r="P107" s="258" t="str">
        <f>IF(Main!AP108&gt;0,Main!AP108,"")</f>
        <v/>
      </c>
      <c r="Q107" s="258" t="str">
        <f>IF(Main!AR108&gt;0,Main!AR108,"")</f>
        <v/>
      </c>
      <c r="R107" s="259" t="str">
        <f>IF(Main!AQ108&gt;0,Main!AQ108,"")</f>
        <v/>
      </c>
      <c r="S107" s="259" t="str">
        <f>IF(Main!BD108&gt;0,Main!BD108,"")</f>
        <v/>
      </c>
      <c r="T107" s="259" t="str">
        <f>IF(Main!AX108&gt;0,Main!AX108,"")</f>
        <v/>
      </c>
      <c r="U107" s="259" t="str">
        <f>IF(Main!BH108&gt;0,Main!BH108,"")</f>
        <v/>
      </c>
      <c r="V107" s="268" t="str">
        <f>IF(Main!BF108&gt;0,Main!BF108,"")</f>
        <v/>
      </c>
      <c r="W107" s="263" t="str">
        <f>IF(Main!BS108&gt;0,Main!BS108,"")</f>
        <v/>
      </c>
      <c r="X107" s="263" t="str">
        <f>IF(Main!BT108&gt;0,Main!BT108,"")</f>
        <v/>
      </c>
      <c r="Y107" s="263" t="str">
        <f>IF(Main!BU108&gt;0,Main!BU108,"")</f>
        <v/>
      </c>
      <c r="Z107" s="263" t="str">
        <f>IF(Main!AS108&gt;0,Main!AS108,"")</f>
        <v/>
      </c>
      <c r="AA107" s="263" t="str">
        <f>IF(Main!BJ108&gt;0,Main!BJ108,"")</f>
        <v/>
      </c>
      <c r="AB107" s="263" t="str">
        <f>IF(Main!BC108&gt;0,Main!BC108,"")</f>
        <v/>
      </c>
      <c r="AC107" s="263" t="str">
        <f>IF(Main!AW108&gt;0,Main!AW108,"")</f>
        <v/>
      </c>
      <c r="AD107" s="263" t="str">
        <f>IF(Main!BG108&gt;0,Main!BG108,"")</f>
        <v/>
      </c>
      <c r="AE107" s="263" t="str">
        <f>IF(Main!BE108&gt;0,Main!BE108,"")</f>
        <v/>
      </c>
      <c r="AF107" s="263" t="str">
        <f>IF(Main!BM108&gt;0,Main!BM108,"")</f>
        <v/>
      </c>
      <c r="AG107" s="263" t="str">
        <f>IF(Main!BN108&gt;0,Main!BN108,"")</f>
        <v/>
      </c>
      <c r="AH107" s="263" t="str">
        <f>IF(Main!BO108&gt;0,Main!BO108,"")</f>
        <v/>
      </c>
      <c r="AI107" s="263" t="str">
        <f>IF(Main!BR108&gt;0,Main!BR108,"")</f>
        <v/>
      </c>
      <c r="AJ107" s="263" t="str">
        <f>IF(Main!BQ108&gt;0,Main!BQ108,"")</f>
        <v/>
      </c>
      <c r="AK107" s="263" t="str">
        <f>IF(Main!AV108&gt;0,Main!AV108,"")</f>
        <v/>
      </c>
      <c r="AL107" s="263" t="str">
        <f>IF(Main!AU108&gt;0,Main!AU108,"")</f>
        <v/>
      </c>
      <c r="AM107" s="263" t="str">
        <f>IF(Main!AT108&gt;0,Main!AT108,"")</f>
        <v/>
      </c>
      <c r="AN107" s="259" t="str">
        <f>Main!BW108</f>
        <v/>
      </c>
    </row>
    <row r="108" spans="1:40" x14ac:dyDescent="0.25">
      <c r="A108" s="258">
        <f>Main!C109</f>
        <v>1082325</v>
      </c>
      <c r="B108" s="259" t="str">
        <f>Main!D109</f>
        <v>De Guzman, John Kevin Barri</v>
      </c>
      <c r="C108" s="259" t="str">
        <f>Main!AH109</f>
        <v>Probationary</v>
      </c>
      <c r="D108" s="260">
        <f>Main!B109</f>
        <v>42072</v>
      </c>
      <c r="E108" s="260" t="str">
        <f>IF(Main!AI109&lt;1,"",Main!AI109)</f>
        <v>Jobstreet</v>
      </c>
      <c r="F108" s="260" t="str">
        <f>IF(Main!AJ109&lt;1,"",Main!AJ109)</f>
        <v/>
      </c>
      <c r="G108" s="260" t="str">
        <f>IF(Main!AK109&lt;1,"",Main!AK109)</f>
        <v/>
      </c>
      <c r="H108" s="259" t="str">
        <f>Main!Y109</f>
        <v>Reporting Specialist</v>
      </c>
      <c r="I108" s="259" t="str">
        <f>Main!Z109</f>
        <v>Level 2</v>
      </c>
      <c r="J108" s="259">
        <f>IF(Main!A109&lt;1,"",Main!A109)</f>
        <v>187</v>
      </c>
      <c r="K108" s="260">
        <f>IF(Main!AN109&gt;0,Main!AN109,"")</f>
        <v>32673</v>
      </c>
      <c r="L108" s="258" t="str">
        <f>IF(Main!Q109&gt;0,Main!Q109,"")</f>
        <v>toshi_joovshin@yahoo.com</v>
      </c>
      <c r="M108" s="410">
        <f>VALUE(IF(Main!S109&gt;0,Main!S109,""))</f>
        <v>9177280903</v>
      </c>
      <c r="N108" s="261" t="str">
        <f>Main!T109</f>
        <v/>
      </c>
      <c r="O108" s="258" t="str">
        <f>IF(Main!AO109&gt;0,Main!AO109,"")</f>
        <v>4700 Cuangco St. Pio del Pilar Makati</v>
      </c>
      <c r="P108" s="258" t="str">
        <f>IF(Main!AP109&gt;0,Main!AP109,"")</f>
        <v/>
      </c>
      <c r="Q108" s="258" t="str">
        <f>IF(Main!AR109&gt;0,Main!AR109,"")</f>
        <v>Married</v>
      </c>
      <c r="R108" s="259" t="str">
        <f>IF(Main!AQ109&gt;0,Main!AQ109,"")</f>
        <v>Male</v>
      </c>
      <c r="S108" s="259" t="str">
        <f>IF(Main!BD109&gt;0,Main!BD109,"")</f>
        <v>34-1199519-6</v>
      </c>
      <c r="T108" s="259" t="str">
        <f>IF(Main!AX109&gt;0,Main!AX109,"")</f>
        <v>276-068-393</v>
      </c>
      <c r="U108" s="259" t="str">
        <f>IF(Main!BH109&gt;0,Main!BH109,"")</f>
        <v>01-050859365-9</v>
      </c>
      <c r="V108" s="268" t="str">
        <f>IF(Main!BF109&gt;0,Main!BF109,"")</f>
        <v>1020-0415-4227</v>
      </c>
      <c r="W108" s="263">
        <f>IF(Main!BS109&gt;0,Main!BS109,"")</f>
        <v>42069</v>
      </c>
      <c r="X108" s="263">
        <f>IF(Main!BT109&gt;0,Main!BT109,"")</f>
        <v>42069</v>
      </c>
      <c r="Y108" s="263">
        <f>IF(Main!BU109&gt;0,Main!BU109,"")</f>
        <v>42069</v>
      </c>
      <c r="Z108" s="263">
        <f>IF(Main!AS109&gt;0,Main!AS109,"")</f>
        <v>42069</v>
      </c>
      <c r="AA108" s="263">
        <f>IF(Main!BJ109&gt;0,Main!BJ109,"")</f>
        <v>42073</v>
      </c>
      <c r="AB108" s="263">
        <f>IF(Main!BC109&gt;0,Main!BC109,"")</f>
        <v>42069</v>
      </c>
      <c r="AC108" s="263">
        <f>IF(Main!AW109&gt;0,Main!AW109,"")</f>
        <v>42076</v>
      </c>
      <c r="AD108" s="263">
        <f>IF(Main!BG109&gt;0,Main!BG109,"")</f>
        <v>42069</v>
      </c>
      <c r="AE108" s="263">
        <f>IF(Main!BE109&gt;0,Main!BE109,"")</f>
        <v>42073</v>
      </c>
      <c r="AF108" s="263">
        <f>IF(Main!BM109&gt;0,Main!BM109,"")</f>
        <v>42069</v>
      </c>
      <c r="AG108" s="263">
        <f>IF(Main!BN109&gt;0,Main!BN109,"")</f>
        <v>42069</v>
      </c>
      <c r="AH108" s="263">
        <f>IF(Main!BO109&gt;0,Main!BO109,"")</f>
        <v>42069</v>
      </c>
      <c r="AI108" s="263">
        <f>IF(Main!BR109&gt;0,Main!BR109,"")</f>
        <v>42076</v>
      </c>
      <c r="AJ108" s="263">
        <f>IF(Main!BQ109&gt;0,Main!BQ109,"")</f>
        <v>42069</v>
      </c>
      <c r="AK108" s="263">
        <f>IF(Main!AV109&gt;0,Main!AV109,"")</f>
        <v>42069</v>
      </c>
      <c r="AL108" s="263">
        <f>IF(Main!AU109&gt;0,Main!AU109,"")</f>
        <v>42069</v>
      </c>
      <c r="AM108" s="263">
        <f>IF(Main!AT109&gt;0,Main!AT109,"")</f>
        <v>42069</v>
      </c>
      <c r="AN108" s="259" t="str">
        <f>Main!BW109</f>
        <v xml:space="preserve">1905 3/13/2015, 2305 3/9/2015, MDR 3/13/2015, </v>
      </c>
    </row>
    <row r="109" spans="1:40" x14ac:dyDescent="0.25">
      <c r="A109" s="258">
        <f>Main!C110</f>
        <v>1082326</v>
      </c>
      <c r="B109" s="259" t="str">
        <f>Main!D110</f>
        <v>Geron, Sarah Agatha Magsino</v>
      </c>
      <c r="C109" s="259" t="str">
        <f>Main!AH110</f>
        <v>Probationary</v>
      </c>
      <c r="D109" s="260">
        <f>Main!B110</f>
        <v>42072</v>
      </c>
      <c r="E109" s="260" t="str">
        <f>IF(Main!AI110&lt;1,"",Main!AI110)</f>
        <v>Jobstreet</v>
      </c>
      <c r="F109" s="260" t="str">
        <f>IF(Main!AJ110&lt;1,"",Main!AJ110)</f>
        <v/>
      </c>
      <c r="G109" s="260" t="str">
        <f>IF(Main!AK110&lt;1,"",Main!AK110)</f>
        <v/>
      </c>
      <c r="H109" s="259" t="str">
        <f>Main!Y110</f>
        <v>Matrix Resume Formatter</v>
      </c>
      <c r="I109" s="259" t="str">
        <f>Main!Z110</f>
        <v>N/A</v>
      </c>
      <c r="J109" s="259">
        <f>IF(Main!A110&lt;1,"",Main!A110)</f>
        <v>187</v>
      </c>
      <c r="K109" s="260">
        <f>IF(Main!AN110&gt;0,Main!AN110,"")</f>
        <v>32539</v>
      </c>
      <c r="L109" s="258" t="str">
        <f>IF(Main!Q110&gt;0,Main!Q110,"")</f>
        <v>sarah.purple15@yahoo.com</v>
      </c>
      <c r="M109" s="410">
        <f>VALUE(IF(Main!S110&gt;0,Main!S110,""))</f>
        <v>9156203188</v>
      </c>
      <c r="N109" s="261" t="str">
        <f>Main!T110</f>
        <v/>
      </c>
      <c r="O109" s="258" t="str">
        <f>IF(Main!AO110&gt;0,Main!AO110,"")</f>
        <v>20-D Pangasinan St. Bago Bantay, Alicia, Quezon City</v>
      </c>
      <c r="P109" s="258" t="str">
        <f>IF(Main!AP110&gt;0,Main!AP110,"")</f>
        <v/>
      </c>
      <c r="Q109" s="258" t="str">
        <f>IF(Main!AR110&gt;0,Main!AR110,"")</f>
        <v>Single</v>
      </c>
      <c r="R109" s="259" t="str">
        <f>IF(Main!AQ110&gt;0,Main!AQ110,"")</f>
        <v>Female</v>
      </c>
      <c r="S109" s="259" t="str">
        <f>IF(Main!BD110&gt;0,Main!BD110,"")</f>
        <v>34-1503772-0</v>
      </c>
      <c r="T109" s="259" t="str">
        <f>IF(Main!AX110&gt;0,Main!AX110,"")</f>
        <v>265-712-987</v>
      </c>
      <c r="U109" s="259" t="str">
        <f>IF(Main!BH110&gt;0,Main!BH110,"")</f>
        <v>03-050703086-2</v>
      </c>
      <c r="V109" s="268" t="str">
        <f>IF(Main!BF110&gt;0,Main!BF110,"")</f>
        <v>1211-3446-1871</v>
      </c>
      <c r="W109" s="263">
        <f>IF(Main!BS110&gt;0,Main!BS110,"")</f>
        <v>42069</v>
      </c>
      <c r="X109" s="263">
        <f>IF(Main!BT110&gt;0,Main!BT110,"")</f>
        <v>42069</v>
      </c>
      <c r="Y109" s="263">
        <f>IF(Main!BU110&gt;0,Main!BU110,"")</f>
        <v>42069</v>
      </c>
      <c r="Z109" s="263">
        <f>IF(Main!AS110&gt;0,Main!AS110,"")</f>
        <v>42075</v>
      </c>
      <c r="AA109" s="263">
        <f>IF(Main!BJ110&gt;0,Main!BJ110,"")</f>
        <v>42075</v>
      </c>
      <c r="AB109" s="263">
        <f>IF(Main!BC110&gt;0,Main!BC110,"")</f>
        <v>42104</v>
      </c>
      <c r="AC109" s="263">
        <f>IF(Main!AW110&gt;0,Main!AW110,"")</f>
        <v>42075</v>
      </c>
      <c r="AD109" s="263">
        <f>IF(Main!BG110&gt;0,Main!BG110,"")</f>
        <v>42075</v>
      </c>
      <c r="AE109" s="263">
        <f>IF(Main!BE110&gt;0,Main!BE110,"")</f>
        <v>42075</v>
      </c>
      <c r="AF109" s="263">
        <f>IF(Main!BM110&gt;0,Main!BM110,"")</f>
        <v>42075</v>
      </c>
      <c r="AG109" s="263" t="str">
        <f>IF(Main!BN110&gt;0,Main!BN110,"")</f>
        <v/>
      </c>
      <c r="AH109" s="263" t="str">
        <f>IF(Main!BO110&gt;0,Main!BO110,"")</f>
        <v/>
      </c>
      <c r="AI109" s="263" t="str">
        <f>IF(Main!BR110&gt;0,Main!BR110,"")</f>
        <v/>
      </c>
      <c r="AJ109" s="263" t="str">
        <f>IF(Main!BQ110&gt;0,Main!BQ110,"")</f>
        <v/>
      </c>
      <c r="AK109" s="263">
        <f>IF(Main!AV110&gt;0,Main!AV110,"")</f>
        <v>42074</v>
      </c>
      <c r="AL109" s="263">
        <f>IF(Main!AU110&gt;0,Main!AU110,"")</f>
        <v>42075</v>
      </c>
      <c r="AM109" s="263">
        <f>IF(Main!AT110&gt;0,Main!AT110,"")</f>
        <v>42075</v>
      </c>
      <c r="AN109" s="259" t="str">
        <f>Main!BW110</f>
        <v xml:space="preserve">1905 4/10/2015, 2305 3/12/2015, </v>
      </c>
    </row>
    <row r="110" spans="1:40" x14ac:dyDescent="0.25">
      <c r="A110" s="258">
        <f>Main!C111</f>
        <v>1082327</v>
      </c>
      <c r="B110" s="259" t="str">
        <f>Main!D111</f>
        <v>Pili, Maria Micaela Dizon</v>
      </c>
      <c r="C110" s="259" t="str">
        <f>Main!AH111</f>
        <v>Probationary</v>
      </c>
      <c r="D110" s="260">
        <f>Main!B111</f>
        <v>42072</v>
      </c>
      <c r="E110" s="260" t="str">
        <f>IF(Main!AI111&lt;1,"",Main!AI111)</f>
        <v>ERP</v>
      </c>
      <c r="F110" s="260" t="str">
        <f>IF(Main!AJ111&lt;1,"",Main!AJ111)</f>
        <v>James Nayve</v>
      </c>
      <c r="G110" s="260" t="str">
        <f>IF(Main!AK111&lt;1,"",Main!AK111)</f>
        <v/>
      </c>
      <c r="H110" s="259" t="str">
        <f>Main!Y111</f>
        <v>Internet Researcher</v>
      </c>
      <c r="I110" s="259" t="str">
        <f>Main!Z111</f>
        <v>Level 1</v>
      </c>
      <c r="J110" s="259">
        <f>IF(Main!A111&lt;1,"",Main!A111)</f>
        <v>187</v>
      </c>
      <c r="K110" s="260">
        <f>IF(Main!AN111&gt;0,Main!AN111,"")</f>
        <v>33504</v>
      </c>
      <c r="L110" s="258" t="str">
        <f>IF(Main!Q111&gt;0,Main!Q111,"")</f>
        <v>micaelapili@yahoo.com</v>
      </c>
      <c r="M110" s="410">
        <f>VALUE(IF(Main!S111&gt;0,Main!S111,""))</f>
        <v>9155356510</v>
      </c>
      <c r="N110" s="261" t="str">
        <f>Main!T111</f>
        <v/>
      </c>
      <c r="O110" s="258" t="str">
        <f>IF(Main!AO111&gt;0,Main!AO111,"")</f>
        <v>14 M.L Quezon St., Wawa, Taguig City</v>
      </c>
      <c r="P110" s="258" t="str">
        <f>IF(Main!AP111&gt;0,Main!AP111,"")</f>
        <v>14 M.L Quezon St., Wawa, Taguig City</v>
      </c>
      <c r="Q110" s="258" t="str">
        <f>IF(Main!AR111&gt;0,Main!AR111,"")</f>
        <v>Single</v>
      </c>
      <c r="R110" s="259" t="str">
        <f>IF(Main!AQ111&gt;0,Main!AQ111,"")</f>
        <v>Female</v>
      </c>
      <c r="S110" s="259" t="str">
        <f>IF(Main!BD111&gt;0,Main!BD111,"")</f>
        <v>34-4998488-1</v>
      </c>
      <c r="T110" s="259" t="str">
        <f>IF(Main!AX111&gt;0,Main!AX111,"")</f>
        <v>500-088-992</v>
      </c>
      <c r="U110" s="259" t="str">
        <f>IF(Main!BH111&gt;0,Main!BH111,"")</f>
        <v>01-052013326-2</v>
      </c>
      <c r="V110" s="268" t="str">
        <f>IF(Main!BF111&gt;0,Main!BF111,"")</f>
        <v>1211-3985-7678</v>
      </c>
      <c r="W110" s="263">
        <f>IF(Main!BS111&gt;0,Main!BS111,"")</f>
        <v>42073</v>
      </c>
      <c r="X110" s="263">
        <f>IF(Main!BT111&gt;0,Main!BT111,"")</f>
        <v>42073</v>
      </c>
      <c r="Y110" s="263">
        <f>IF(Main!BU111&gt;0,Main!BU111,"")</f>
        <v>42073</v>
      </c>
      <c r="Z110" s="263">
        <f>IF(Main!AS111&gt;0,Main!AS111,"")</f>
        <v>42072</v>
      </c>
      <c r="AA110" s="263">
        <f>IF(Main!BJ111&gt;0,Main!BJ111,"")</f>
        <v>42072</v>
      </c>
      <c r="AB110" s="263">
        <f>IF(Main!BC111&gt;0,Main!BC111,"")</f>
        <v>42072</v>
      </c>
      <c r="AC110" s="263">
        <f>IF(Main!AW111&gt;0,Main!AW111,"")</f>
        <v>42083</v>
      </c>
      <c r="AD110" s="263">
        <f>IF(Main!BG111&gt;0,Main!BG111,"")</f>
        <v>42089</v>
      </c>
      <c r="AE110" s="263">
        <f>IF(Main!BE111&gt;0,Main!BE111,"")</f>
        <v>42090</v>
      </c>
      <c r="AF110" s="263">
        <f>IF(Main!BM111&gt;0,Main!BM111,"")</f>
        <v>42072</v>
      </c>
      <c r="AG110" s="263" t="str">
        <f>IF(Main!BN111&gt;0,Main!BN111,"")</f>
        <v/>
      </c>
      <c r="AH110" s="263" t="str">
        <f>IF(Main!BO111&gt;0,Main!BO111,"")</f>
        <v/>
      </c>
      <c r="AI110" s="263" t="str">
        <f>IF(Main!BR111&gt;0,Main!BR111,"")</f>
        <v/>
      </c>
      <c r="AJ110" s="263">
        <f>IF(Main!BQ111&gt;0,Main!BQ111,"")</f>
        <v>42072</v>
      </c>
      <c r="AK110" s="263">
        <f>IF(Main!AV111&gt;0,Main!AV111,"")</f>
        <v>42072</v>
      </c>
      <c r="AL110" s="263">
        <f>IF(Main!AU111&gt;0,Main!AU111,"")</f>
        <v>42072</v>
      </c>
      <c r="AM110" s="263">
        <f>IF(Main!AT111&gt;0,Main!AT111,"")</f>
        <v>42072</v>
      </c>
      <c r="AN110" s="259" t="str">
        <f>Main!BW111</f>
        <v xml:space="preserve">MDR 3/26/2015, </v>
      </c>
    </row>
    <row r="111" spans="1:40" x14ac:dyDescent="0.25">
      <c r="A111" s="258">
        <f>Main!C112</f>
        <v>1082328</v>
      </c>
      <c r="B111" s="259" t="str">
        <f>Main!D112</f>
        <v>Domingo, Ralph Maron Edbert Mojica</v>
      </c>
      <c r="C111" s="259" t="str">
        <f>Main!AH112</f>
        <v>Probationary</v>
      </c>
      <c r="D111" s="260">
        <f>Main!B112</f>
        <v>42072</v>
      </c>
      <c r="E111" s="260" t="str">
        <f>IF(Main!AI112&lt;1,"",Main!AI112)</f>
        <v>ERP</v>
      </c>
      <c r="F111" s="260" t="str">
        <f>IF(Main!AJ112&lt;1,"",Main!AJ112)</f>
        <v>Romnick Magpantay</v>
      </c>
      <c r="G111" s="260" t="str">
        <f>IF(Main!AK112&lt;1,"",Main!AK112)</f>
        <v/>
      </c>
      <c r="H111" s="259" t="str">
        <f>Main!Y112</f>
        <v>Internet Researcher</v>
      </c>
      <c r="I111" s="259" t="str">
        <f>Main!Z112</f>
        <v>Level 1</v>
      </c>
      <c r="J111" s="259">
        <f>IF(Main!A112&lt;1,"",Main!A112)</f>
        <v>187</v>
      </c>
      <c r="K111" s="260">
        <f>IF(Main!AN112&gt;0,Main!AN112,"")</f>
        <v>33948</v>
      </c>
      <c r="L111" s="258" t="str">
        <f>IF(Main!Q112&gt;0,Main!Q112,"")</f>
        <v>domingomaron@gmail.com</v>
      </c>
      <c r="M111" s="410">
        <f>VALUE(IF(Main!S112&gt;0,Main!S112,""))</f>
        <v>9163558762</v>
      </c>
      <c r="N111" s="261" t="str">
        <f>Main!T112</f>
        <v/>
      </c>
      <c r="O111" s="258" t="str">
        <f>IF(Main!AO112&gt;0,Main!AO112,"")</f>
        <v>Brgy Malamig, Bulusan St. Mandaluyong</v>
      </c>
      <c r="P111" s="258" t="str">
        <f>IF(Main!AP112&gt;0,Main!AP112,"")</f>
        <v>364 Luksihin Ibaba Alfonso, Cavite</v>
      </c>
      <c r="Q111" s="258" t="str">
        <f>IF(Main!AR112&gt;0,Main!AR112,"")</f>
        <v>Single</v>
      </c>
      <c r="R111" s="259" t="str">
        <f>IF(Main!AQ112&gt;0,Main!AQ112,"")</f>
        <v>Male</v>
      </c>
      <c r="S111" s="259" t="str">
        <f>IF(Main!BD112&gt;0,Main!BD112,"")</f>
        <v>34-3914575-3</v>
      </c>
      <c r="T111" s="259" t="str">
        <f>IF(Main!AX112&gt;0,Main!AX112,"")</f>
        <v>402-050-870</v>
      </c>
      <c r="U111" s="259" t="str">
        <f>IF(Main!BH112&gt;0,Main!BH112,"")</f>
        <v>22-000177651-7</v>
      </c>
      <c r="V111" s="268" t="str">
        <f>IF(Main!BF112&gt;0,Main!BF112,"")</f>
        <v>1210-9093-7405</v>
      </c>
      <c r="W111" s="263">
        <f>IF(Main!BS112&gt;0,Main!BS112,"")</f>
        <v>42073</v>
      </c>
      <c r="X111" s="263">
        <f>IF(Main!BT112&gt;0,Main!BT112,"")</f>
        <v>42073</v>
      </c>
      <c r="Y111" s="263">
        <f>IF(Main!BU112&gt;0,Main!BU112,"")</f>
        <v>42073</v>
      </c>
      <c r="Z111" s="263">
        <f>IF(Main!AS112&gt;0,Main!AS112,"")</f>
        <v>42074</v>
      </c>
      <c r="AA111" s="263">
        <f>IF(Main!BJ112&gt;0,Main!BJ112,"")</f>
        <v>42094</v>
      </c>
      <c r="AB111" s="263">
        <f>IF(Main!BC112&gt;0,Main!BC112,"")</f>
        <v>42074</v>
      </c>
      <c r="AC111" s="263">
        <f>IF(Main!AW112&gt;0,Main!AW112,"")</f>
        <v>42086</v>
      </c>
      <c r="AD111" s="263">
        <f>IF(Main!BG112&gt;0,Main!BG112,"")</f>
        <v>42074</v>
      </c>
      <c r="AE111" s="263">
        <f>IF(Main!BE112&gt;0,Main!BE112,"")</f>
        <v>42074</v>
      </c>
      <c r="AF111" s="263">
        <f>IF(Main!BM112&gt;0,Main!BM112,"")</f>
        <v>42074</v>
      </c>
      <c r="AG111" s="263" t="str">
        <f>IF(Main!BN112&gt;0,Main!BN112,"")</f>
        <v/>
      </c>
      <c r="AH111" s="263" t="str">
        <f>IF(Main!BO112&gt;0,Main!BO112,"")</f>
        <v/>
      </c>
      <c r="AI111" s="263" t="str">
        <f>IF(Main!BR112&gt;0,Main!BR112,"")</f>
        <v/>
      </c>
      <c r="AJ111" s="263">
        <f>IF(Main!BQ112&gt;0,Main!BQ112,"")</f>
        <v>42074</v>
      </c>
      <c r="AK111" s="263">
        <f>IF(Main!AV112&gt;0,Main!AV112,"")</f>
        <v>42074</v>
      </c>
      <c r="AL111" s="263">
        <f>IF(Main!AU112&gt;0,Main!AU112,"")</f>
        <v>42074</v>
      </c>
      <c r="AM111" s="263">
        <f>IF(Main!AT112&gt;0,Main!AT112,"")</f>
        <v>42074</v>
      </c>
      <c r="AN111" s="259" t="str">
        <f>Main!BW112</f>
        <v xml:space="preserve">1905 3/23/2015, 2305 3/11/2015, MDR 3/27/2015, NBI receipt 3/27/2015, </v>
      </c>
    </row>
    <row r="112" spans="1:40" x14ac:dyDescent="0.25">
      <c r="A112" s="258">
        <f>Main!C113</f>
        <v>1082329</v>
      </c>
      <c r="B112" s="259" t="str">
        <f>Main!D113</f>
        <v>Dimaano, Mhark Angelo Reyes</v>
      </c>
      <c r="C112" s="259" t="str">
        <f>Main!AH113</f>
        <v>Probationary</v>
      </c>
      <c r="D112" s="260">
        <f>Main!B113</f>
        <v>42072</v>
      </c>
      <c r="E112" s="260" t="str">
        <f>IF(Main!AI113&lt;1,"",Main!AI113)</f>
        <v>ERP</v>
      </c>
      <c r="F112" s="260" t="str">
        <f>IF(Main!AJ113&lt;1,"",Main!AJ113)</f>
        <v>Lorraine Maranan</v>
      </c>
      <c r="G112" s="260" t="str">
        <f>IF(Main!AK113&lt;1,"",Main!AK113)</f>
        <v/>
      </c>
      <c r="H112" s="259" t="str">
        <f>Main!Y113</f>
        <v>Internet Researcher</v>
      </c>
      <c r="I112" s="259" t="str">
        <f>Main!Z113</f>
        <v>Level 1</v>
      </c>
      <c r="J112" s="259">
        <f>IF(Main!A113&lt;1,"",Main!A113)</f>
        <v>187</v>
      </c>
      <c r="K112" s="260">
        <f>IF(Main!AN113&gt;0,Main!AN113,"")</f>
        <v>40552</v>
      </c>
      <c r="L112" s="258" t="str">
        <f>IF(Main!Q113&gt;0,Main!Q113,"")</f>
        <v>dmharkangelo@yahoo.com</v>
      </c>
      <c r="M112" s="410">
        <f>VALUE(IF(Main!S113&gt;0,Main!S113,""))</f>
        <v>9264943439</v>
      </c>
      <c r="N112" s="261" t="str">
        <f>Main!T113</f>
        <v/>
      </c>
      <c r="O112" s="258" t="str">
        <f>IF(Main!AO113&gt;0,Main!AO113,"")</f>
        <v>2327 Agua Marina St. San Andres Bukid Manila</v>
      </c>
      <c r="P112" s="258" t="str">
        <f>IF(Main!AP113&gt;0,Main!AP113,"")</f>
        <v/>
      </c>
      <c r="Q112" s="258" t="str">
        <f>IF(Main!AR113&gt;0,Main!AR113,"")</f>
        <v>Single</v>
      </c>
      <c r="R112" s="259" t="str">
        <f>IF(Main!AQ113&gt;0,Main!AQ113,"")</f>
        <v>Male</v>
      </c>
      <c r="S112" s="259" t="str">
        <f>IF(Main!BD113&gt;0,Main!BD113,"")</f>
        <v>34-5036580-0</v>
      </c>
      <c r="T112" s="259" t="str">
        <f>IF(Main!AX113&gt;0,Main!AX113,"")</f>
        <v>500-079-464</v>
      </c>
      <c r="U112" s="259" t="str">
        <f>IF(Main!BH113&gt;0,Main!BH113,"")</f>
        <v>09-050441003-9</v>
      </c>
      <c r="V112" s="268" t="str">
        <f>IF(Main!BF113&gt;0,Main!BF113,"")</f>
        <v>1211-3968-7773</v>
      </c>
      <c r="W112" s="263">
        <f>IF(Main!BS113&gt;0,Main!BS113,"")</f>
        <v>42073</v>
      </c>
      <c r="X112" s="263">
        <f>IF(Main!BT113&gt;0,Main!BT113,"")</f>
        <v>42073</v>
      </c>
      <c r="Y112" s="263">
        <f>IF(Main!BU113&gt;0,Main!BU113,"")</f>
        <v>42073</v>
      </c>
      <c r="Z112" s="263">
        <f>IF(Main!AS113&gt;0,Main!AS113,"")</f>
        <v>42072</v>
      </c>
      <c r="AA112" s="263">
        <f>IF(Main!BJ113&gt;0,Main!BJ113,"")</f>
        <v>42094</v>
      </c>
      <c r="AB112" s="263">
        <f>IF(Main!BC113&gt;0,Main!BC113,"")</f>
        <v>42081</v>
      </c>
      <c r="AC112" s="263">
        <f>IF(Main!AW113&gt;0,Main!AW113,"")</f>
        <v>42073</v>
      </c>
      <c r="AD112" s="263">
        <f>IF(Main!BG113&gt;0,Main!BG113,"")</f>
        <v>42076</v>
      </c>
      <c r="AE112" s="263">
        <f>IF(Main!BE113&gt;0,Main!BE113,"")</f>
        <v>42076</v>
      </c>
      <c r="AF112" s="263">
        <f>IF(Main!BM113&gt;0,Main!BM113,"")</f>
        <v>42072</v>
      </c>
      <c r="AG112" s="263" t="str">
        <f>IF(Main!BN113&gt;0,Main!BN113,"")</f>
        <v/>
      </c>
      <c r="AH112" s="263" t="str">
        <f>IF(Main!BO113&gt;0,Main!BO113,"")</f>
        <v/>
      </c>
      <c r="AI112" s="263" t="str">
        <f>IF(Main!BR113&gt;0,Main!BR113,"")</f>
        <v/>
      </c>
      <c r="AJ112" s="263">
        <f>IF(Main!BQ113&gt;0,Main!BQ113,"")</f>
        <v>42072</v>
      </c>
      <c r="AK112" s="263">
        <f>IF(Main!AV113&gt;0,Main!AV113,"")</f>
        <v>42072</v>
      </c>
      <c r="AL112" s="263">
        <f>IF(Main!AU113&gt;0,Main!AU113,"")</f>
        <v>42072</v>
      </c>
      <c r="AM112" s="263">
        <f>IF(Main!AT113&gt;0,Main!AT113,"")</f>
        <v>42072</v>
      </c>
      <c r="AN112" s="259" t="str">
        <f>Main!BW113</f>
        <v xml:space="preserve">MDR 3/13/2015, NBI receipt 3/25/2015, </v>
      </c>
    </row>
    <row r="113" spans="1:40" x14ac:dyDescent="0.25">
      <c r="A113" s="258">
        <f>Main!C114</f>
        <v>1082330</v>
      </c>
      <c r="B113" s="259" t="str">
        <f>Main!D114</f>
        <v>Dones, Kevin Luczon</v>
      </c>
      <c r="C113" s="259" t="str">
        <f>Main!AH114</f>
        <v>Probationary</v>
      </c>
      <c r="D113" s="260">
        <f>Main!B114</f>
        <v>42072</v>
      </c>
      <c r="E113" s="260" t="str">
        <f>IF(Main!AI114&lt;1,"",Main!AI114)</f>
        <v>ERP</v>
      </c>
      <c r="F113" s="260" t="str">
        <f>IF(Main!AJ114&lt;1,"",Main!AJ114)</f>
        <v>Carin Radoc Elnasin</v>
      </c>
      <c r="G113" s="260" t="str">
        <f>IF(Main!AK114&lt;1,"",Main!AK114)</f>
        <v/>
      </c>
      <c r="H113" s="259" t="str">
        <f>Main!Y114</f>
        <v>Internet Researcher</v>
      </c>
      <c r="I113" s="259" t="str">
        <f>Main!Z114</f>
        <v>Level 1</v>
      </c>
      <c r="J113" s="259">
        <f>IF(Main!A114&lt;1,"",Main!A114)</f>
        <v>187</v>
      </c>
      <c r="K113" s="260">
        <f>IF(Main!AN114&gt;0,Main!AN114,"")</f>
        <v>33324</v>
      </c>
      <c r="L113" s="258" t="str">
        <f>IF(Main!Q114&gt;0,Main!Q114,"")</f>
        <v>kcdones14@gmail.com</v>
      </c>
      <c r="M113" s="410">
        <f>VALUE(IF(Main!S114&gt;0,Main!S114,""))</f>
        <v>9151934666</v>
      </c>
      <c r="N113" s="261" t="str">
        <f>Main!T114</f>
        <v/>
      </c>
      <c r="O113" s="258" t="str">
        <f>IF(Main!AO114&gt;0,Main!AO114,"")</f>
        <v>760-B Antipolo St. Sampaloc Manila</v>
      </c>
      <c r="P113" s="258" t="str">
        <f>IF(Main!AP114&gt;0,Main!AP114,"")</f>
        <v>760-B Antipolo St. Sampaloc Manila</v>
      </c>
      <c r="Q113" s="258" t="str">
        <f>IF(Main!AR114&gt;0,Main!AR114,"")</f>
        <v>Single</v>
      </c>
      <c r="R113" s="259" t="str">
        <f>IF(Main!AQ114&gt;0,Main!AQ114,"")</f>
        <v>Male</v>
      </c>
      <c r="S113" s="259" t="str">
        <f>IF(Main!BD114&gt;0,Main!BD114,"")</f>
        <v>34-2923858-6</v>
      </c>
      <c r="T113" s="259" t="str">
        <f>IF(Main!AX114&gt;0,Main!AX114,"")</f>
        <v>500-079-499</v>
      </c>
      <c r="U113" s="259" t="str">
        <f>IF(Main!BH114&gt;0,Main!BH114,"")</f>
        <v>13-050169537-9</v>
      </c>
      <c r="V113" s="268" t="str">
        <f>IF(Main!BF114&gt;0,Main!BF114,"")</f>
        <v>1211-3977-9257</v>
      </c>
      <c r="W113" s="263">
        <f>IF(Main!BS114&gt;0,Main!BS114,"")</f>
        <v>42073</v>
      </c>
      <c r="X113" s="263">
        <f>IF(Main!BT114&gt;0,Main!BT114,"")</f>
        <v>42073</v>
      </c>
      <c r="Y113" s="263">
        <f>IF(Main!BU114&gt;0,Main!BU114,"")</f>
        <v>42073</v>
      </c>
      <c r="Z113" s="263">
        <f>IF(Main!AS114&gt;0,Main!AS114,"")</f>
        <v>42072</v>
      </c>
      <c r="AA113" s="263">
        <f>IF(Main!BJ114&gt;0,Main!BJ114,"")</f>
        <v>42072</v>
      </c>
      <c r="AB113" s="263">
        <f>IF(Main!BC114&gt;0,Main!BC114,"")</f>
        <v>42072</v>
      </c>
      <c r="AC113" s="263">
        <f>IF(Main!AW114&gt;0,Main!AW114,"")</f>
        <v>42074</v>
      </c>
      <c r="AD113" s="263">
        <f>IF(Main!BG114&gt;0,Main!BG114,"")</f>
        <v>42090</v>
      </c>
      <c r="AE113" s="263">
        <f>IF(Main!BE114&gt;0,Main!BE114,"")</f>
        <v>42082</v>
      </c>
      <c r="AF113" s="263">
        <f>IF(Main!BM114&gt;0,Main!BM114,"")</f>
        <v>42072</v>
      </c>
      <c r="AG113" s="263" t="str">
        <f>IF(Main!BN114&gt;0,Main!BN114,"")</f>
        <v/>
      </c>
      <c r="AH113" s="263" t="str">
        <f>IF(Main!BO114&gt;0,Main!BO114,"")</f>
        <v/>
      </c>
      <c r="AI113" s="263" t="str">
        <f>IF(Main!BR114&gt;0,Main!BR114,"")</f>
        <v/>
      </c>
      <c r="AJ113" s="263">
        <f>IF(Main!BQ114&gt;0,Main!BQ114,"")</f>
        <v>42083</v>
      </c>
      <c r="AK113" s="263">
        <f>IF(Main!AV114&gt;0,Main!AV114,"")</f>
        <v>42072</v>
      </c>
      <c r="AL113" s="263">
        <f>IF(Main!AU114&gt;0,Main!AU114,"")</f>
        <v>42072</v>
      </c>
      <c r="AM113" s="263">
        <f>IF(Main!AT114&gt;0,Main!AT114,"")</f>
        <v>42072</v>
      </c>
      <c r="AN113" s="259" t="str">
        <f>Main!BW114</f>
        <v xml:space="preserve">MDR 3/27/2015, </v>
      </c>
    </row>
    <row r="114" spans="1:40" x14ac:dyDescent="0.25">
      <c r="A114" s="258">
        <f>Main!C115</f>
        <v>1082331</v>
      </c>
      <c r="B114" s="259" t="str">
        <f>Main!D115</f>
        <v>Malig, John Kevin Vallada</v>
      </c>
      <c r="C114" s="259" t="str">
        <f>Main!AH115</f>
        <v>Probationary</v>
      </c>
      <c r="D114" s="260">
        <f>Main!B115</f>
        <v>42072</v>
      </c>
      <c r="E114" s="260" t="str">
        <f>IF(Main!AI115&lt;1,"",Main!AI115)</f>
        <v>Jobstreet_Ad</v>
      </c>
      <c r="F114" s="260" t="str">
        <f>IF(Main!AJ115&lt;1,"",Main!AJ115)</f>
        <v/>
      </c>
      <c r="G114" s="260" t="str">
        <f>IF(Main!AK115&lt;1,"",Main!AK115)</f>
        <v/>
      </c>
      <c r="H114" s="259" t="str">
        <f>Main!Y115</f>
        <v>Internet Researcher</v>
      </c>
      <c r="I114" s="259" t="str">
        <f>Main!Z115</f>
        <v>Level 1</v>
      </c>
      <c r="J114" s="259">
        <f>IF(Main!A115&lt;1,"",Main!A115)</f>
        <v>187</v>
      </c>
      <c r="K114" s="260">
        <f>IF(Main!AN115&gt;0,Main!AN115,"")</f>
        <v>34045</v>
      </c>
      <c r="L114" s="258" t="str">
        <f>IF(Main!Q115&gt;0,Main!Q115,"")</f>
        <v>vin.malig017@gmail.com</v>
      </c>
      <c r="M114" s="410">
        <f>VALUE(IF(Main!S115&gt;0,Main!S115,""))</f>
        <v>9059244355</v>
      </c>
      <c r="N114" s="261" t="str">
        <f>Main!T115</f>
        <v/>
      </c>
      <c r="O114" s="258" t="str">
        <f>IF(Main!AO115&gt;0,Main!AO115,"")</f>
        <v>547 B Bayan Luma V Imus, Cavite</v>
      </c>
      <c r="P114" s="258" t="str">
        <f>IF(Main!AP115&gt;0,Main!AP115,"")</f>
        <v>547 B Bayan Luma V Imus, Cavite</v>
      </c>
      <c r="Q114" s="258" t="str">
        <f>IF(Main!AR115&gt;0,Main!AR115,"")</f>
        <v>Single</v>
      </c>
      <c r="R114" s="259" t="str">
        <f>IF(Main!AQ115&gt;0,Main!AQ115,"")</f>
        <v>Male</v>
      </c>
      <c r="S114" s="259" t="str">
        <f>IF(Main!BD115&gt;0,Main!BD115,"")</f>
        <v>34-4766093-2</v>
      </c>
      <c r="T114" s="259" t="str">
        <f>IF(Main!AX115&gt;0,Main!AX115,"")</f>
        <v>456-389-083</v>
      </c>
      <c r="U114" s="259" t="str">
        <f>IF(Main!BH115&gt;0,Main!BH115,"")</f>
        <v>01-052017968-8</v>
      </c>
      <c r="V114" s="268" t="str">
        <f>IF(Main!BF115&gt;0,Main!BF115,"")</f>
        <v>1211-2786-6372</v>
      </c>
      <c r="W114" s="263">
        <f>IF(Main!BS115&gt;0,Main!BS115,"")</f>
        <v>42073</v>
      </c>
      <c r="X114" s="263">
        <f>IF(Main!BT115&gt;0,Main!BT115,"")</f>
        <v>42073</v>
      </c>
      <c r="Y114" s="263">
        <f>IF(Main!BU115&gt;0,Main!BU115,"")</f>
        <v>42073</v>
      </c>
      <c r="Z114" s="263">
        <f>IF(Main!AS115&gt;0,Main!AS115,"")</f>
        <v>42072</v>
      </c>
      <c r="AA114" s="263">
        <f>IF(Main!BJ115&gt;0,Main!BJ115,"")</f>
        <v>42074</v>
      </c>
      <c r="AB114" s="263">
        <f>IF(Main!BC115&gt;0,Main!BC115,"")</f>
        <v>42074</v>
      </c>
      <c r="AC114" s="263">
        <f>IF(Main!AW115&gt;0,Main!AW115,"")</f>
        <v>42074</v>
      </c>
      <c r="AD114" s="263">
        <f>IF(Main!BG115&gt;0,Main!BG115,"")</f>
        <v>42090</v>
      </c>
      <c r="AE114" s="263">
        <f>IF(Main!BE115&gt;0,Main!BE115,"")</f>
        <v>42082</v>
      </c>
      <c r="AF114" s="263">
        <f>IF(Main!BM115&gt;0,Main!BM115,"")</f>
        <v>42074</v>
      </c>
      <c r="AG114" s="263" t="str">
        <f>IF(Main!BN115&gt;0,Main!BN115,"")</f>
        <v/>
      </c>
      <c r="AH114" s="263" t="str">
        <f>IF(Main!BO115&gt;0,Main!BO115,"")</f>
        <v/>
      </c>
      <c r="AI114" s="263" t="str">
        <f>IF(Main!BR115&gt;0,Main!BR115,"")</f>
        <v/>
      </c>
      <c r="AJ114" s="263">
        <f>IF(Main!BQ115&gt;0,Main!BQ115,"")</f>
        <v>42074</v>
      </c>
      <c r="AK114" s="263">
        <f>IF(Main!AV115&gt;0,Main!AV115,"")</f>
        <v>42072</v>
      </c>
      <c r="AL114" s="263">
        <f>IF(Main!AU115&gt;0,Main!AU115,"")</f>
        <v>42072</v>
      </c>
      <c r="AM114" s="263">
        <f>IF(Main!AT115&gt;0,Main!AT115,"")</f>
        <v>42072</v>
      </c>
      <c r="AN114" s="259" t="str">
        <f>Main!BW115</f>
        <v xml:space="preserve">2305 3/9/2015, MDR 3/27/2015, </v>
      </c>
    </row>
    <row r="115" spans="1:40" x14ac:dyDescent="0.25">
      <c r="A115" s="258">
        <f>Main!C116</f>
        <v>1082332</v>
      </c>
      <c r="B115" s="259" t="str">
        <f>Main!D116</f>
        <v>Bocboc, Jester Marbella</v>
      </c>
      <c r="C115" s="259" t="str">
        <f>Main!AH116</f>
        <v>Probationary</v>
      </c>
      <c r="D115" s="260">
        <f>Main!B116</f>
        <v>42072</v>
      </c>
      <c r="E115" s="260" t="str">
        <f>IF(Main!AI116&lt;1,"",Main!AI116)</f>
        <v>ERP</v>
      </c>
      <c r="F115" s="260" t="str">
        <f>IF(Main!AJ116&lt;1,"",Main!AJ116)</f>
        <v>Czarina Reyes</v>
      </c>
      <c r="G115" s="260" t="str">
        <f>IF(Main!AK116&lt;1,"",Main!AK116)</f>
        <v/>
      </c>
      <c r="H115" s="259" t="str">
        <f>Main!Y116</f>
        <v>Internet Researcher</v>
      </c>
      <c r="I115" s="259" t="str">
        <f>Main!Z116</f>
        <v>Level 1</v>
      </c>
      <c r="J115" s="259">
        <f>IF(Main!A116&lt;1,"",Main!A116)</f>
        <v>187</v>
      </c>
      <c r="K115" s="260">
        <f>IF(Main!AN116&gt;0,Main!AN116,"")</f>
        <v>34528</v>
      </c>
      <c r="L115" s="258" t="str">
        <f>IF(Main!Q116&gt;0,Main!Q116,"")</f>
        <v>bocbocjesterm@gmail.com</v>
      </c>
      <c r="M115" s="410">
        <f>VALUE(IF(Main!S116&gt;0,Main!S116,""))</f>
        <v>9065846093</v>
      </c>
      <c r="N115" s="261" t="str">
        <f>Main!T116</f>
        <v/>
      </c>
      <c r="O115" s="258" t="str">
        <f>IF(Main!AO116&gt;0,Main!AO116,"")</f>
        <v>514. A Delas Alas St. Pasay</v>
      </c>
      <c r="P115" s="258" t="str">
        <f>IF(Main!AP116&gt;0,Main!AP116,"")</f>
        <v/>
      </c>
      <c r="Q115" s="258" t="str">
        <f>IF(Main!AR116&gt;0,Main!AR116,"")</f>
        <v>Single</v>
      </c>
      <c r="R115" s="259" t="str">
        <f>IF(Main!AQ116&gt;0,Main!AQ116,"")</f>
        <v>Male</v>
      </c>
      <c r="S115" s="259" t="str">
        <f>IF(Main!BD116&gt;0,Main!BD116,"")</f>
        <v>34-2601952-0</v>
      </c>
      <c r="T115" s="259" t="str">
        <f>IF(Main!AX116&gt;0,Main!AX116,"")</f>
        <v>407-264-004</v>
      </c>
      <c r="U115" s="259" t="str">
        <f>IF(Main!BH116&gt;0,Main!BH116,"")</f>
        <v>02-050862133-8</v>
      </c>
      <c r="V115" s="268" t="str">
        <f>IF(Main!BF116&gt;0,Main!BF116,"")</f>
        <v>1211-1952-5625</v>
      </c>
      <c r="W115" s="263">
        <f>IF(Main!BS116&gt;0,Main!BS116,"")</f>
        <v>42073</v>
      </c>
      <c r="X115" s="263">
        <f>IF(Main!BT116&gt;0,Main!BT116,"")</f>
        <v>42073</v>
      </c>
      <c r="Y115" s="263">
        <f>IF(Main!BU116&gt;0,Main!BU116,"")</f>
        <v>42073</v>
      </c>
      <c r="Z115" s="263">
        <f>IF(Main!AS116&gt;0,Main!AS116,"")</f>
        <v>42072</v>
      </c>
      <c r="AA115" s="263">
        <f>IF(Main!BJ116&gt;0,Main!BJ116,"")</f>
        <v>42072</v>
      </c>
      <c r="AB115" s="263">
        <f>IF(Main!BC116&gt;0,Main!BC116,"")</f>
        <v>42072</v>
      </c>
      <c r="AC115" s="263">
        <f>IF(Main!AW116&gt;0,Main!AW116,"")</f>
        <v>42082</v>
      </c>
      <c r="AD115" s="263">
        <f>IF(Main!BG116&gt;0,Main!BG116,"")</f>
        <v>42073</v>
      </c>
      <c r="AE115" s="263">
        <f>IF(Main!BE116&gt;0,Main!BE116,"")</f>
        <v>42074</v>
      </c>
      <c r="AF115" s="263">
        <f>IF(Main!BM116&gt;0,Main!BM116,"")</f>
        <v>42072</v>
      </c>
      <c r="AG115" s="263" t="str">
        <f>IF(Main!BN116&gt;0,Main!BN116,"")</f>
        <v/>
      </c>
      <c r="AH115" s="263" t="str">
        <f>IF(Main!BO116&gt;0,Main!BO116,"")</f>
        <v/>
      </c>
      <c r="AI115" s="263" t="str">
        <f>IF(Main!BR116&gt;0,Main!BR116,"")</f>
        <v/>
      </c>
      <c r="AJ115" s="263">
        <f>IF(Main!BQ116&gt;0,Main!BQ116,"")</f>
        <v>42136</v>
      </c>
      <c r="AK115" s="263">
        <f>IF(Main!AV116&gt;0,Main!AV116,"")</f>
        <v>42072</v>
      </c>
      <c r="AL115" s="263">
        <f>IF(Main!AU116&gt;0,Main!AU116,"")</f>
        <v>42072</v>
      </c>
      <c r="AM115" s="263">
        <f>IF(Main!AT116&gt;0,Main!AT116,"")</f>
        <v>42072</v>
      </c>
      <c r="AN115" s="259" t="str">
        <f>Main!BW116</f>
        <v xml:space="preserve">1905 3/19/2015, 2305 3/9/2015, MDR 3/10/2015, </v>
      </c>
    </row>
    <row r="116" spans="1:40" x14ac:dyDescent="0.25">
      <c r="A116" s="258">
        <f>Main!C117</f>
        <v>1082333</v>
      </c>
      <c r="B116" s="259" t="str">
        <f>Main!D117</f>
        <v>Roda, Martin Baclea-An</v>
      </c>
      <c r="C116" s="259" t="str">
        <f>Main!AH117</f>
        <v>Probationary</v>
      </c>
      <c r="D116" s="260">
        <f>Main!B117</f>
        <v>42072</v>
      </c>
      <c r="E116" s="260" t="str">
        <f>IF(Main!AI117&lt;1,"",Main!AI117)</f>
        <v>ERP - Czarina Reyes</v>
      </c>
      <c r="F116" s="260" t="str">
        <f>IF(Main!AJ117&lt;1,"",Main!AJ117)</f>
        <v>Czarina Reyes</v>
      </c>
      <c r="G116" s="260" t="str">
        <f>IF(Main!AK117&lt;1,"",Main!AK117)</f>
        <v/>
      </c>
      <c r="H116" s="259" t="str">
        <f>Main!Y117</f>
        <v>Internet Researcher</v>
      </c>
      <c r="I116" s="259" t="str">
        <f>Main!Z117</f>
        <v>Level 1</v>
      </c>
      <c r="J116" s="259">
        <f>IF(Main!A117&lt;1,"",Main!A117)</f>
        <v>187</v>
      </c>
      <c r="K116" s="260">
        <f>IF(Main!AN117&gt;0,Main!AN117,"")</f>
        <v>34178</v>
      </c>
      <c r="L116" s="258" t="str">
        <f>IF(Main!Q117&gt;0,Main!Q117,"")</f>
        <v>martin_tintin10@yahoo.com</v>
      </c>
      <c r="M116" s="410">
        <f>VALUE(IF(Main!S117&gt;0,Main!S117,""))</f>
        <v>9261415185</v>
      </c>
      <c r="N116" s="261" t="str">
        <f>Main!T117</f>
        <v/>
      </c>
      <c r="O116" s="258" t="str">
        <f>IF(Main!AO117&gt;0,Main!AO117,"")</f>
        <v>Area 3 Indutry St. Fourth Estate Subd. Parañaque</v>
      </c>
      <c r="P116" s="258" t="str">
        <f>IF(Main!AP117&gt;0,Main!AP117,"")</f>
        <v>Area 3 Industry St. Fourth Estate Subd. Parañaque</v>
      </c>
      <c r="Q116" s="258" t="str">
        <f>IF(Main!AR117&gt;0,Main!AR117,"")</f>
        <v>Single</v>
      </c>
      <c r="R116" s="259" t="str">
        <f>IF(Main!AQ117&gt;0,Main!AQ117,"")</f>
        <v>Male</v>
      </c>
      <c r="S116" s="259" t="str">
        <f>IF(Main!BD117&gt;0,Main!BD117,"")</f>
        <v>34-2923858-6</v>
      </c>
      <c r="T116" s="259" t="str">
        <f>IF(Main!AX117&gt;0,Main!AX117,"")</f>
        <v>317-640-108</v>
      </c>
      <c r="U116" s="259" t="str">
        <f>IF(Main!BH117&gt;0,Main!BH117,"")</f>
        <v>03-050903603-5</v>
      </c>
      <c r="V116" s="268" t="str">
        <f>IF(Main!BF117&gt;0,Main!BF117,"")</f>
        <v>1210-1543-7277</v>
      </c>
      <c r="W116" s="263">
        <f>IF(Main!BS117&gt;0,Main!BS117,"")</f>
        <v>42073</v>
      </c>
      <c r="X116" s="263">
        <f>IF(Main!BT117&gt;0,Main!BT117,"")</f>
        <v>42073</v>
      </c>
      <c r="Y116" s="263">
        <f>IF(Main!BU117&gt;0,Main!BU117,"")</f>
        <v>42073</v>
      </c>
      <c r="Z116" s="263">
        <f>IF(Main!AS117&gt;0,Main!AS117,"")</f>
        <v>42072</v>
      </c>
      <c r="AA116" s="263">
        <f>IF(Main!BJ117&gt;0,Main!BJ117,"")</f>
        <v>42072</v>
      </c>
      <c r="AB116" s="263">
        <f>IF(Main!BC117&gt;0,Main!BC117,"")</f>
        <v>42110</v>
      </c>
      <c r="AC116" s="263">
        <f>IF(Main!AW117&gt;0,Main!AW117,"")</f>
        <v>42089</v>
      </c>
      <c r="AD116" s="263">
        <f>IF(Main!BG117&gt;0,Main!BG117,"")</f>
        <v>42073</v>
      </c>
      <c r="AE116" s="263">
        <f>IF(Main!BE117&gt;0,Main!BE117,"")</f>
        <v>42074</v>
      </c>
      <c r="AF116" s="263">
        <f>IF(Main!BM117&gt;0,Main!BM117,"")</f>
        <v>42072</v>
      </c>
      <c r="AG116" s="263" t="str">
        <f>IF(Main!BN117&gt;0,Main!BN117,"")</f>
        <v/>
      </c>
      <c r="AH116" s="263" t="str">
        <f>IF(Main!BO117&gt;0,Main!BO117,"")</f>
        <v/>
      </c>
      <c r="AI116" s="263" t="str">
        <f>IF(Main!BR117&gt;0,Main!BR117,"")</f>
        <v/>
      </c>
      <c r="AJ116" s="263">
        <f>IF(Main!BQ117&gt;0,Main!BQ117,"")</f>
        <v>42073</v>
      </c>
      <c r="AK116" s="263">
        <f>IF(Main!AV117&gt;0,Main!AV117,"")</f>
        <v>42072</v>
      </c>
      <c r="AL116" s="263">
        <f>IF(Main!AU117&gt;0,Main!AU117,"")</f>
        <v>42072</v>
      </c>
      <c r="AM116" s="263">
        <f>IF(Main!AT117&gt;0,Main!AT117,"")</f>
        <v>42072</v>
      </c>
      <c r="AN116" s="259" t="str">
        <f>Main!BW117</f>
        <v xml:space="preserve">1905 3/26/2015, 2305 3/9/2015, MDR 3/10/2015, </v>
      </c>
    </row>
    <row r="117" spans="1:40" x14ac:dyDescent="0.25">
      <c r="A117" s="258">
        <f>Main!C118</f>
        <v>1082334</v>
      </c>
      <c r="B117" s="259" t="str">
        <f>Main!D118</f>
        <v>Climacosa, Bezaleel Jonel Cabog</v>
      </c>
      <c r="C117" s="259" t="str">
        <f>Main!AH118</f>
        <v>Probationary</v>
      </c>
      <c r="D117" s="260">
        <f>Main!B118</f>
        <v>42072</v>
      </c>
      <c r="E117" s="260" t="str">
        <f>IF(Main!AI118&lt;1,"",Main!AI118)</f>
        <v>Jobstreet</v>
      </c>
      <c r="F117" s="260" t="str">
        <f>IF(Main!AJ118&lt;1,"",Main!AJ118)</f>
        <v/>
      </c>
      <c r="G117" s="260" t="str">
        <f>IF(Main!AK118&lt;1,"",Main!AK118)</f>
        <v/>
      </c>
      <c r="H117" s="259" t="str">
        <f>Main!Y118</f>
        <v>Senior Recruiter</v>
      </c>
      <c r="I117" s="259" t="str">
        <f>Main!Z118</f>
        <v>Level 2</v>
      </c>
      <c r="J117" s="259">
        <f>IF(Main!A118&lt;1,"",Main!A118)</f>
        <v>187</v>
      </c>
      <c r="K117" s="260">
        <f>IF(Main!AN118&gt;0,Main!AN118,"")</f>
        <v>32325</v>
      </c>
      <c r="L117" s="258" t="str">
        <f>IF(Main!Q118&gt;0,Main!Q118,"")</f>
        <v>betsalil26@gmail.com</v>
      </c>
      <c r="M117" s="410">
        <f>VALUE(IF(Main!S118&gt;0,Main!S118,""))</f>
        <v>9176317640</v>
      </c>
      <c r="N117" s="261" t="str">
        <f>Main!T118</f>
        <v/>
      </c>
      <c r="O117" s="258" t="str">
        <f>IF(Main!AO118&gt;0,Main!AO118,"")</f>
        <v>175 Apartment C Gotamco St., Pasay</v>
      </c>
      <c r="P117" s="258" t="str">
        <f>IF(Main!AP118&gt;0,Main!AP118,"")</f>
        <v>175 Apartment C Gotamco St., Pasay</v>
      </c>
      <c r="Q117" s="258" t="str">
        <f>IF(Main!AR118&gt;0,Main!AR118,"")</f>
        <v>Single</v>
      </c>
      <c r="R117" s="259" t="str">
        <f>IF(Main!AQ118&gt;0,Main!AQ118,"")</f>
        <v>Female</v>
      </c>
      <c r="S117" s="259" t="str">
        <f>IF(Main!BD118&gt;0,Main!BD118,"")</f>
        <v>34-2394689-0</v>
      </c>
      <c r="T117" s="259" t="str">
        <f>IF(Main!AX118&gt;0,Main!AX118,"")</f>
        <v/>
      </c>
      <c r="U117" s="259" t="str">
        <f>IF(Main!BH118&gt;0,Main!BH118,"")</f>
        <v/>
      </c>
      <c r="V117" s="268" t="str">
        <f>IF(Main!BF118&gt;0,Main!BF118,"")</f>
        <v/>
      </c>
      <c r="W117" s="263">
        <f>IF(Main!BS118&gt;0,Main!BS118,"")</f>
        <v>42072</v>
      </c>
      <c r="X117" s="263">
        <f>IF(Main!BT118&gt;0,Main!BT118,"")</f>
        <v>42072</v>
      </c>
      <c r="Y117" s="263">
        <f>IF(Main!BU118&gt;0,Main!BU118,"")</f>
        <v>42072</v>
      </c>
      <c r="Z117" s="263">
        <f>IF(Main!AS118&gt;0,Main!AS118,"")</f>
        <v>42074</v>
      </c>
      <c r="AA117" s="263" t="str">
        <f>IF(Main!BJ118&gt;0,Main!BJ118,"")</f>
        <v/>
      </c>
      <c r="AB117" s="263">
        <f>IF(Main!BC118&gt;0,Main!BC118,"")</f>
        <v>42074</v>
      </c>
      <c r="AC117" s="263" t="str">
        <f>IF(Main!AW118&gt;0,Main!AW118,"")</f>
        <v/>
      </c>
      <c r="AD117" s="263" t="str">
        <f>IF(Main!BG118&gt;0,Main!BG118,"")</f>
        <v/>
      </c>
      <c r="AE117" s="263" t="str">
        <f>IF(Main!BE118&gt;0,Main!BE118,"")</f>
        <v/>
      </c>
      <c r="AF117" s="263" t="str">
        <f>IF(Main!BM118&gt;0,Main!BM118,"")</f>
        <v/>
      </c>
      <c r="AG117" s="263" t="str">
        <f>IF(Main!BN118&gt;0,Main!BN118,"")</f>
        <v/>
      </c>
      <c r="AH117" s="263" t="str">
        <f>IF(Main!BO118&gt;0,Main!BO118,"")</f>
        <v/>
      </c>
      <c r="AI117" s="263" t="str">
        <f>IF(Main!BR118&gt;0,Main!BR118,"")</f>
        <v/>
      </c>
      <c r="AJ117" s="263">
        <f>IF(Main!BQ118&gt;0,Main!BQ118,"")</f>
        <v>42074</v>
      </c>
      <c r="AK117" s="263">
        <f>IF(Main!AV118&gt;0,Main!AV118,"")</f>
        <v>42074</v>
      </c>
      <c r="AL117" s="263">
        <f>IF(Main!AU118&gt;0,Main!AU118,"")</f>
        <v>42070</v>
      </c>
      <c r="AM117" s="263">
        <f>IF(Main!AT118&gt;0,Main!AT118,"")</f>
        <v>42074</v>
      </c>
      <c r="AN117" s="259" t="str">
        <f>Main!BW118</f>
        <v/>
      </c>
    </row>
    <row r="118" spans="1:40" x14ac:dyDescent="0.25">
      <c r="A118" s="258">
        <f>Main!C119</f>
        <v>1082335</v>
      </c>
      <c r="B118" s="259" t="str">
        <f>Main!D119</f>
        <v>Cuman, Arlhet Dianne Mojal</v>
      </c>
      <c r="C118" s="259" t="str">
        <f>Main!AH119</f>
        <v>Probationary</v>
      </c>
      <c r="D118" s="260">
        <f>Main!B119</f>
        <v>42072</v>
      </c>
      <c r="E118" s="260" t="str">
        <f>IF(Main!AI119&lt;1,"",Main!AI119)</f>
        <v>ERP - Christine Dela Cruz</v>
      </c>
      <c r="F118" s="260" t="str">
        <f>IF(Main!AJ119&lt;1,"",Main!AJ119)</f>
        <v>Christine Dela Cruz</v>
      </c>
      <c r="G118" s="260" t="str">
        <f>IF(Main!AK119&lt;1,"",Main!AK119)</f>
        <v/>
      </c>
      <c r="H118" s="259" t="str">
        <f>Main!Y119</f>
        <v>Senior Recruiter</v>
      </c>
      <c r="I118" s="259" t="str">
        <f>Main!Z119</f>
        <v>Level 1</v>
      </c>
      <c r="J118" s="259">
        <f>IF(Main!A119&lt;1,"",Main!A119)</f>
        <v>187</v>
      </c>
      <c r="K118" s="260">
        <f>IF(Main!AN119&gt;0,Main!AN119,"")</f>
        <v>32453</v>
      </c>
      <c r="L118" s="258" t="str">
        <f>IF(Main!Q119&gt;0,Main!Q119,"")</f>
        <v>kulhet_06@yahoo.com</v>
      </c>
      <c r="M118" s="410">
        <f>VALUE(IF(Main!S119&gt;0,Main!S119,""))</f>
        <v>9307497790</v>
      </c>
      <c r="N118" s="261" t="str">
        <f>Main!T119</f>
        <v>9275857454</v>
      </c>
      <c r="O118" s="258" t="str">
        <f>IF(Main!AO119&gt;0,Main!AO119,"")</f>
        <v>B6 L2 Progressive 12 Molino 3 Bacoor, Cavite</v>
      </c>
      <c r="P118" s="258" t="str">
        <f>IF(Main!AP119&gt;0,Main!AP119,"")</f>
        <v>B6 L2 Progressive 12 Molino 3 Bacoor, Cavite</v>
      </c>
      <c r="Q118" s="258" t="str">
        <f>IF(Main!AR119&gt;0,Main!AR119,"")</f>
        <v>Married</v>
      </c>
      <c r="R118" s="259" t="str">
        <f>IF(Main!AQ119&gt;0,Main!AQ119,"")</f>
        <v>Female</v>
      </c>
      <c r="S118" s="259" t="str">
        <f>IF(Main!BD119&gt;0,Main!BD119,"")</f>
        <v/>
      </c>
      <c r="T118" s="259" t="str">
        <f>IF(Main!AX119&gt;0,Main!AX119,"")</f>
        <v/>
      </c>
      <c r="U118" s="259" t="str">
        <f>IF(Main!BH119&gt;0,Main!BH119,"")</f>
        <v>03-050313976-2</v>
      </c>
      <c r="V118" s="268" t="str">
        <f>IF(Main!BF119&gt;0,Main!BF119,"")</f>
        <v>1210-2934-9665</v>
      </c>
      <c r="W118" s="263">
        <f>IF(Main!BS119&gt;0,Main!BS119,"")</f>
        <v>42072</v>
      </c>
      <c r="X118" s="263">
        <f>IF(Main!BT119&gt;0,Main!BT119,"")</f>
        <v>42072</v>
      </c>
      <c r="Y118" s="263">
        <f>IF(Main!BU119&gt;0,Main!BU119,"")</f>
        <v>42072</v>
      </c>
      <c r="Z118" s="263">
        <f>IF(Main!AS119&gt;0,Main!AS119,"")</f>
        <v>42074</v>
      </c>
      <c r="AA118" s="263" t="str">
        <f>IF(Main!BJ119&gt;0,Main!BJ119,"")</f>
        <v/>
      </c>
      <c r="AB118" s="263" t="str">
        <f>IF(Main!BC119&gt;0,Main!BC119,"")</f>
        <v/>
      </c>
      <c r="AC118" s="263" t="str">
        <f>IF(Main!AW119&gt;0,Main!AW119,"")</f>
        <v/>
      </c>
      <c r="AD118" s="263">
        <f>IF(Main!BG119&gt;0,Main!BG119,"")</f>
        <v>42074</v>
      </c>
      <c r="AE118" s="263">
        <f>IF(Main!BE119&gt;0,Main!BE119,"")</f>
        <v>42074</v>
      </c>
      <c r="AF118" s="263" t="str">
        <f>IF(Main!BM119&gt;0,Main!BM119,"")</f>
        <v/>
      </c>
      <c r="AG118" s="263">
        <f>IF(Main!BN119&gt;0,Main!BN119,"")</f>
        <v>42080</v>
      </c>
      <c r="AH118" s="263">
        <f>IF(Main!BO119&gt;0,Main!BO119,"")</f>
        <v>42074</v>
      </c>
      <c r="AI118" s="263">
        <f>IF(Main!BR119&gt;0,Main!BR119,"")</f>
        <v>42074</v>
      </c>
      <c r="AJ118" s="263">
        <f>IF(Main!BQ119&gt;0,Main!BQ119,"")</f>
        <v>42074</v>
      </c>
      <c r="AK118" s="263">
        <f>IF(Main!AV119&gt;0,Main!AV119,"")</f>
        <v>42075</v>
      </c>
      <c r="AL118" s="263">
        <f>IF(Main!AU119&gt;0,Main!AU119,"")</f>
        <v>42070</v>
      </c>
      <c r="AM118" s="263">
        <f>IF(Main!AT119&gt;0,Main!AT119,"")</f>
        <v>42074</v>
      </c>
      <c r="AN118" s="259" t="str">
        <f>Main!BW119</f>
        <v/>
      </c>
    </row>
    <row r="119" spans="1:40" x14ac:dyDescent="0.25">
      <c r="A119" s="258">
        <f>Main!C120</f>
        <v>1082336</v>
      </c>
      <c r="B119" s="259" t="str">
        <f>Main!D120</f>
        <v>Inoue, Joana Marie S</v>
      </c>
      <c r="C119" s="259" t="str">
        <f>Main!AH120</f>
        <v>Probationary</v>
      </c>
      <c r="D119" s="260">
        <f>Main!B120</f>
        <v>42072</v>
      </c>
      <c r="E119" s="260" t="str">
        <f>IF(Main!AI120&lt;1,"",Main!AI120)</f>
        <v>Jobstreet</v>
      </c>
      <c r="F119" s="260" t="str">
        <f>IF(Main!AJ120&lt;1,"",Main!AJ120)</f>
        <v/>
      </c>
      <c r="G119" s="260" t="str">
        <f>IF(Main!AK120&lt;1,"",Main!AK120)</f>
        <v/>
      </c>
      <c r="H119" s="259" t="str">
        <f>Main!Y120</f>
        <v>Senior Recruiter</v>
      </c>
      <c r="I119" s="259" t="str">
        <f>Main!Z120</f>
        <v>Level 1</v>
      </c>
      <c r="J119" s="259">
        <f>IF(Main!A120&lt;1,"",Main!A120)</f>
        <v>187</v>
      </c>
      <c r="K119" s="260">
        <f>IF(Main!AN120&gt;0,Main!AN120,"")</f>
        <v>33008</v>
      </c>
      <c r="L119" s="258" t="str">
        <f>IF(Main!Q120&gt;0,Main!Q120,"")</f>
        <v>lhean.05@gmail.com</v>
      </c>
      <c r="M119" s="410">
        <f>VALUE(IF(Main!S120&gt;0,Main!S120,""))</f>
        <v>9056802816</v>
      </c>
      <c r="N119" s="261" t="str">
        <f>Main!T120</f>
        <v/>
      </c>
      <c r="O119" s="258" t="str">
        <f>IF(Main!AO120&gt;0,Main!AO120,"")</f>
        <v>0792 (B) A Guarra St., Baclaran Parañaque</v>
      </c>
      <c r="P119" s="258" t="str">
        <f>IF(Main!AP120&gt;0,Main!AP120,"")</f>
        <v>396 Sta. Catalina St. Brgy. Holy Spirit Quezon City</v>
      </c>
      <c r="Q119" s="258" t="str">
        <f>IF(Main!AR120&gt;0,Main!AR120,"")</f>
        <v/>
      </c>
      <c r="R119" s="259" t="str">
        <f>IF(Main!AQ120&gt;0,Main!AQ120,"")</f>
        <v/>
      </c>
      <c r="S119" s="259" t="str">
        <f>IF(Main!BD120&gt;0,Main!BD120,"")</f>
        <v>34-1542663-2</v>
      </c>
      <c r="T119" s="259" t="str">
        <f>IF(Main!AX120&gt;0,Main!AX120,"")</f>
        <v/>
      </c>
      <c r="U119" s="259" t="str">
        <f>IF(Main!BH120&gt;0,Main!BH120,"")</f>
        <v/>
      </c>
      <c r="V119" s="268" t="str">
        <f>IF(Main!BF120&gt;0,Main!BF120,"")</f>
        <v/>
      </c>
      <c r="W119" s="263">
        <f>IF(Main!BS120&gt;0,Main!BS120,"")</f>
        <v>42072</v>
      </c>
      <c r="X119" s="263">
        <f>IF(Main!BT120&gt;0,Main!BT120,"")</f>
        <v>42072</v>
      </c>
      <c r="Y119" s="263">
        <f>IF(Main!BU120&gt;0,Main!BU120,"")</f>
        <v>42072</v>
      </c>
      <c r="Z119" s="263">
        <f>IF(Main!AS120&gt;0,Main!AS120,"")</f>
        <v>42074</v>
      </c>
      <c r="AA119" s="263" t="str">
        <f>IF(Main!BJ120&gt;0,Main!BJ120,"")</f>
        <v/>
      </c>
      <c r="AB119" s="263">
        <f>IF(Main!BC120&gt;0,Main!BC120,"")</f>
        <v>42074</v>
      </c>
      <c r="AC119" s="263" t="str">
        <f>IF(Main!AW120&gt;0,Main!AW120,"")</f>
        <v/>
      </c>
      <c r="AD119" s="263" t="str">
        <f>IF(Main!BG120&gt;0,Main!BG120,"")</f>
        <v/>
      </c>
      <c r="AE119" s="263" t="str">
        <f>IF(Main!BE120&gt;0,Main!BE120,"")</f>
        <v/>
      </c>
      <c r="AF119" s="263" t="str">
        <f>IF(Main!BM120&gt;0,Main!BM120,"")</f>
        <v/>
      </c>
      <c r="AG119" s="263" t="str">
        <f>IF(Main!BN120&gt;0,Main!BN120,"")</f>
        <v/>
      </c>
      <c r="AH119" s="263" t="str">
        <f>IF(Main!BO120&gt;0,Main!BO120,"")</f>
        <v/>
      </c>
      <c r="AI119" s="263" t="str">
        <f>IF(Main!BR120&gt;0,Main!BR120,"")</f>
        <v/>
      </c>
      <c r="AJ119" s="263" t="str">
        <f>IF(Main!BQ120&gt;0,Main!BQ120,"")</f>
        <v/>
      </c>
      <c r="AK119" s="263">
        <f>IF(Main!AV120&gt;0,Main!AV120,"")</f>
        <v>42074</v>
      </c>
      <c r="AL119" s="263">
        <f>IF(Main!AU120&gt;0,Main!AU120,"")</f>
        <v>42074</v>
      </c>
      <c r="AM119" s="263">
        <f>IF(Main!AT120&gt;0,Main!AT120,"")</f>
        <v>42074</v>
      </c>
      <c r="AN119" s="259" t="str">
        <f>Main!BW120</f>
        <v/>
      </c>
    </row>
    <row r="120" spans="1:40" x14ac:dyDescent="0.25">
      <c r="A120" s="258">
        <f>Main!C121</f>
        <v>1082337</v>
      </c>
      <c r="B120" s="259" t="str">
        <f>Main!D121</f>
        <v>Martin, Leira Fe Rosales</v>
      </c>
      <c r="C120" s="259" t="str">
        <f>Main!AH121</f>
        <v>Probationary</v>
      </c>
      <c r="D120" s="260">
        <f>Main!B121</f>
        <v>42072</v>
      </c>
      <c r="E120" s="260" t="str">
        <f>IF(Main!AI121&lt;1,"",Main!AI121)</f>
        <v>Jobstreet</v>
      </c>
      <c r="F120" s="260" t="str">
        <f>IF(Main!AJ121&lt;1,"",Main!AJ121)</f>
        <v/>
      </c>
      <c r="G120" s="260" t="str">
        <f>IF(Main!AK121&lt;1,"",Main!AK121)</f>
        <v/>
      </c>
      <c r="H120" s="259" t="str">
        <f>Main!Y121</f>
        <v>Senior Recruiter</v>
      </c>
      <c r="I120" s="259" t="str">
        <f>Main!Z121</f>
        <v>Level 1</v>
      </c>
      <c r="J120" s="259">
        <f>IF(Main!A121&lt;1,"",Main!A121)</f>
        <v>187</v>
      </c>
      <c r="K120" s="260">
        <f>IF(Main!AN121&gt;0,Main!AN121,"")</f>
        <v>33941</v>
      </c>
      <c r="L120" s="258" t="str">
        <f>IF(Main!Q121&gt;0,Main!Q121,"")</f>
        <v>ckeealle@yahoo.com</v>
      </c>
      <c r="M120" s="410">
        <f>VALUE(IF(Main!S121&gt;0,Main!S121,""))</f>
        <v>9365728069</v>
      </c>
      <c r="N120" s="261" t="str">
        <f>Main!T121</f>
        <v/>
      </c>
      <c r="O120" s="258" t="str">
        <f>IF(Main!AO121&gt;0,Main!AO121,"")</f>
        <v>Blk. 7 Lot 16 Brgy. F. Reyes, G.M.A. Cavite</v>
      </c>
      <c r="P120" s="258" t="str">
        <f>IF(Main!AP121&gt;0,Main!AP121,"")</f>
        <v>Blk. 7 Lot 16 Brgy. F. Reyes, G.M.A. Cavite</v>
      </c>
      <c r="Q120" s="258" t="str">
        <f>IF(Main!AR121&gt;0,Main!AR121,"")</f>
        <v>Single</v>
      </c>
      <c r="R120" s="259" t="str">
        <f>IF(Main!AQ121&gt;0,Main!AQ121,"")</f>
        <v>Female</v>
      </c>
      <c r="S120" s="259" t="str">
        <f>IF(Main!BD121&gt;0,Main!BD121,"")</f>
        <v>34-3881041-6</v>
      </c>
      <c r="T120" s="259" t="str">
        <f>IF(Main!AX121&gt;0,Main!AX121,"")</f>
        <v>315-729-648</v>
      </c>
      <c r="U120" s="259" t="str">
        <f>IF(Main!BH121&gt;0,Main!BH121,"")</f>
        <v>08-051357178-3</v>
      </c>
      <c r="V120" s="268" t="str">
        <f>IF(Main!BF121&gt;0,Main!BF121,"")</f>
        <v>1211-0409-8191</v>
      </c>
      <c r="W120" s="263">
        <f>IF(Main!BS121&gt;0,Main!BS121,"")</f>
        <v>42072</v>
      </c>
      <c r="X120" s="263">
        <f>IF(Main!BT121&gt;0,Main!BT121,"")</f>
        <v>42072</v>
      </c>
      <c r="Y120" s="263">
        <f>IF(Main!BU121&gt;0,Main!BU121,"")</f>
        <v>42072</v>
      </c>
      <c r="Z120" s="263">
        <f>IF(Main!AS121&gt;0,Main!AS121,"")</f>
        <v>42079</v>
      </c>
      <c r="AA120" s="263" t="str">
        <f>IF(Main!BJ121&gt;0,Main!BJ121,"")</f>
        <v/>
      </c>
      <c r="AB120" s="263">
        <f>IF(Main!BC121&gt;0,Main!BC121,"")</f>
        <v>42075</v>
      </c>
      <c r="AC120" s="263">
        <f>IF(Main!AW121&gt;0,Main!AW121,"")</f>
        <v>42072</v>
      </c>
      <c r="AD120" s="263">
        <f>IF(Main!BG121&gt;0,Main!BG121,"")</f>
        <v>42081</v>
      </c>
      <c r="AE120" s="263">
        <f>IF(Main!BE121&gt;0,Main!BE121,"")</f>
        <v>42082</v>
      </c>
      <c r="AF120" s="263">
        <f>IF(Main!BM121&gt;0,Main!BM121,"")</f>
        <v>42079</v>
      </c>
      <c r="AG120" s="263" t="str">
        <f>IF(Main!BN121&gt;0,Main!BN121,"")</f>
        <v/>
      </c>
      <c r="AH120" s="263" t="str">
        <f>IF(Main!BO121&gt;0,Main!BO121,"")</f>
        <v/>
      </c>
      <c r="AI120" s="263" t="str">
        <f>IF(Main!BR121&gt;0,Main!BR121,"")</f>
        <v/>
      </c>
      <c r="AJ120" s="263">
        <f>IF(Main!BQ121&gt;0,Main!BQ121,"")</f>
        <v>42079</v>
      </c>
      <c r="AK120" s="263">
        <f>IF(Main!AV121&gt;0,Main!AV121,"")</f>
        <v>42075</v>
      </c>
      <c r="AL120" s="263">
        <f>IF(Main!AU121&gt;0,Main!AU121,"")</f>
        <v>42070</v>
      </c>
      <c r="AM120" s="263">
        <f>IF(Main!AT121&gt;0,Main!AT121,"")</f>
        <v>42081</v>
      </c>
      <c r="AN120" s="259" t="str">
        <f>Main!BW121</f>
        <v xml:space="preserve">1905 3/9/2015, 2305 3/9/2015, MDR 3/18/2015, NBI receipt 3/16/2015, </v>
      </c>
    </row>
    <row r="121" spans="1:40" x14ac:dyDescent="0.25">
      <c r="A121" s="258">
        <f>Main!C122</f>
        <v>1082338</v>
      </c>
      <c r="B121" s="259" t="str">
        <f>Main!D122</f>
        <v>Montoya Jr., Ramon Geslani</v>
      </c>
      <c r="C121" s="259" t="str">
        <f>Main!AH122</f>
        <v>Probationary</v>
      </c>
      <c r="D121" s="260">
        <f>Main!B122</f>
        <v>42072</v>
      </c>
      <c r="E121" s="260" t="str">
        <f>IF(Main!AI122&lt;1,"",Main!AI122)</f>
        <v>Jobstreet</v>
      </c>
      <c r="F121" s="260" t="str">
        <f>IF(Main!AJ122&lt;1,"",Main!AJ122)</f>
        <v/>
      </c>
      <c r="G121" s="260" t="str">
        <f>IF(Main!AK122&lt;1,"",Main!AK122)</f>
        <v/>
      </c>
      <c r="H121" s="259" t="str">
        <f>Main!Y122</f>
        <v>Senior Recruiter</v>
      </c>
      <c r="I121" s="259" t="str">
        <f>Main!Z122</f>
        <v>Level 1</v>
      </c>
      <c r="J121" s="259">
        <f>IF(Main!A122&lt;1,"",Main!A122)</f>
        <v>187</v>
      </c>
      <c r="K121" s="260">
        <f>IF(Main!AN122&gt;0,Main!AN122,"")</f>
        <v>33650</v>
      </c>
      <c r="L121" s="258" t="str">
        <f>IF(Main!Q122&gt;0,Main!Q122,"")</f>
        <v>montoya.ramon0216@yahoo.com</v>
      </c>
      <c r="M121" s="410">
        <f>VALUE(IF(Main!S122&gt;0,Main!S122,""))</f>
        <v>9278821566</v>
      </c>
      <c r="N121" s="261" t="str">
        <f>Main!T122</f>
        <v/>
      </c>
      <c r="O121" s="258" t="str">
        <f>IF(Main!AO122&gt;0,Main!AO122,"")</f>
        <v>#36 Road 1, Barangay Pag-Asa, Quezon City</v>
      </c>
      <c r="P121" s="258" t="str">
        <f>IF(Main!AP122&gt;0,Main!AP122,"")</f>
        <v>#36 Road 1, Barangay Pag-Asa, Quezon City</v>
      </c>
      <c r="Q121" s="258" t="str">
        <f>IF(Main!AR122&gt;0,Main!AR122,"")</f>
        <v>Single</v>
      </c>
      <c r="R121" s="259" t="str">
        <f>IF(Main!AQ122&gt;0,Main!AQ122,"")</f>
        <v>Male</v>
      </c>
      <c r="S121" s="259" t="str">
        <f>IF(Main!BD122&gt;0,Main!BD122,"")</f>
        <v>02-3589749-9</v>
      </c>
      <c r="T121" s="259" t="str">
        <f>IF(Main!AX122&gt;0,Main!AX122,"")</f>
        <v>317-729-648</v>
      </c>
      <c r="U121" s="259" t="str">
        <f>IF(Main!BH122&gt;0,Main!BH122,"")</f>
        <v>03-025628980-2</v>
      </c>
      <c r="V121" s="268" t="str">
        <f>IF(Main!BF122&gt;0,Main!BF122,"")</f>
        <v>1211-1884-4247</v>
      </c>
      <c r="W121" s="263">
        <f>IF(Main!BS122&gt;0,Main!BS122,"")</f>
        <v>42072</v>
      </c>
      <c r="X121" s="263">
        <f>IF(Main!BT122&gt;0,Main!BT122,"")</f>
        <v>42072</v>
      </c>
      <c r="Y121" s="263">
        <f>IF(Main!BU122&gt;0,Main!BU122,"")</f>
        <v>42072</v>
      </c>
      <c r="Z121" s="263">
        <f>IF(Main!AS122&gt;0,Main!AS122,"")</f>
        <v>42074</v>
      </c>
      <c r="AA121" s="263">
        <f>IF(Main!BJ122&gt;0,Main!BJ122,"")</f>
        <v>42091</v>
      </c>
      <c r="AB121" s="263">
        <f>IF(Main!BC122&gt;0,Main!BC122,"")</f>
        <v>42074</v>
      </c>
      <c r="AC121" s="263">
        <f>IF(Main!AW122&gt;0,Main!AW122,"")</f>
        <v>42082</v>
      </c>
      <c r="AD121" s="263">
        <f>IF(Main!BG122&gt;0,Main!BG122,"")</f>
        <v>42074</v>
      </c>
      <c r="AE121" s="263">
        <f>IF(Main!BE122&gt;0,Main!BE122,"")</f>
        <v>42076</v>
      </c>
      <c r="AF121" s="263">
        <f>IF(Main!BM122&gt;0,Main!BM122,"")</f>
        <v>42074</v>
      </c>
      <c r="AG121" s="263" t="str">
        <f>IF(Main!BN122&gt;0,Main!BN122,"")</f>
        <v/>
      </c>
      <c r="AH121" s="263">
        <f>IF(Main!BO122&gt;0,Main!BO122,"")</f>
        <v>42076</v>
      </c>
      <c r="AI121" s="263">
        <f>IF(Main!BR122&gt;0,Main!BR122,"")</f>
        <v>42082</v>
      </c>
      <c r="AJ121" s="263">
        <f>IF(Main!BQ122&gt;0,Main!BQ122,"")</f>
        <v>42074</v>
      </c>
      <c r="AK121" s="263">
        <f>IF(Main!AV122&gt;0,Main!AV122,"")</f>
        <v>42074</v>
      </c>
      <c r="AL121" s="263">
        <f>IF(Main!AU122&gt;0,Main!AU122,"")</f>
        <v>42070</v>
      </c>
      <c r="AM121" s="263">
        <f>IF(Main!AT122&gt;0,Main!AT122,"")</f>
        <v>42074</v>
      </c>
      <c r="AN121" s="259" t="str">
        <f>Main!BW122</f>
        <v>2305 3/13/2015, MDR 3/19/2015, 2316 (2014) - 3/17/2015</v>
      </c>
    </row>
    <row r="122" spans="1:40" x14ac:dyDescent="0.25">
      <c r="A122" s="258">
        <f>Main!C123</f>
        <v>1082339</v>
      </c>
      <c r="B122" s="259" t="str">
        <f>Main!D123</f>
        <v>Paraoan, Anna Mae Correa</v>
      </c>
      <c r="C122" s="259" t="str">
        <f>Main!AH123</f>
        <v>Probationary</v>
      </c>
      <c r="D122" s="260">
        <f>Main!B123</f>
        <v>42072</v>
      </c>
      <c r="E122" s="260" t="str">
        <f>IF(Main!AI123&lt;1,"",Main!AI123)</f>
        <v>Jobstreet</v>
      </c>
      <c r="F122" s="260" t="str">
        <f>IF(Main!AJ123&lt;1,"",Main!AJ123)</f>
        <v/>
      </c>
      <c r="G122" s="260" t="str">
        <f>IF(Main!AK123&lt;1,"",Main!AK123)</f>
        <v/>
      </c>
      <c r="H122" s="259" t="str">
        <f>Main!Y123</f>
        <v>Senior Recruiter</v>
      </c>
      <c r="I122" s="259" t="str">
        <f>Main!Z123</f>
        <v>Level 2</v>
      </c>
      <c r="J122" s="259">
        <f>IF(Main!A123&lt;1,"",Main!A123)</f>
        <v>187</v>
      </c>
      <c r="K122" s="260">
        <f>IF(Main!AN123&gt;0,Main!AN123,"")</f>
        <v>31380</v>
      </c>
      <c r="L122" s="258" t="str">
        <f>IF(Main!Q123&gt;0,Main!Q123,"")</f>
        <v>amae.paraoan@icloud.com</v>
      </c>
      <c r="M122" s="410">
        <f>VALUE(IF(Main!S123&gt;0,Main!S123,""))</f>
        <v>9166489119</v>
      </c>
      <c r="N122" s="261" t="str">
        <f>Main!T123</f>
        <v/>
      </c>
      <c r="O122" s="258" t="str">
        <f>IF(Main!AO123&gt;0,Main!AO123,"")</f>
        <v>13-A Francisco, Olivarez Compound Parañaque</v>
      </c>
      <c r="P122" s="258" t="str">
        <f>IF(Main!AP123&gt;0,Main!AP123,"")</f>
        <v/>
      </c>
      <c r="Q122" s="258" t="str">
        <f>IF(Main!AR123&gt;0,Main!AR123,"")</f>
        <v>Single</v>
      </c>
      <c r="R122" s="259" t="str">
        <f>IF(Main!AQ123&gt;0,Main!AQ123,"")</f>
        <v>Female</v>
      </c>
      <c r="S122" s="259" t="str">
        <f>IF(Main!BD123&gt;0,Main!BD123,"")</f>
        <v>33-9246118-9</v>
      </c>
      <c r="T122" s="259" t="str">
        <f>IF(Main!AX123&gt;0,Main!AX123,"")</f>
        <v>271-743-598</v>
      </c>
      <c r="U122" s="259" t="str">
        <f>IF(Main!BH123&gt;0,Main!BH123,"")</f>
        <v>01-051300815-0</v>
      </c>
      <c r="V122" s="268" t="str">
        <f>IF(Main!BF123&gt;0,Main!BF123,"")</f>
        <v>1210-9596-5605</v>
      </c>
      <c r="W122" s="263">
        <f>IF(Main!BS123&gt;0,Main!BS123,"")</f>
        <v>42072</v>
      </c>
      <c r="X122" s="263">
        <f>IF(Main!BT123&gt;0,Main!BT123,"")</f>
        <v>42072</v>
      </c>
      <c r="Y122" s="263">
        <f>IF(Main!BU123&gt;0,Main!BU123,"")</f>
        <v>42072</v>
      </c>
      <c r="Z122" s="263">
        <f>IF(Main!AS123&gt;0,Main!AS123,"")</f>
        <v>42101</v>
      </c>
      <c r="AA122" s="263">
        <f>IF(Main!BJ123&gt;0,Main!BJ123,"")</f>
        <v>42074</v>
      </c>
      <c r="AB122" s="263">
        <f>IF(Main!BC123&gt;0,Main!BC123,"")</f>
        <v>42075</v>
      </c>
      <c r="AC122" s="263">
        <f>IF(Main!AW123&gt;0,Main!AW123,"")</f>
        <v>42074</v>
      </c>
      <c r="AD122" s="263">
        <f>IF(Main!BG123&gt;0,Main!BG123,"")</f>
        <v>42080</v>
      </c>
      <c r="AE122" s="263">
        <f>IF(Main!BE123&gt;0,Main!BE123,"")</f>
        <v>42074</v>
      </c>
      <c r="AF122" s="263">
        <f>IF(Main!BM123&gt;0,Main!BM123,"")</f>
        <v>42074</v>
      </c>
      <c r="AG122" s="263" t="str">
        <f>IF(Main!BN123&gt;0,Main!BN123,"")</f>
        <v/>
      </c>
      <c r="AH122" s="263" t="str">
        <f>IF(Main!BO123&gt;0,Main!BO123,"")</f>
        <v/>
      </c>
      <c r="AI122" s="263" t="str">
        <f>IF(Main!BR123&gt;0,Main!BR123,"")</f>
        <v/>
      </c>
      <c r="AJ122" s="263" t="str">
        <f>IF(Main!BQ123&gt;0,Main!BQ123,"")</f>
        <v/>
      </c>
      <c r="AK122" s="263">
        <f>IF(Main!AV123&gt;0,Main!AV123,"")</f>
        <v>42074</v>
      </c>
      <c r="AL122" s="263">
        <f>IF(Main!AU123&gt;0,Main!AU123,"")</f>
        <v>42070</v>
      </c>
      <c r="AM122" s="263">
        <f>IF(Main!AT123&gt;0,Main!AT123,"")</f>
        <v>42080</v>
      </c>
      <c r="AN122" s="259" t="str">
        <f>Main!BW123</f>
        <v xml:space="preserve">1905 3/17/2015, 2305 3/13/2015, MDR 3/17/2015, </v>
      </c>
    </row>
    <row r="123" spans="1:40" x14ac:dyDescent="0.25">
      <c r="A123" s="258">
        <f>Main!C124</f>
        <v>1082340</v>
      </c>
      <c r="B123" s="259" t="str">
        <f>Main!D124</f>
        <v>Sartorio Jr., Alexander Lara</v>
      </c>
      <c r="C123" s="259" t="str">
        <f>Main!AH124</f>
        <v>Probationary</v>
      </c>
      <c r="D123" s="260">
        <f>Main!B124</f>
        <v>42072</v>
      </c>
      <c r="E123" s="260" t="str">
        <f>IF(Main!AI124&lt;1,"",Main!AI124)</f>
        <v>ERP - Christopher Gaela</v>
      </c>
      <c r="F123" s="260" t="str">
        <f>IF(Main!AJ124&lt;1,"",Main!AJ124)</f>
        <v>Christopher Gaela</v>
      </c>
      <c r="G123" s="260" t="str">
        <f>IF(Main!AK124&lt;1,"",Main!AK124)</f>
        <v/>
      </c>
      <c r="H123" s="259" t="str">
        <f>Main!Y124</f>
        <v>Senior Recruiter</v>
      </c>
      <c r="I123" s="259" t="str">
        <f>Main!Z124</f>
        <v>Level 2</v>
      </c>
      <c r="J123" s="259">
        <f>IF(Main!A124&lt;1,"",Main!A124)</f>
        <v>187</v>
      </c>
      <c r="K123" s="260">
        <f>IF(Main!AN124&gt;0,Main!AN124,"")</f>
        <v>31458</v>
      </c>
      <c r="L123" s="258" t="str">
        <f>IF(Main!Q124&gt;0,Main!Q124,"")</f>
        <v>jhadie_wagner03@yahoo.com</v>
      </c>
      <c r="M123" s="410">
        <f>VALUE(IF(Main!S124&gt;0,Main!S124,""))</f>
        <v>9266586290</v>
      </c>
      <c r="N123" s="261" t="str">
        <f>Main!T124</f>
        <v/>
      </c>
      <c r="O123" s="258" t="str">
        <f>IF(Main!AO124&gt;0,Main!AO124,"")</f>
        <v>200 Aries St. Batimana Compound Marulas, Valenzuela</v>
      </c>
      <c r="P123" s="258" t="str">
        <f>IF(Main!AP124&gt;0,Main!AP124,"")</f>
        <v>200 Aries St. Batimana Compound Marulas, Valenzuela</v>
      </c>
      <c r="Q123" s="258" t="str">
        <f>IF(Main!AR124&gt;0,Main!AR124,"")</f>
        <v>Single</v>
      </c>
      <c r="R123" s="259" t="str">
        <f>IF(Main!AQ124&gt;0,Main!AQ124,"")</f>
        <v>Male</v>
      </c>
      <c r="S123" s="259" t="str">
        <f>IF(Main!BD124&gt;0,Main!BD124,"")</f>
        <v>33-9065756-8</v>
      </c>
      <c r="T123" s="259" t="str">
        <f>IF(Main!AX124&gt;0,Main!AX124,"")</f>
        <v/>
      </c>
      <c r="U123" s="259" t="str">
        <f>IF(Main!BH124&gt;0,Main!BH124,"")</f>
        <v>01-050729763-9</v>
      </c>
      <c r="V123" s="268" t="str">
        <f>IF(Main!BF124&gt;0,Main!BF124,"")</f>
        <v>1020-0184-8397</v>
      </c>
      <c r="W123" s="263">
        <f>IF(Main!BS124&gt;0,Main!BS124,"")</f>
        <v>42072</v>
      </c>
      <c r="X123" s="263">
        <f>IF(Main!BT124&gt;0,Main!BT124,"")</f>
        <v>42072</v>
      </c>
      <c r="Y123" s="263">
        <f>IF(Main!BU124&gt;0,Main!BU124,"")</f>
        <v>42072</v>
      </c>
      <c r="Z123" s="263">
        <f>IF(Main!AS124&gt;0,Main!AS124,"")</f>
        <v>42087</v>
      </c>
      <c r="AA123" s="263" t="str">
        <f>IF(Main!BJ124&gt;0,Main!BJ124,"")</f>
        <v/>
      </c>
      <c r="AB123" s="263">
        <f>IF(Main!BC124&gt;0,Main!BC124,"")</f>
        <v>42074</v>
      </c>
      <c r="AC123" s="263" t="str">
        <f>IF(Main!AW124&gt;0,Main!AW124,"")</f>
        <v/>
      </c>
      <c r="AD123" s="263">
        <f>IF(Main!BG124&gt;0,Main!BG124,"")</f>
        <v>42087</v>
      </c>
      <c r="AE123" s="263">
        <f>IF(Main!BE124&gt;0,Main!BE124,"")</f>
        <v>42074</v>
      </c>
      <c r="AF123" s="263">
        <f>IF(Main!BM124&gt;0,Main!BM124,"")</f>
        <v>42087</v>
      </c>
      <c r="AG123" s="263" t="str">
        <f>IF(Main!BN124&gt;0,Main!BN124,"")</f>
        <v/>
      </c>
      <c r="AH123" s="263" t="str">
        <f>IF(Main!BO124&gt;0,Main!BO124,"")</f>
        <v/>
      </c>
      <c r="AI123" s="263" t="str">
        <f>IF(Main!BR124&gt;0,Main!BR124,"")</f>
        <v/>
      </c>
      <c r="AJ123" s="263" t="str">
        <f>IF(Main!BQ124&gt;0,Main!BQ124,"")</f>
        <v/>
      </c>
      <c r="AK123" s="263" t="str">
        <f>IF(Main!AV124&gt;0,Main!AV124,"")</f>
        <v/>
      </c>
      <c r="AL123" s="263">
        <f>IF(Main!AU124&gt;0,Main!AU124,"")</f>
        <v>42070</v>
      </c>
      <c r="AM123" s="263">
        <f>IF(Main!AT124&gt;0,Main!AT124,"")</f>
        <v>42087</v>
      </c>
      <c r="AN123" s="259" t="str">
        <f>Main!BW124</f>
        <v/>
      </c>
    </row>
    <row r="124" spans="1:40" x14ac:dyDescent="0.25">
      <c r="A124" s="258">
        <f>Main!C125</f>
        <v>1082341</v>
      </c>
      <c r="B124" s="259" t="str">
        <f>Main!D125</f>
        <v>Simon, Maila Denise Eligio</v>
      </c>
      <c r="C124" s="259" t="str">
        <f>Main!AH125</f>
        <v>Probationary</v>
      </c>
      <c r="D124" s="260">
        <f>Main!B125</f>
        <v>42072</v>
      </c>
      <c r="E124" s="260" t="str">
        <f>IF(Main!AI125&lt;1,"",Main!AI125)</f>
        <v>Jobstreet</v>
      </c>
      <c r="F124" s="260" t="str">
        <f>IF(Main!AJ125&lt;1,"",Main!AJ125)</f>
        <v/>
      </c>
      <c r="G124" s="260" t="str">
        <f>IF(Main!AK125&lt;1,"",Main!AK125)</f>
        <v/>
      </c>
      <c r="H124" s="259" t="str">
        <f>Main!Y125</f>
        <v>Senior Recruiter</v>
      </c>
      <c r="I124" s="259" t="str">
        <f>Main!Z125</f>
        <v>Level 1</v>
      </c>
      <c r="J124" s="259">
        <f>IF(Main!A125&lt;1,"",Main!A125)</f>
        <v>187</v>
      </c>
      <c r="K124" s="260">
        <f>IF(Main!AN125&gt;0,Main!AN125,"")</f>
        <v>32365</v>
      </c>
      <c r="L124" s="258" t="str">
        <f>IF(Main!Q125&gt;0,Main!Q125,"")</f>
        <v>mailadenisesimon@yahoo.com</v>
      </c>
      <c r="M124" s="410">
        <f>VALUE(IF(Main!S125&gt;0,Main!S125,""))</f>
        <v>9258300712</v>
      </c>
      <c r="N124" s="261" t="str">
        <f>Main!T125</f>
        <v/>
      </c>
      <c r="O124" s="258" t="str">
        <f>IF(Main!AO125&gt;0,Main!AO125,"")</f>
        <v>#25 Avocado St., Gatchalian Subd., Las Piñas</v>
      </c>
      <c r="P124" s="258" t="str">
        <f>IF(Main!AP125&gt;0,Main!AP125,"")</f>
        <v>#25 Avocado St., Gatchalian Subd., Las Piñas</v>
      </c>
      <c r="Q124" s="258" t="str">
        <f>IF(Main!AR125&gt;0,Main!AR125,"")</f>
        <v>Single</v>
      </c>
      <c r="R124" s="259" t="str">
        <f>IF(Main!AQ125&gt;0,Main!AQ125,"")</f>
        <v>Female</v>
      </c>
      <c r="S124" s="259" t="str">
        <f>IF(Main!BD125&gt;0,Main!BD125,"")</f>
        <v>33-9867123-2</v>
      </c>
      <c r="T124" s="259" t="str">
        <f>IF(Main!AX125&gt;0,Main!AX125,"")</f>
        <v>249-069-200</v>
      </c>
      <c r="U124" s="259" t="str">
        <f>IF(Main!BH125&gt;0,Main!BH125,"")</f>
        <v>01-0500961826-2</v>
      </c>
      <c r="V124" s="268" t="str">
        <f>IF(Main!BF125&gt;0,Main!BF125,"")</f>
        <v>1210-3084-5605</v>
      </c>
      <c r="W124" s="263">
        <f>IF(Main!BS125&gt;0,Main!BS125,"")</f>
        <v>42072</v>
      </c>
      <c r="X124" s="263">
        <f>IF(Main!BT125&gt;0,Main!BT125,"")</f>
        <v>42072</v>
      </c>
      <c r="Y124" s="263">
        <f>IF(Main!BU125&gt;0,Main!BU125,"")</f>
        <v>42072</v>
      </c>
      <c r="Z124" s="263">
        <f>IF(Main!AS125&gt;0,Main!AS125,"")</f>
        <v>42081</v>
      </c>
      <c r="AA124" s="263">
        <f>IF(Main!BJ125&gt;0,Main!BJ125,"")</f>
        <v>42081</v>
      </c>
      <c r="AB124" s="263">
        <f>IF(Main!BC125&gt;0,Main!BC125,"")</f>
        <v>42075</v>
      </c>
      <c r="AC124" s="263">
        <f>IF(Main!AW125&gt;0,Main!AW125,"")</f>
        <v>42081</v>
      </c>
      <c r="AD124" s="263">
        <f>IF(Main!BG125&gt;0,Main!BG125,"")</f>
        <v>42081</v>
      </c>
      <c r="AE124" s="263">
        <f>IF(Main!BE125&gt;0,Main!BE125,"")</f>
        <v>42081</v>
      </c>
      <c r="AF124" s="263">
        <f>IF(Main!BM125&gt;0,Main!BM125,"")</f>
        <v>42081</v>
      </c>
      <c r="AG124" s="263">
        <f>IF(Main!BN125&gt;0,Main!BN125,"")</f>
        <v>42081</v>
      </c>
      <c r="AH124" s="263" t="str">
        <f>IF(Main!BO125&gt;0,Main!BO125,"")</f>
        <v/>
      </c>
      <c r="AI124" s="263" t="str">
        <f>IF(Main!BR125&gt;0,Main!BR125,"")</f>
        <v/>
      </c>
      <c r="AJ124" s="263">
        <f>IF(Main!BQ125&gt;0,Main!BQ125,"")</f>
        <v>42081</v>
      </c>
      <c r="AK124" s="263">
        <f>IF(Main!AV125&gt;0,Main!AV125,"")</f>
        <v>42074</v>
      </c>
      <c r="AL124" s="263">
        <f>IF(Main!AU125&gt;0,Main!AU125,"")</f>
        <v>42070</v>
      </c>
      <c r="AM124" s="263">
        <f>IF(Main!AT125&gt;0,Main!AT125,"")</f>
        <v>42081</v>
      </c>
      <c r="AN124" s="259" t="str">
        <f>Main!BW125</f>
        <v xml:space="preserve">1905 3/18/2015, 2305 3/18/2015, </v>
      </c>
    </row>
    <row r="125" spans="1:40" x14ac:dyDescent="0.25">
      <c r="A125" s="258">
        <f>Main!C126</f>
        <v>1082342</v>
      </c>
      <c r="B125" s="259" t="str">
        <f>Main!D126</f>
        <v>Tiamzon, Prency Tanya Alvarez</v>
      </c>
      <c r="C125" s="259" t="str">
        <f>Main!AH126</f>
        <v>Probationary</v>
      </c>
      <c r="D125" s="260">
        <f>Main!B126</f>
        <v>42072</v>
      </c>
      <c r="E125" s="260" t="str">
        <f>IF(Main!AI126&lt;1,"",Main!AI126)</f>
        <v>Jobstreet</v>
      </c>
      <c r="F125" s="260" t="str">
        <f>IF(Main!AJ126&lt;1,"",Main!AJ126)</f>
        <v/>
      </c>
      <c r="G125" s="260" t="str">
        <f>IF(Main!AK126&lt;1,"",Main!AK126)</f>
        <v/>
      </c>
      <c r="H125" s="259" t="str">
        <f>Main!Y126</f>
        <v>Senior Recruiter</v>
      </c>
      <c r="I125" s="259" t="str">
        <f>Main!Z126</f>
        <v>Level 2</v>
      </c>
      <c r="J125" s="259">
        <f>IF(Main!A126&lt;1,"",Main!A126)</f>
        <v>187</v>
      </c>
      <c r="K125" s="260">
        <f>IF(Main!AN126&gt;0,Main!AN126,"")</f>
        <v>30665</v>
      </c>
      <c r="L125" s="258" t="str">
        <f>IF(Main!Q126&gt;0,Main!Q126,"")</f>
        <v>mitzi_tiamzon@yahoo.com.ph</v>
      </c>
      <c r="M125" s="410">
        <f>VALUE(IF(Main!S126&gt;0,Main!S126,""))</f>
        <v>9359009515</v>
      </c>
      <c r="N125" s="261" t="str">
        <f>Main!T126</f>
        <v/>
      </c>
      <c r="O125" s="258" t="str">
        <f>IF(Main!AO126&gt;0,Main!AO126,"")</f>
        <v>77C. Cruz St., Sta. Elena, Marikina</v>
      </c>
      <c r="P125" s="258" t="str">
        <f>IF(Main!AP126&gt;0,Main!AP126,"")</f>
        <v>77C. Cruz St., Sta. Elena, Marikina</v>
      </c>
      <c r="Q125" s="258" t="str">
        <f>IF(Main!AR126&gt;0,Main!AR126,"")</f>
        <v>Single</v>
      </c>
      <c r="R125" s="259" t="str">
        <f>IF(Main!AQ126&gt;0,Main!AQ126,"")</f>
        <v>Female</v>
      </c>
      <c r="S125" s="259" t="str">
        <f>IF(Main!BD126&gt;0,Main!BD126,"")</f>
        <v>3-37565700-4</v>
      </c>
      <c r="T125" s="259" t="str">
        <f>IF(Main!AX126&gt;0,Main!AX126,"")</f>
        <v>231-249-184</v>
      </c>
      <c r="U125" s="259" t="str">
        <f>IF(Main!BH126&gt;0,Main!BH126,"")</f>
        <v>02-050006294-1</v>
      </c>
      <c r="V125" s="268" t="str">
        <f>IF(Main!BF126&gt;0,Main!BF126,"")</f>
        <v>1010-0138-3848</v>
      </c>
      <c r="W125" s="263">
        <f>IF(Main!BS126&gt;0,Main!BS126,"")</f>
        <v>42072</v>
      </c>
      <c r="X125" s="263">
        <f>IF(Main!BT126&gt;0,Main!BT126,"")</f>
        <v>42072</v>
      </c>
      <c r="Y125" s="263">
        <f>IF(Main!BU126&gt;0,Main!BU126,"")</f>
        <v>42072</v>
      </c>
      <c r="Z125" s="263">
        <f>IF(Main!AS126&gt;0,Main!AS126,"")</f>
        <v>42118</v>
      </c>
      <c r="AA125" s="263">
        <f>IF(Main!BJ126&gt;0,Main!BJ126,"")</f>
        <v>42137</v>
      </c>
      <c r="AB125" s="263">
        <f>IF(Main!BC126&gt;0,Main!BC126,"")</f>
        <v>42074</v>
      </c>
      <c r="AC125" s="263">
        <f>IF(Main!AW126&gt;0,Main!AW126,"")</f>
        <v>42080</v>
      </c>
      <c r="AD125" s="263">
        <f>IF(Main!BG126&gt;0,Main!BG126,"")</f>
        <v>42080</v>
      </c>
      <c r="AE125" s="263">
        <f>IF(Main!BE126&gt;0,Main!BE126,"")</f>
        <v>42080</v>
      </c>
      <c r="AF125" s="263">
        <f>IF(Main!BM126&gt;0,Main!BM126,"")</f>
        <v>42109</v>
      </c>
      <c r="AG125" s="263" t="str">
        <f>IF(Main!BN126&gt;0,Main!BN126,"")</f>
        <v/>
      </c>
      <c r="AH125" s="263">
        <f>IF(Main!BO126&gt;0,Main!BO126,"")</f>
        <v>42080</v>
      </c>
      <c r="AI125" s="263" t="str">
        <f>IF(Main!BR126&gt;0,Main!BR126,"")</f>
        <v/>
      </c>
      <c r="AJ125" s="263" t="str">
        <f>IF(Main!BQ126&gt;0,Main!BQ126,"")</f>
        <v/>
      </c>
      <c r="AK125" s="263">
        <f>IF(Main!AV126&gt;0,Main!AV126,"")</f>
        <v>42074</v>
      </c>
      <c r="AL125" s="263">
        <f>IF(Main!AU126&gt;0,Main!AU126,"")</f>
        <v>42070</v>
      </c>
      <c r="AM125" s="263">
        <f>IF(Main!AT126&gt;0,Main!AT126,"")</f>
        <v>42109</v>
      </c>
      <c r="AN125" s="259" t="str">
        <f>Main!BW126</f>
        <v xml:space="preserve">1905 3/17/2015, 2305 3/17/2015, MDR 3/17/2015, NBI receipt 4/24/2015, </v>
      </c>
    </row>
    <row r="126" spans="1:40" x14ac:dyDescent="0.25">
      <c r="A126" s="258">
        <f>Main!C127</f>
        <v>1082343</v>
      </c>
      <c r="B126" s="259" t="str">
        <f>Main!D127</f>
        <v>Adonis, Yeoman Niñofranco</v>
      </c>
      <c r="C126" s="259" t="str">
        <f>Main!AH127</f>
        <v>Probationary</v>
      </c>
      <c r="D126" s="260">
        <f>Main!B127</f>
        <v>42072</v>
      </c>
      <c r="E126" s="260" t="str">
        <f>IF(Main!AI127&lt;1,"",Main!AI127)</f>
        <v>Jobstreet</v>
      </c>
      <c r="F126" s="260" t="str">
        <f>IF(Main!AJ127&lt;1,"",Main!AJ127)</f>
        <v/>
      </c>
      <c r="G126" s="260" t="str">
        <f>IF(Main!AK127&lt;1,"",Main!AK127)</f>
        <v/>
      </c>
      <c r="H126" s="259" t="str">
        <f>Main!Y127</f>
        <v>STM</v>
      </c>
      <c r="I126" s="259" t="str">
        <f>Main!Z127</f>
        <v>Level 1</v>
      </c>
      <c r="J126" s="259">
        <f>IF(Main!A127&lt;1,"",Main!A127)</f>
        <v>187</v>
      </c>
      <c r="K126" s="260">
        <f>IF(Main!AN127&gt;0,Main!AN127,"")</f>
        <v>29242</v>
      </c>
      <c r="L126" s="258" t="str">
        <f>IF(Main!Q127&gt;0,Main!Q127,"")</f>
        <v>yeomanadonis@yahoo.com</v>
      </c>
      <c r="M126" s="410">
        <f>VALUE(IF(Main!S127&gt;0,Main!S127,""))</f>
        <v>9321476323</v>
      </c>
      <c r="N126" s="261" t="str">
        <f>Main!T127</f>
        <v/>
      </c>
      <c r="O126" s="258" t="str">
        <f>IF(Main!AO127&gt;0,Main!AO127,"")</f>
        <v>468 M Blas St. Malabon</v>
      </c>
      <c r="P126" s="258" t="str">
        <f>IF(Main!AP127&gt;0,Main!AP127,"")</f>
        <v>468 M Blas St. Malabon</v>
      </c>
      <c r="Q126" s="258" t="str">
        <f>IF(Main!AR127&gt;0,Main!AR127,"")</f>
        <v>Single</v>
      </c>
      <c r="R126" s="259" t="str">
        <f>IF(Main!AQ127&gt;0,Main!AQ127,"")</f>
        <v>Male</v>
      </c>
      <c r="S126" s="259" t="str">
        <f>IF(Main!BD127&gt;0,Main!BD127,"")</f>
        <v>33-5901686-5</v>
      </c>
      <c r="T126" s="259" t="str">
        <f>IF(Main!AX127&gt;0,Main!AX127,"")</f>
        <v>223-121-847</v>
      </c>
      <c r="U126" s="259" t="str">
        <f>IF(Main!BH127&gt;0,Main!BH127,"")</f>
        <v>19-090440227-7</v>
      </c>
      <c r="V126" s="268" t="str">
        <f>IF(Main!BF127&gt;0,Main!BF127,"")</f>
        <v>1020-0090-7487</v>
      </c>
      <c r="W126" s="263">
        <f>IF(Main!BS127&gt;0,Main!BS127,"")</f>
        <v>42076</v>
      </c>
      <c r="X126" s="263">
        <f>IF(Main!BT127&gt;0,Main!BT127,"")</f>
        <v>42076</v>
      </c>
      <c r="Y126" s="263">
        <f>IF(Main!BU127&gt;0,Main!BU127,"")</f>
        <v>42076</v>
      </c>
      <c r="Z126" s="263">
        <f>IF(Main!AS127&gt;0,Main!AS127,"")</f>
        <v>42081</v>
      </c>
      <c r="AA126" s="263">
        <f>IF(Main!BJ127&gt;0,Main!BJ127,"")</f>
        <v>42090</v>
      </c>
      <c r="AB126" s="263">
        <f>IF(Main!BC127&gt;0,Main!BC127,"")</f>
        <v>42082</v>
      </c>
      <c r="AC126" s="263">
        <f>IF(Main!AW127&gt;0,Main!AW127,"")</f>
        <v>42081</v>
      </c>
      <c r="AD126" s="263">
        <f>IF(Main!BG127&gt;0,Main!BG127,"")</f>
        <v>42090</v>
      </c>
      <c r="AE126" s="263">
        <f>IF(Main!BE127&gt;0,Main!BE127,"")</f>
        <v>42081</v>
      </c>
      <c r="AF126" s="263">
        <f>IF(Main!BM127&gt;0,Main!BM127,"")</f>
        <v>42090</v>
      </c>
      <c r="AG126" s="263" t="str">
        <f>IF(Main!BN127&gt;0,Main!BN127,"")</f>
        <v/>
      </c>
      <c r="AH126" s="263" t="str">
        <f>IF(Main!BO127&gt;0,Main!BO127,"")</f>
        <v/>
      </c>
      <c r="AI126" s="263" t="str">
        <f>IF(Main!BR127&gt;0,Main!BR127,"")</f>
        <v/>
      </c>
      <c r="AJ126" s="263" t="str">
        <f>IF(Main!BQ127&gt;0,Main!BQ127,"")</f>
        <v/>
      </c>
      <c r="AK126" s="263">
        <f>IF(Main!AV127&gt;0,Main!AV127,"")</f>
        <v>42081</v>
      </c>
      <c r="AL126" s="263">
        <f>IF(Main!AU127&gt;0,Main!AU127,"")</f>
        <v>42081</v>
      </c>
      <c r="AM126" s="263">
        <f>IF(Main!AT127&gt;0,Main!AT127,"")</f>
        <v>42081</v>
      </c>
      <c r="AN126" s="259" t="str">
        <f>Main!BW127</f>
        <v xml:space="preserve">1905 4/7/2015, 2305 3/19/2015, MDR 3/27/2015, </v>
      </c>
    </row>
    <row r="127" spans="1:40" x14ac:dyDescent="0.25">
      <c r="A127" s="258">
        <f>Main!C128</f>
        <v>1082344</v>
      </c>
      <c r="B127" s="259" t="str">
        <f>Main!D128</f>
        <v>Moreno, Camille Dave</v>
      </c>
      <c r="C127" s="259" t="str">
        <f>Main!AH128</f>
        <v>Probationary</v>
      </c>
      <c r="D127" s="260">
        <f>Main!B128</f>
        <v>42079</v>
      </c>
      <c r="E127" s="260" t="str">
        <f>IF(Main!AI128&lt;1,"",Main!AI128)</f>
        <v>Jobstreet</v>
      </c>
      <c r="F127" s="260" t="str">
        <f>IF(Main!AJ128&lt;1,"",Main!AJ128)</f>
        <v/>
      </c>
      <c r="G127" s="260" t="str">
        <f>IF(Main!AK128&lt;1,"",Main!AK128)</f>
        <v/>
      </c>
      <c r="H127" s="259" t="str">
        <f>Main!Y128</f>
        <v>US Reference Check Specialist</v>
      </c>
      <c r="I127" s="259" t="str">
        <f>Main!Z128</f>
        <v>Level 1</v>
      </c>
      <c r="J127" s="259">
        <f>IF(Main!A128&lt;1,"",Main!A128)</f>
        <v>188</v>
      </c>
      <c r="K127" s="260">
        <f>IF(Main!AN128&gt;0,Main!AN128,"")</f>
        <v>33960</v>
      </c>
      <c r="L127" s="258" t="str">
        <f>IF(Main!Q128&gt;0,Main!Q128,"")</f>
        <v>camille_davemoreno@yahoo.com</v>
      </c>
      <c r="M127" s="410">
        <f>VALUE(IF(Main!S128&gt;0,Main!S128,""))</f>
        <v>9159793134</v>
      </c>
      <c r="N127" s="261" t="str">
        <f>Main!T128</f>
        <v/>
      </c>
      <c r="O127" s="258" t="str">
        <f>IF(Main!AO128&gt;0,Main!AO128,"")</f>
        <v>301 K F. Cruz St. Malibay Pasay</v>
      </c>
      <c r="P127" s="258" t="str">
        <f>IF(Main!AP128&gt;0,Main!AP128,"")</f>
        <v>301 K F. Cruz St. Malibay Pasay</v>
      </c>
      <c r="Q127" s="258" t="str">
        <f>IF(Main!AR128&gt;0,Main!AR128,"")</f>
        <v>Single</v>
      </c>
      <c r="R127" s="259" t="str">
        <f>IF(Main!AQ128&gt;0,Main!AQ128,"")</f>
        <v>Female</v>
      </c>
      <c r="S127" s="259" t="str">
        <f>IF(Main!BD128&gt;0,Main!BD128,"")</f>
        <v>34-4123844-1</v>
      </c>
      <c r="T127" s="259" t="str">
        <f>IF(Main!AX128&gt;0,Main!AX128,"")</f>
        <v>315-321-575</v>
      </c>
      <c r="U127" s="259" t="str">
        <f>IF(Main!BH128&gt;0,Main!BH128,"")</f>
        <v>01-051808743-1</v>
      </c>
      <c r="V127" s="268" t="str">
        <f>IF(Main!BF128&gt;0,Main!BF128,"")</f>
        <v>1211-0148-8537</v>
      </c>
      <c r="W127" s="263">
        <f>IF(Main!BS128&gt;0,Main!BS128,"")</f>
        <v>42079</v>
      </c>
      <c r="X127" s="263">
        <f>IF(Main!BT128&gt;0,Main!BT128,"")</f>
        <v>42079</v>
      </c>
      <c r="Y127" s="263">
        <f>IF(Main!BU128&gt;0,Main!BU128,"")</f>
        <v>42079</v>
      </c>
      <c r="Z127" s="263">
        <f>IF(Main!AS128&gt;0,Main!AS128,"")</f>
        <v>42079</v>
      </c>
      <c r="AA127" s="263">
        <f>IF(Main!BJ128&gt;0,Main!BJ128,"")</f>
        <v>42104</v>
      </c>
      <c r="AB127" s="263">
        <f>IF(Main!BC128&gt;0,Main!BC128,"")</f>
        <v>42079</v>
      </c>
      <c r="AC127" s="263">
        <f>IF(Main!AW128&gt;0,Main!AW128,"")</f>
        <v>42079</v>
      </c>
      <c r="AD127" s="263">
        <f>IF(Main!BG128&gt;0,Main!BG128,"")</f>
        <v>42115</v>
      </c>
      <c r="AE127" s="263">
        <f>IF(Main!BE128&gt;0,Main!BE128,"")</f>
        <v>42080</v>
      </c>
      <c r="AF127" s="263">
        <f>IF(Main!BM128&gt;0,Main!BM128,"")</f>
        <v>42079</v>
      </c>
      <c r="AG127" s="263" t="str">
        <f>IF(Main!BN128&gt;0,Main!BN128,"")</f>
        <v/>
      </c>
      <c r="AH127" s="263" t="str">
        <f>IF(Main!BO128&gt;0,Main!BO128,"")</f>
        <v/>
      </c>
      <c r="AI127" s="263">
        <f>IF(Main!BR128&gt;0,Main!BR128,"")</f>
        <v>42079</v>
      </c>
      <c r="AJ127" s="263">
        <f>IF(Main!BQ128&gt;0,Main!BQ128,"")</f>
        <v>42079</v>
      </c>
      <c r="AK127" s="263">
        <f>IF(Main!AV128&gt;0,Main!AV128,"")</f>
        <v>42079</v>
      </c>
      <c r="AL127" s="263">
        <f>IF(Main!AU128&gt;0,Main!AU128,"")</f>
        <v>42079</v>
      </c>
      <c r="AM127" s="263">
        <f>IF(Main!AT128&gt;0,Main!AT128,"")</f>
        <v>42079</v>
      </c>
      <c r="AN127" s="259" t="str">
        <f>Main!BW128</f>
        <v xml:space="preserve">1905 3/16/2015, 2305 3/16/2015, MDR 4/21/2015, </v>
      </c>
    </row>
    <row r="128" spans="1:40" x14ac:dyDescent="0.25">
      <c r="A128" s="258">
        <f>Main!C129</f>
        <v>1082345</v>
      </c>
      <c r="B128" s="259" t="str">
        <f>Main!D129</f>
        <v>Maguyon, Warriane Desiree Ilustrisimo</v>
      </c>
      <c r="C128" s="259" t="str">
        <f>Main!AH129</f>
        <v>Probationary</v>
      </c>
      <c r="D128" s="260">
        <f>Main!B129</f>
        <v>42079</v>
      </c>
      <c r="E128" s="260" t="str">
        <f>IF(Main!AI129&lt;1,"",Main!AI129)</f>
        <v>ERP - Camille Moreno</v>
      </c>
      <c r="F128" s="260" t="str">
        <f>IF(Main!AJ129&lt;1,"",Main!AJ129)</f>
        <v>Camille Moreno</v>
      </c>
      <c r="G128" s="260" t="str">
        <f>IF(Main!AK129&lt;1,"",Main!AK129)</f>
        <v/>
      </c>
      <c r="H128" s="259" t="str">
        <f>Main!Y129</f>
        <v>US Reference Check Specialist</v>
      </c>
      <c r="I128" s="259" t="str">
        <f>Main!Z129</f>
        <v>Level 1</v>
      </c>
      <c r="J128" s="259">
        <f>IF(Main!A129&lt;1,"",Main!A129)</f>
        <v>188</v>
      </c>
      <c r="K128" s="260">
        <f>IF(Main!AN129&gt;0,Main!AN129,"")</f>
        <v>33361</v>
      </c>
      <c r="L128" s="258" t="str">
        <f>IF(Main!Q129&gt;0,Main!Q129,"")</f>
        <v>wdimaguyon@yahoo.com</v>
      </c>
      <c r="M128" s="410">
        <f>VALUE(IF(Main!S129&gt;0,Main!S129,""))</f>
        <v>9174557288</v>
      </c>
      <c r="N128" s="261" t="str">
        <f>Main!T129</f>
        <v>9495685068</v>
      </c>
      <c r="O128" s="258" t="str">
        <f>IF(Main!AO129&gt;0,Main!AO129,"")</f>
        <v/>
      </c>
      <c r="P128" s="258" t="str">
        <f>IF(Main!AP129&gt;0,Main!AP129,"")</f>
        <v>San Francisco Victoria Laguna</v>
      </c>
      <c r="Q128" s="258" t="str">
        <f>IF(Main!AR129&gt;0,Main!AR129,"")</f>
        <v>Single</v>
      </c>
      <c r="R128" s="259" t="str">
        <f>IF(Main!AQ129&gt;0,Main!AQ129,"")</f>
        <v>Female</v>
      </c>
      <c r="S128" s="259" t="str">
        <f>IF(Main!BD129&gt;0,Main!BD129,"")</f>
        <v>04-2111693-9</v>
      </c>
      <c r="T128" s="259" t="str">
        <f>IF(Main!AX129&gt;0,Main!AX129,"")</f>
        <v>276-472-572</v>
      </c>
      <c r="U128" s="259" t="str">
        <f>IF(Main!BH129&gt;0,Main!BH129,"")</f>
        <v>08-050855897-3</v>
      </c>
      <c r="V128" s="268" t="str">
        <f>IF(Main!BF129&gt;0,Main!BF129,"")</f>
        <v>1210-6615-0960</v>
      </c>
      <c r="W128" s="263">
        <f>IF(Main!BS129&gt;0,Main!BS129,"")</f>
        <v>42079</v>
      </c>
      <c r="X128" s="263">
        <f>IF(Main!BT129&gt;0,Main!BT129,"")</f>
        <v>42079</v>
      </c>
      <c r="Y128" s="263">
        <f>IF(Main!BU129&gt;0,Main!BU129,"")</f>
        <v>42079</v>
      </c>
      <c r="Z128" s="263">
        <f>IF(Main!AS129&gt;0,Main!AS129,"")</f>
        <v>42079</v>
      </c>
      <c r="AA128" s="263">
        <f>IF(Main!BJ129&gt;0,Main!BJ129,"")</f>
        <v>42103</v>
      </c>
      <c r="AB128" s="263">
        <f>IF(Main!BC129&gt;0,Main!BC129,"")</f>
        <v>42079</v>
      </c>
      <c r="AC128" s="263">
        <f>IF(Main!AW129&gt;0,Main!AW129,"")</f>
        <v>42079</v>
      </c>
      <c r="AD128" s="263">
        <f>IF(Main!BG129&gt;0,Main!BG129,"")</f>
        <v>42079</v>
      </c>
      <c r="AE128" s="263">
        <f>IF(Main!BE129&gt;0,Main!BE129,"")</f>
        <v>42103</v>
      </c>
      <c r="AF128" s="263">
        <f>IF(Main!BM129&gt;0,Main!BM129,"")</f>
        <v>42079</v>
      </c>
      <c r="AG128" s="263" t="str">
        <f>IF(Main!BN129&gt;0,Main!BN129,"")</f>
        <v/>
      </c>
      <c r="AH128" s="263" t="str">
        <f>IF(Main!BO129&gt;0,Main!BO129,"")</f>
        <v/>
      </c>
      <c r="AI128" s="263">
        <f>IF(Main!BR129&gt;0,Main!BR129,"")</f>
        <v>42079</v>
      </c>
      <c r="AJ128" s="263" t="str">
        <f>IF(Main!BQ129&gt;0,Main!BQ129,"")</f>
        <v/>
      </c>
      <c r="AK128" s="263">
        <f>IF(Main!AV129&gt;0,Main!AV129,"")</f>
        <v>42079</v>
      </c>
      <c r="AL128" s="263">
        <f>IF(Main!AU129&gt;0,Main!AU129,"")</f>
        <v>42079</v>
      </c>
      <c r="AM128" s="263">
        <f>IF(Main!AT129&gt;0,Main!AT129,"")</f>
        <v>42079</v>
      </c>
      <c r="AN128" s="259" t="str">
        <f>Main!BW129</f>
        <v xml:space="preserve">1905 3/16/2015, 2305 3/16/2015, </v>
      </c>
    </row>
    <row r="129" spans="1:40" x14ac:dyDescent="0.25">
      <c r="A129" s="258">
        <f>Main!C130</f>
        <v>1082346</v>
      </c>
      <c r="B129" s="259" t="str">
        <f>Main!D130</f>
        <v>Eugenio, Angela Rediga</v>
      </c>
      <c r="C129" s="259" t="str">
        <f>Main!AH130</f>
        <v>Probationary</v>
      </c>
      <c r="D129" s="260">
        <f>Main!B130</f>
        <v>42079</v>
      </c>
      <c r="E129" s="260" t="str">
        <f>IF(Main!AI130&lt;1,"",Main!AI130)</f>
        <v>Jobstreet</v>
      </c>
      <c r="F129" s="260" t="str">
        <f>IF(Main!AJ130&lt;1,"",Main!AJ130)</f>
        <v/>
      </c>
      <c r="G129" s="260" t="str">
        <f>IF(Main!AK130&lt;1,"",Main!AK130)</f>
        <v/>
      </c>
      <c r="H129" s="259" t="str">
        <f>Main!Y130</f>
        <v>Recruiter- Consumer Sales</v>
      </c>
      <c r="I129" s="259" t="str">
        <f>Main!Z130</f>
        <v>Level 0</v>
      </c>
      <c r="J129" s="259">
        <f>IF(Main!A130&lt;1,"",Main!A130)</f>
        <v>188</v>
      </c>
      <c r="K129" s="260">
        <f>IF(Main!AN130&gt;0,Main!AN130,"")</f>
        <v>34194</v>
      </c>
      <c r="L129" s="258" t="str">
        <f>IF(Main!Q130&gt;0,Main!Q130,"")</f>
        <v>theangelaeugenio@gmail.com</v>
      </c>
      <c r="M129" s="410">
        <f>VALUE(IF(Main!S130&gt;0,Main!S130,""))</f>
        <v>9269181087</v>
      </c>
      <c r="N129" s="261" t="str">
        <f>Main!T130</f>
        <v/>
      </c>
      <c r="O129" s="258" t="str">
        <f>IF(Main!AO130&gt;0,Main!AO130,"")</f>
        <v>56 E. Santos St. Sto. Tomas, Pasig</v>
      </c>
      <c r="P129" s="258" t="str">
        <f>IF(Main!AP130&gt;0,Main!AP130,"")</f>
        <v>56 E. Santos St. Sto. Tomas, Pasig</v>
      </c>
      <c r="Q129" s="258" t="str">
        <f>IF(Main!AR130&gt;0,Main!AR130,"")</f>
        <v>Single</v>
      </c>
      <c r="R129" s="259" t="str">
        <f>IF(Main!AQ130&gt;0,Main!AQ130,"")</f>
        <v>Female</v>
      </c>
      <c r="S129" s="259" t="str">
        <f>IF(Main!BD130&gt;0,Main!BD130,"")</f>
        <v>34-3093737-1</v>
      </c>
      <c r="T129" s="259" t="str">
        <f>IF(Main!AX130&gt;0,Main!AX130,"")</f>
        <v>419-266-238</v>
      </c>
      <c r="U129" s="259" t="str">
        <f>IF(Main!BH130&gt;0,Main!BH130,"")</f>
        <v>01-051846809-5</v>
      </c>
      <c r="V129" s="268" t="str">
        <f>IF(Main!BF130&gt;0,Main!BF130,"")</f>
        <v>1210-2336-8625</v>
      </c>
      <c r="W129" s="263">
        <f>IF(Main!BS130&gt;0,Main!BS130,"")</f>
        <v>42083</v>
      </c>
      <c r="X129" s="263">
        <f>IF(Main!BT130&gt;0,Main!BT130,"")</f>
        <v>42083</v>
      </c>
      <c r="Y129" s="263">
        <f>IF(Main!BU130&gt;0,Main!BU130,"")</f>
        <v>42083</v>
      </c>
      <c r="Z129" s="263">
        <f>IF(Main!AS130&gt;0,Main!AS130,"")</f>
        <v>42090</v>
      </c>
      <c r="AA129" s="263">
        <f>IF(Main!BJ130&gt;0,Main!BJ130,"")</f>
        <v>42090</v>
      </c>
      <c r="AB129" s="263">
        <f>IF(Main!BC130&gt;0,Main!BC130,"")</f>
        <v>42081</v>
      </c>
      <c r="AC129" s="263">
        <f>IF(Main!AW130&gt;0,Main!AW130,"")</f>
        <v>42081</v>
      </c>
      <c r="AD129" s="263">
        <f>IF(Main!BG130&gt;0,Main!BG130,"")</f>
        <v>42081</v>
      </c>
      <c r="AE129" s="263">
        <f>IF(Main!BE130&gt;0,Main!BE130,"")</f>
        <v>42090</v>
      </c>
      <c r="AF129" s="263">
        <f>IF(Main!BM130&gt;0,Main!BM130,"")</f>
        <v>42081</v>
      </c>
      <c r="AG129" s="263" t="str">
        <f>IF(Main!BN130&gt;0,Main!BN130,"")</f>
        <v/>
      </c>
      <c r="AH129" s="263" t="str">
        <f>IF(Main!BO130&gt;0,Main!BO130,"")</f>
        <v/>
      </c>
      <c r="AI129" s="263" t="str">
        <f>IF(Main!BR130&gt;0,Main!BR130,"")</f>
        <v/>
      </c>
      <c r="AJ129" s="263" t="str">
        <f>IF(Main!BQ130&gt;0,Main!BQ130,"")</f>
        <v/>
      </c>
      <c r="AK129" s="263">
        <f>IF(Main!AV130&gt;0,Main!AV130,"")</f>
        <v>42082</v>
      </c>
      <c r="AL129" s="263">
        <f>IF(Main!AU130&gt;0,Main!AU130,"")</f>
        <v>42090</v>
      </c>
      <c r="AM129" s="263">
        <f>IF(Main!AT130&gt;0,Main!AT130,"")</f>
        <v>42090</v>
      </c>
      <c r="AN129" s="259" t="str">
        <f>Main!BW130</f>
        <v xml:space="preserve">1905 3/18/2015, 2305 3/18/2015, </v>
      </c>
    </row>
    <row r="130" spans="1:40" x14ac:dyDescent="0.25">
      <c r="A130" s="258">
        <f>Main!C131</f>
        <v>1082347</v>
      </c>
      <c r="B130" s="259" t="str">
        <f>Main!D131</f>
        <v>Inocentes, Leah Alejandro</v>
      </c>
      <c r="C130" s="259" t="str">
        <f>Main!AH131</f>
        <v>Probationary</v>
      </c>
      <c r="D130" s="260">
        <f>Main!B131</f>
        <v>42079</v>
      </c>
      <c r="E130" s="260" t="str">
        <f>IF(Main!AI131&lt;1,"",Main!AI131)</f>
        <v>Jobstreet</v>
      </c>
      <c r="F130" s="260" t="str">
        <f>IF(Main!AJ131&lt;1,"",Main!AJ131)</f>
        <v/>
      </c>
      <c r="G130" s="260" t="str">
        <f>IF(Main!AK131&lt;1,"",Main!AK131)</f>
        <v/>
      </c>
      <c r="H130" s="259" t="str">
        <f>Main!Y131</f>
        <v>Recruiter- Consumer Sales</v>
      </c>
      <c r="I130" s="259" t="str">
        <f>Main!Z131</f>
        <v>Level 0</v>
      </c>
      <c r="J130" s="259">
        <f>IF(Main!A131&lt;1,"",Main!A131)</f>
        <v>188</v>
      </c>
      <c r="K130" s="260">
        <f>IF(Main!AN131&gt;0,Main!AN131,"")</f>
        <v>32526</v>
      </c>
      <c r="L130" s="258" t="str">
        <f>IF(Main!Q131&gt;0,Main!Q131,"")</f>
        <v>leahinocentes@yahoo.com</v>
      </c>
      <c r="M130" s="410">
        <f>VALUE(IF(Main!S131&gt;0,Main!S131,""))</f>
        <v>9997166737</v>
      </c>
      <c r="N130" s="261" t="str">
        <f>Main!T131</f>
        <v/>
      </c>
      <c r="O130" s="258" t="str">
        <f>IF(Main!AO131&gt;0,Main!AO131,"")</f>
        <v/>
      </c>
      <c r="P130" s="258" t="str">
        <f>IF(Main!AP131&gt;0,Main!AP131,"")</f>
        <v/>
      </c>
      <c r="Q130" s="258" t="str">
        <f>IF(Main!AR131&gt;0,Main!AR131,"")</f>
        <v/>
      </c>
      <c r="R130" s="259" t="str">
        <f>IF(Main!AQ131&gt;0,Main!AQ131,"")</f>
        <v/>
      </c>
      <c r="S130" s="259" t="str">
        <f>IF(Main!BD131&gt;0,Main!BD131,"")</f>
        <v>34-2258449-9</v>
      </c>
      <c r="T130" s="259" t="str">
        <f>IF(Main!AX131&gt;0,Main!AX131,"")</f>
        <v/>
      </c>
      <c r="U130" s="259" t="str">
        <f>IF(Main!BH131&gt;0,Main!BH131,"")</f>
        <v>02-025767757-6</v>
      </c>
      <c r="V130" s="268" t="str">
        <f>IF(Main!BF131&gt;0,Main!BF131,"")</f>
        <v/>
      </c>
      <c r="W130" s="263">
        <f>IF(Main!BS131&gt;0,Main!BS131,"")</f>
        <v>42083</v>
      </c>
      <c r="X130" s="263">
        <f>IF(Main!BT131&gt;0,Main!BT131,"")</f>
        <v>42083</v>
      </c>
      <c r="Y130" s="263">
        <f>IF(Main!BU131&gt;0,Main!BU131,"")</f>
        <v>42083</v>
      </c>
      <c r="Z130" s="263" t="str">
        <f>IF(Main!AS131&gt;0,Main!AS131,"")</f>
        <v/>
      </c>
      <c r="AA130" s="263">
        <f>IF(Main!BJ131&gt;0,Main!BJ131,"")</f>
        <v>42082</v>
      </c>
      <c r="AB130" s="263">
        <f>IF(Main!BC131&gt;0,Main!BC131,"")</f>
        <v>42082</v>
      </c>
      <c r="AC130" s="263" t="str">
        <f>IF(Main!AW131&gt;0,Main!AW131,"")</f>
        <v/>
      </c>
      <c r="AD130" s="263">
        <f>IF(Main!BG131&gt;0,Main!BG131,"")</f>
        <v>42082</v>
      </c>
      <c r="AE130" s="263" t="str">
        <f>IF(Main!BE131&gt;0,Main!BE131,"")</f>
        <v/>
      </c>
      <c r="AF130" s="263">
        <f>IF(Main!BM131&gt;0,Main!BM131,"")</f>
        <v>42082</v>
      </c>
      <c r="AG130" s="263" t="str">
        <f>IF(Main!BN131&gt;0,Main!BN131,"")</f>
        <v/>
      </c>
      <c r="AH130" s="263">
        <f>IF(Main!BO131&gt;0,Main!BO131,"")</f>
        <v>42082</v>
      </c>
      <c r="AI130" s="263">
        <f>IF(Main!BR131&gt;0,Main!BR131,"")</f>
        <v>42082</v>
      </c>
      <c r="AJ130" s="263">
        <f>IF(Main!BQ131&gt;0,Main!BQ131,"")</f>
        <v>42082</v>
      </c>
      <c r="AK130" s="263" t="str">
        <f>IF(Main!AV131&gt;0,Main!AV131,"")</f>
        <v/>
      </c>
      <c r="AL130" s="263" t="str">
        <f>IF(Main!AU131&gt;0,Main!AU131,"")</f>
        <v/>
      </c>
      <c r="AM130" s="263" t="str">
        <f>IF(Main!AT131&gt;0,Main!AT131,"")</f>
        <v/>
      </c>
      <c r="AN130" s="259" t="str">
        <f>Main!BW131</f>
        <v/>
      </c>
    </row>
    <row r="131" spans="1:40" x14ac:dyDescent="0.25">
      <c r="A131" s="258">
        <f>Main!C132</f>
        <v>1082348</v>
      </c>
      <c r="B131" s="259" t="str">
        <f>Main!D132</f>
        <v>Nicolas, Faye Diane Ednalino</v>
      </c>
      <c r="C131" s="259" t="str">
        <f>Main!AH132</f>
        <v>Probationary</v>
      </c>
      <c r="D131" s="260">
        <f>Main!B132</f>
        <v>42079</v>
      </c>
      <c r="E131" s="260" t="str">
        <f>IF(Main!AI132&lt;1,"",Main!AI132)</f>
        <v>Jobstreet</v>
      </c>
      <c r="F131" s="260" t="str">
        <f>IF(Main!AJ132&lt;1,"",Main!AJ132)</f>
        <v/>
      </c>
      <c r="G131" s="260" t="str">
        <f>IF(Main!AK132&lt;1,"",Main!AK132)</f>
        <v/>
      </c>
      <c r="H131" s="259" t="str">
        <f>Main!Y132</f>
        <v>Recruiter- Consumer Sales</v>
      </c>
      <c r="I131" s="259" t="str">
        <f>Main!Z132</f>
        <v>Level 0</v>
      </c>
      <c r="J131" s="259">
        <f>IF(Main!A132&lt;1,"",Main!A132)</f>
        <v>188</v>
      </c>
      <c r="K131" s="260">
        <f>IF(Main!AN132&gt;0,Main!AN132,"")</f>
        <v>31522</v>
      </c>
      <c r="L131" s="258" t="str">
        <f>IF(Main!Q132&gt;0,Main!Q132,"")</f>
        <v>fayedianenicolas@yahoo.com</v>
      </c>
      <c r="M131" s="410">
        <f>VALUE(IF(Main!S132&gt;0,Main!S132,""))</f>
        <v>9997607090</v>
      </c>
      <c r="N131" s="261" t="str">
        <f>Main!T132</f>
        <v/>
      </c>
      <c r="O131" s="258" t="str">
        <f>IF(Main!AO132&gt;0,Main!AO132,"")</f>
        <v>2477 Crisolita St. San Andres Bukid Manila</v>
      </c>
      <c r="P131" s="258" t="str">
        <f>IF(Main!AP132&gt;0,Main!AP132,"")</f>
        <v/>
      </c>
      <c r="Q131" s="258" t="str">
        <f>IF(Main!AR132&gt;0,Main!AR132,"")</f>
        <v>Single</v>
      </c>
      <c r="R131" s="259" t="str">
        <f>IF(Main!AQ132&gt;0,Main!AQ132,"")</f>
        <v>Female</v>
      </c>
      <c r="S131" s="259" t="str">
        <f>IF(Main!BD132&gt;0,Main!BD132,"")</f>
        <v>02-2019149-8</v>
      </c>
      <c r="T131" s="259" t="str">
        <f>IF(Main!AX132&gt;0,Main!AX132,"")</f>
        <v>264-681-346</v>
      </c>
      <c r="U131" s="259" t="str">
        <f>IF(Main!BH132&gt;0,Main!BH132,"")</f>
        <v>01-050692441-9</v>
      </c>
      <c r="V131" s="268" t="str">
        <f>IF(Main!BF132&gt;0,Main!BF132,"")</f>
        <v>1210-7599-4639</v>
      </c>
      <c r="W131" s="263">
        <f>IF(Main!BS132&gt;0,Main!BS132,"")</f>
        <v>42083</v>
      </c>
      <c r="X131" s="263">
        <f>IF(Main!BT132&gt;0,Main!BT132,"")</f>
        <v>42083</v>
      </c>
      <c r="Y131" s="263">
        <f>IF(Main!BU132&gt;0,Main!BU132,"")</f>
        <v>42083</v>
      </c>
      <c r="Z131" s="263">
        <f>IF(Main!AS132&gt;0,Main!AS132,"")</f>
        <v>42080</v>
      </c>
      <c r="AA131" s="263">
        <f>IF(Main!BJ132&gt;0,Main!BJ132,"")</f>
        <v>42080</v>
      </c>
      <c r="AB131" s="263">
        <f>IF(Main!BC132&gt;0,Main!BC132,"")</f>
        <v>42080</v>
      </c>
      <c r="AC131" s="263">
        <f>IF(Main!AW132&gt;0,Main!AW132,"")</f>
        <v>42080</v>
      </c>
      <c r="AD131" s="263">
        <f>IF(Main!BG132&gt;0,Main!BG132,"")</f>
        <v>42080</v>
      </c>
      <c r="AE131" s="263">
        <f>IF(Main!BE132&gt;0,Main!BE132,"")</f>
        <v>42104</v>
      </c>
      <c r="AF131" s="263">
        <f>IF(Main!BM132&gt;0,Main!BM132,"")</f>
        <v>42080</v>
      </c>
      <c r="AG131" s="263" t="str">
        <f>IF(Main!BN132&gt;0,Main!BN132,"")</f>
        <v/>
      </c>
      <c r="AH131" s="263" t="str">
        <f>IF(Main!BO132&gt;0,Main!BO132,"")</f>
        <v/>
      </c>
      <c r="AI131" s="263">
        <f>IF(Main!BR132&gt;0,Main!BR132,"")</f>
        <v>42080</v>
      </c>
      <c r="AJ131" s="263">
        <f>IF(Main!BQ132&gt;0,Main!BQ132,"")</f>
        <v>42080</v>
      </c>
      <c r="AK131" s="263">
        <f>IF(Main!AV132&gt;0,Main!AV132,"")</f>
        <v>42082</v>
      </c>
      <c r="AL131" s="263">
        <f>IF(Main!AU132&gt;0,Main!AU132,"")</f>
        <v>42077</v>
      </c>
      <c r="AM131" s="263">
        <f>IF(Main!AT132&gt;0,Main!AT132,"")</f>
        <v>42080</v>
      </c>
      <c r="AN131" s="259" t="str">
        <f>Main!BW132</f>
        <v xml:space="preserve">1905 3/17/2015, 2305 3/17/2015, </v>
      </c>
    </row>
    <row r="132" spans="1:40" x14ac:dyDescent="0.25">
      <c r="A132" s="258">
        <f>Main!C133</f>
        <v>1082349</v>
      </c>
      <c r="B132" s="259" t="str">
        <f>Main!D133</f>
        <v>Zafe, Marie Francesca Sigua</v>
      </c>
      <c r="C132" s="259" t="str">
        <f>Main!AH133</f>
        <v>Probationary</v>
      </c>
      <c r="D132" s="260">
        <f>Main!B133</f>
        <v>42079</v>
      </c>
      <c r="E132" s="260" t="str">
        <f>IF(Main!AI133&lt;1,"",Main!AI133)</f>
        <v>Jobstreet</v>
      </c>
      <c r="F132" s="260" t="str">
        <f>IF(Main!AJ133&lt;1,"",Main!AJ133)</f>
        <v/>
      </c>
      <c r="G132" s="260" t="str">
        <f>IF(Main!AK133&lt;1,"",Main!AK133)</f>
        <v/>
      </c>
      <c r="H132" s="259" t="str">
        <f>Main!Y133</f>
        <v>Recruiter- Consumer Sales</v>
      </c>
      <c r="I132" s="259" t="str">
        <f>Main!Z133</f>
        <v>Level 0</v>
      </c>
      <c r="J132" s="259">
        <f>IF(Main!A133&lt;1,"",Main!A133)</f>
        <v>188</v>
      </c>
      <c r="K132" s="260">
        <f>IF(Main!AN133&gt;0,Main!AN133,"")</f>
        <v>32426</v>
      </c>
      <c r="L132" s="258" t="str">
        <f>IF(Main!Q133&gt;0,Main!Q133,"")</f>
        <v>mariefrancescazafe@yahoo.com</v>
      </c>
      <c r="M132" s="410">
        <f>VALUE(IF(Main!S133&gt;0,Main!S133,""))</f>
        <v>9179513863</v>
      </c>
      <c r="N132" s="261" t="str">
        <f>Main!T133</f>
        <v/>
      </c>
      <c r="O132" s="258" t="str">
        <f>IF(Main!AO133&gt;0,Main!AO133,"")</f>
        <v>263-F Teresa St. Sta Mesa Manila</v>
      </c>
      <c r="P132" s="258" t="str">
        <f>IF(Main!AP133&gt;0,Main!AP133,"")</f>
        <v>263-F Teresa St. Sta Mesa Manila</v>
      </c>
      <c r="Q132" s="258" t="str">
        <f>IF(Main!AR133&gt;0,Main!AR133,"")</f>
        <v>Single</v>
      </c>
      <c r="R132" s="259" t="str">
        <f>IF(Main!AQ133&gt;0,Main!AQ133,"")</f>
        <v>Female</v>
      </c>
      <c r="S132" s="259" t="str">
        <f>IF(Main!BD133&gt;0,Main!BD133,"")</f>
        <v>34-1521406-4</v>
      </c>
      <c r="T132" s="259" t="str">
        <f>IF(Main!AX133&gt;0,Main!AX133,"")</f>
        <v>278-910-742</v>
      </c>
      <c r="U132" s="259" t="str">
        <f>IF(Main!BH133&gt;0,Main!BH133,"")</f>
        <v>01-051250249-6</v>
      </c>
      <c r="V132" s="268" t="str">
        <f>IF(Main!BF133&gt;0,Main!BF133,"")</f>
        <v>1211-4079-1713</v>
      </c>
      <c r="W132" s="263">
        <f>IF(Main!BS133&gt;0,Main!BS133,"")</f>
        <v>42083</v>
      </c>
      <c r="X132" s="263">
        <f>IF(Main!BT133&gt;0,Main!BT133,"")</f>
        <v>42083</v>
      </c>
      <c r="Y132" s="263">
        <f>IF(Main!BU133&gt;0,Main!BU133,"")</f>
        <v>42083</v>
      </c>
      <c r="Z132" s="263">
        <f>IF(Main!AS133&gt;0,Main!AS133,"")</f>
        <v>42080</v>
      </c>
      <c r="AA132" s="263">
        <f>IF(Main!BJ133&gt;0,Main!BJ133,"")</f>
        <v>42080</v>
      </c>
      <c r="AB132" s="263">
        <f>IF(Main!BC133&gt;0,Main!BC133,"")</f>
        <v>42080</v>
      </c>
      <c r="AC132" s="263">
        <f>IF(Main!AW133&gt;0,Main!AW133,"")</f>
        <v>42090</v>
      </c>
      <c r="AD132" s="263">
        <f>IF(Main!BG133&gt;0,Main!BG133,"")</f>
        <v>42090</v>
      </c>
      <c r="AE132" s="263">
        <f>IF(Main!BE133&gt;0,Main!BE133,"")</f>
        <v>42090</v>
      </c>
      <c r="AF132" s="263">
        <f>IF(Main!BM133&gt;0,Main!BM133,"")</f>
        <v>42081</v>
      </c>
      <c r="AG132" s="263" t="str">
        <f>IF(Main!BN133&gt;0,Main!BN133,"")</f>
        <v/>
      </c>
      <c r="AH132" s="263">
        <f>IF(Main!BO133&gt;0,Main!BO133,"")</f>
        <v>42081</v>
      </c>
      <c r="AI132" s="263">
        <f>IF(Main!BR133&gt;0,Main!BR133,"")</f>
        <v>42080</v>
      </c>
      <c r="AJ132" s="263" t="str">
        <f>IF(Main!BQ133&gt;0,Main!BQ133,"")</f>
        <v/>
      </c>
      <c r="AK132" s="263">
        <f>IF(Main!AV133&gt;0,Main!AV133,"")</f>
        <v>42082</v>
      </c>
      <c r="AL132" s="263">
        <f>IF(Main!AU133&gt;0,Main!AU133,"")</f>
        <v>42077</v>
      </c>
      <c r="AM132" s="263">
        <f>IF(Main!AT133&gt;0,Main!AT133,"")</f>
        <v>42080</v>
      </c>
      <c r="AN132" s="259" t="str">
        <f>Main!BW133</f>
        <v xml:space="preserve">1905 3/27/2015, 2305 3/17/2015, MDR 4/10/2015, </v>
      </c>
    </row>
    <row r="133" spans="1:40" x14ac:dyDescent="0.25">
      <c r="A133" s="258">
        <f>Main!C134</f>
        <v>1082350</v>
      </c>
      <c r="B133" s="259" t="str">
        <f>Main!D134</f>
        <v>Gawat, Gerald Gutierrez</v>
      </c>
      <c r="C133" s="259" t="str">
        <f>Main!AH134</f>
        <v>Probationary</v>
      </c>
      <c r="D133" s="260">
        <f>Main!B134</f>
        <v>42079</v>
      </c>
      <c r="E133" s="260" t="str">
        <f>IF(Main!AI134&lt;1,"",Main!AI134)</f>
        <v>Jobstreet</v>
      </c>
      <c r="F133" s="260" t="str">
        <f>IF(Main!AJ134&lt;1,"",Main!AJ134)</f>
        <v/>
      </c>
      <c r="G133" s="260" t="str">
        <f>IF(Main!AK134&lt;1,"",Main!AK134)</f>
        <v/>
      </c>
      <c r="H133" s="259" t="str">
        <f>Main!Y134</f>
        <v>Senior Recruiter</v>
      </c>
      <c r="I133" s="259" t="str">
        <f>Main!Z134</f>
        <v>Level 2</v>
      </c>
      <c r="J133" s="259">
        <f>IF(Main!A134&lt;1,"",Main!A134)</f>
        <v>188</v>
      </c>
      <c r="K133" s="260">
        <f>IF(Main!AN134&gt;0,Main!AN134,"")</f>
        <v>33650</v>
      </c>
      <c r="L133" s="258" t="str">
        <f>IF(Main!Q134&gt;0,Main!Q134,"")</f>
        <v>montoya.ramon0216@yahoo.com</v>
      </c>
      <c r="M133" s="410">
        <f>VALUE(IF(Main!S134&gt;0,Main!S134,""))</f>
        <v>9166793134</v>
      </c>
      <c r="N133" s="261" t="str">
        <f>Main!T134</f>
        <v/>
      </c>
      <c r="O133" s="258" t="str">
        <f>IF(Main!AO134&gt;0,Main!AO134,"")</f>
        <v>41 B Camia St. De Castro Sbd. Brgy. Sta Lucia Pasig</v>
      </c>
      <c r="P133" s="258" t="str">
        <f>IF(Main!AP134&gt;0,Main!AP134,"")</f>
        <v>41 B Camia St. De Castro Sbd. Brgy. Sta Lucia Pasig</v>
      </c>
      <c r="Q133" s="258" t="str">
        <f>IF(Main!AR134&gt;0,Main!AR134,"")</f>
        <v>Single</v>
      </c>
      <c r="R133" s="259" t="str">
        <f>IF(Main!AQ134&gt;0,Main!AQ134,"")</f>
        <v>Male</v>
      </c>
      <c r="S133" s="259" t="str">
        <f>IF(Main!BD134&gt;0,Main!BD134,"")</f>
        <v>34-1372260-0</v>
      </c>
      <c r="T133" s="259" t="str">
        <f>IF(Main!AX134&gt;0,Main!AX134,"")</f>
        <v>267-424-869</v>
      </c>
      <c r="U133" s="259" t="str">
        <f>IF(Main!BH134&gt;0,Main!BH134,"")</f>
        <v/>
      </c>
      <c r="V133" s="268" t="str">
        <f>IF(Main!BF134&gt;0,Main!BF134,"")</f>
        <v/>
      </c>
      <c r="W133" s="263">
        <f>IF(Main!BS134&gt;0,Main!BS134,"")</f>
        <v>42082</v>
      </c>
      <c r="X133" s="263">
        <f>IF(Main!BT134&gt;0,Main!BT134,"")</f>
        <v>42082</v>
      </c>
      <c r="Y133" s="263">
        <f>IF(Main!BU134&gt;0,Main!BU134,"")</f>
        <v>42082</v>
      </c>
      <c r="Z133" s="263">
        <f>IF(Main!AS134&gt;0,Main!AS134,"")</f>
        <v>42082</v>
      </c>
      <c r="AA133" s="263">
        <f>IF(Main!BJ134&gt;0,Main!BJ134,"")</f>
        <v>42083</v>
      </c>
      <c r="AB133" s="263">
        <f>IF(Main!BC134&gt;0,Main!BC134,"")</f>
        <v>42081</v>
      </c>
      <c r="AC133" s="263">
        <f>IF(Main!AW134&gt;0,Main!AW134,"")</f>
        <v>42081</v>
      </c>
      <c r="AD133" s="263" t="str">
        <f>IF(Main!BG134&gt;0,Main!BG134,"")</f>
        <v/>
      </c>
      <c r="AE133" s="263" t="str">
        <f>IF(Main!BE134&gt;0,Main!BE134,"")</f>
        <v/>
      </c>
      <c r="AF133" s="263">
        <f>IF(Main!BM134&gt;0,Main!BM134,"")</f>
        <v>42082</v>
      </c>
      <c r="AG133" s="263" t="str">
        <f>IF(Main!BN134&gt;0,Main!BN134,"")</f>
        <v/>
      </c>
      <c r="AH133" s="263" t="str">
        <f>IF(Main!BO134&gt;0,Main!BO134,"")</f>
        <v/>
      </c>
      <c r="AI133" s="263" t="str">
        <f>IF(Main!BR134&gt;0,Main!BR134,"")</f>
        <v/>
      </c>
      <c r="AJ133" s="263">
        <f>IF(Main!BQ134&gt;0,Main!BQ134,"")</f>
        <v>42082</v>
      </c>
      <c r="AK133" s="263">
        <f>IF(Main!AV134&gt;0,Main!AV134,"")</f>
        <v>42082</v>
      </c>
      <c r="AL133" s="263">
        <f>IF(Main!AU134&gt;0,Main!AU134,"")</f>
        <v>42077</v>
      </c>
      <c r="AM133" s="263">
        <f>IF(Main!AT134&gt;0,Main!AT134,"")</f>
        <v>42082</v>
      </c>
      <c r="AN133" s="259" t="str">
        <f>Main!BW134</f>
        <v/>
      </c>
    </row>
    <row r="134" spans="1:40" x14ac:dyDescent="0.25">
      <c r="A134" s="258">
        <f>Main!C135</f>
        <v>1082351</v>
      </c>
      <c r="B134" s="259" t="str">
        <f>Main!D135</f>
        <v>Ireneo, Israel Santos</v>
      </c>
      <c r="C134" s="259" t="str">
        <f>Main!AH135</f>
        <v>Probationary</v>
      </c>
      <c r="D134" s="260">
        <f>Main!B135</f>
        <v>42079</v>
      </c>
      <c r="E134" s="260" t="str">
        <f>IF(Main!AI135&lt;1,"",Main!AI135)</f>
        <v>ERP - Joanna Mapuyan</v>
      </c>
      <c r="F134" s="260" t="str">
        <f>IF(Main!AJ135&lt;1,"",Main!AJ135)</f>
        <v>Joanna Mapuyan</v>
      </c>
      <c r="G134" s="260" t="str">
        <f>IF(Main!AK135&lt;1,"",Main!AK135)</f>
        <v/>
      </c>
      <c r="H134" s="259" t="str">
        <f>Main!Y135</f>
        <v>Senior Recruiter</v>
      </c>
      <c r="I134" s="259" t="str">
        <f>Main!Z135</f>
        <v>Level 2</v>
      </c>
      <c r="J134" s="259">
        <f>IF(Main!A135&lt;1,"",Main!A135)</f>
        <v>188</v>
      </c>
      <c r="K134" s="260">
        <f>IF(Main!AN135&gt;0,Main!AN135,"")</f>
        <v>28310</v>
      </c>
      <c r="L134" s="258" t="str">
        <f>IF(Main!Q135&gt;0,Main!Q135,"")</f>
        <v>sus.pup@gmail.com</v>
      </c>
      <c r="M134" s="410">
        <f>VALUE(IF(Main!S135&gt;0,Main!S135,""))</f>
        <v>9222407437</v>
      </c>
      <c r="N134" s="261" t="str">
        <f>Main!T135</f>
        <v/>
      </c>
      <c r="O134" s="258" t="str">
        <f>IF(Main!AO135&gt;0,Main!AO135,"")</f>
        <v>1374 Cordero, Lambakin, Marilao Bulacan</v>
      </c>
      <c r="P134" s="258" t="str">
        <f>IF(Main!AP135&gt;0,Main!AP135,"")</f>
        <v/>
      </c>
      <c r="Q134" s="258" t="str">
        <f>IF(Main!AR135&gt;0,Main!AR135,"")</f>
        <v/>
      </c>
      <c r="R134" s="259" t="str">
        <f>IF(Main!AQ135&gt;0,Main!AQ135,"")</f>
        <v/>
      </c>
      <c r="S134" s="259" t="str">
        <f>IF(Main!BD135&gt;0,Main!BD135,"")</f>
        <v>33-5335102-1</v>
      </c>
      <c r="T134" s="259" t="str">
        <f>IF(Main!AX135&gt;0,Main!AX135,"")</f>
        <v>928-028-933</v>
      </c>
      <c r="U134" s="259" t="str">
        <f>IF(Main!BH135&gt;0,Main!BH135,"")</f>
        <v>05-050112210-3</v>
      </c>
      <c r="V134" s="268" t="str">
        <f>IF(Main!BF135&gt;0,Main!BF135,"")</f>
        <v/>
      </c>
      <c r="W134" s="263">
        <f>IF(Main!BS135&gt;0,Main!BS135,"")</f>
        <v>42082</v>
      </c>
      <c r="X134" s="263">
        <f>IF(Main!BT135&gt;0,Main!BT135,"")</f>
        <v>42082</v>
      </c>
      <c r="Y134" s="263">
        <f>IF(Main!BU135&gt;0,Main!BU135,"")</f>
        <v>42082</v>
      </c>
      <c r="Z134" s="263" t="str">
        <f>IF(Main!AS135&gt;0,Main!AS135,"")</f>
        <v/>
      </c>
      <c r="AA134" s="263" t="str">
        <f>IF(Main!BJ135&gt;0,Main!BJ135,"")</f>
        <v/>
      </c>
      <c r="AB134" s="263">
        <f>IF(Main!BC135&gt;0,Main!BC135,"")</f>
        <v>42137</v>
      </c>
      <c r="AC134" s="263">
        <f>IF(Main!AW135&gt;0,Main!AW135,"")</f>
        <v>42081</v>
      </c>
      <c r="AD134" s="263">
        <f>IF(Main!BG135&gt;0,Main!BG135,"")</f>
        <v>42081</v>
      </c>
      <c r="AE134" s="263" t="str">
        <f>IF(Main!BE135&gt;0,Main!BE135,"")</f>
        <v/>
      </c>
      <c r="AF134" s="263" t="str">
        <f>IF(Main!BM135&gt;0,Main!BM135,"")</f>
        <v/>
      </c>
      <c r="AG134" s="263" t="str">
        <f>IF(Main!BN135&gt;0,Main!BN135,"")</f>
        <v/>
      </c>
      <c r="AH134" s="263" t="str">
        <f>IF(Main!BO135&gt;0,Main!BO135,"")</f>
        <v/>
      </c>
      <c r="AI134" s="263" t="str">
        <f>IF(Main!BR135&gt;0,Main!BR135,"")</f>
        <v/>
      </c>
      <c r="AJ134" s="263" t="str">
        <f>IF(Main!BQ135&gt;0,Main!BQ135,"")</f>
        <v/>
      </c>
      <c r="AK134" s="263">
        <f>IF(Main!AV135&gt;0,Main!AV135,"")</f>
        <v>42082</v>
      </c>
      <c r="AL134" s="263">
        <f>IF(Main!AU135&gt;0,Main!AU135,"")</f>
        <v>42077</v>
      </c>
      <c r="AM134" s="263" t="str">
        <f>IF(Main!AT135&gt;0,Main!AT135,"")</f>
        <v/>
      </c>
      <c r="AN134" s="259" t="str">
        <f>Main!BW135</f>
        <v>2316 (2014) 3/18/2015,</v>
      </c>
    </row>
    <row r="135" spans="1:40" x14ac:dyDescent="0.25">
      <c r="A135" s="258">
        <f>Main!C136</f>
        <v>1082352</v>
      </c>
      <c r="B135" s="259" t="str">
        <f>Main!D136</f>
        <v>Niyo, Jay Mar Garcia</v>
      </c>
      <c r="C135" s="259" t="str">
        <f>Main!AH136</f>
        <v>Probationary</v>
      </c>
      <c r="D135" s="260">
        <f>Main!B136</f>
        <v>42079</v>
      </c>
      <c r="E135" s="260" t="str">
        <f>IF(Main!AI136&lt;1,"",Main!AI136)</f>
        <v>ERP - John Jayrick Cis</v>
      </c>
      <c r="F135" s="260" t="str">
        <f>IF(Main!AJ136&lt;1,"",Main!AJ136)</f>
        <v>John Jayrick Cis</v>
      </c>
      <c r="G135" s="260" t="str">
        <f>IF(Main!AK136&lt;1,"",Main!AK136)</f>
        <v/>
      </c>
      <c r="H135" s="259" t="str">
        <f>Main!Y136</f>
        <v>Senior Recruiter</v>
      </c>
      <c r="I135" s="259" t="str">
        <f>Main!Z136</f>
        <v>Level 2</v>
      </c>
      <c r="J135" s="259">
        <f>IF(Main!A136&lt;1,"",Main!A136)</f>
        <v>188</v>
      </c>
      <c r="K135" s="260">
        <f>IF(Main!AN136&gt;0,Main!AN136,"")</f>
        <v>30694</v>
      </c>
      <c r="L135" s="258" t="str">
        <f>IF(Main!Q136&gt;0,Main!Q136,"")</f>
        <v>jayneeyoh@gmail.com</v>
      </c>
      <c r="M135" s="410">
        <f>VALUE(IF(Main!S136&gt;0,Main!S136,""))</f>
        <v>9255837023</v>
      </c>
      <c r="N135" s="261" t="str">
        <f>Main!T136</f>
        <v/>
      </c>
      <c r="O135" s="258" t="str">
        <f>IF(Main!AO136&gt;0,Main!AO136,"")</f>
        <v>Blk 1 Lot 6 Rizza Homes, ACM Alapan 1-A, Imus, Cavite</v>
      </c>
      <c r="P135" s="258" t="str">
        <f>IF(Main!AP136&gt;0,Main!AP136,"")</f>
        <v/>
      </c>
      <c r="Q135" s="258" t="str">
        <f>IF(Main!AR136&gt;0,Main!AR136,"")</f>
        <v/>
      </c>
      <c r="R135" s="259" t="str">
        <f>IF(Main!AQ136&gt;0,Main!AQ136,"")</f>
        <v/>
      </c>
      <c r="S135" s="259" t="str">
        <f>IF(Main!BD136&gt;0,Main!BD136,"")</f>
        <v>07-3247675-3</v>
      </c>
      <c r="T135" s="259" t="str">
        <f>IF(Main!AX136&gt;0,Main!AX136,"")</f>
        <v>259-610-719</v>
      </c>
      <c r="U135" s="259" t="str">
        <f>IF(Main!BH136&gt;0,Main!BH136,"")</f>
        <v/>
      </c>
      <c r="V135" s="268" t="str">
        <f>IF(Main!BF136&gt;0,Main!BF136,"")</f>
        <v>1211-4047-6510</v>
      </c>
      <c r="W135" s="263">
        <f>IF(Main!BS136&gt;0,Main!BS136,"")</f>
        <v>42082</v>
      </c>
      <c r="X135" s="263">
        <f>IF(Main!BT136&gt;0,Main!BT136,"")</f>
        <v>42082</v>
      </c>
      <c r="Y135" s="263">
        <f>IF(Main!BU136&gt;0,Main!BU136,"")</f>
        <v>42082</v>
      </c>
      <c r="Z135" s="263" t="str">
        <f>IF(Main!AS136&gt;0,Main!AS136,"")</f>
        <v/>
      </c>
      <c r="AA135" s="263" t="str">
        <f>IF(Main!BJ136&gt;0,Main!BJ136,"")</f>
        <v/>
      </c>
      <c r="AB135" s="263">
        <f>IF(Main!BC136&gt;0,Main!BC136,"")</f>
        <v>42094</v>
      </c>
      <c r="AC135" s="263">
        <f>IF(Main!AW136&gt;0,Main!AW136,"")</f>
        <v>42094</v>
      </c>
      <c r="AD135" s="263" t="str">
        <f>IF(Main!BG136&gt;0,Main!BG136,"")</f>
        <v/>
      </c>
      <c r="AE135" s="263">
        <f>IF(Main!BE136&gt;0,Main!BE136,"")</f>
        <v>42094</v>
      </c>
      <c r="AF135" s="263" t="str">
        <f>IF(Main!BM136&gt;0,Main!BM136,"")</f>
        <v/>
      </c>
      <c r="AG135" s="263" t="str">
        <f>IF(Main!BN136&gt;0,Main!BN136,"")</f>
        <v/>
      </c>
      <c r="AH135" s="263" t="str">
        <f>IF(Main!BO136&gt;0,Main!BO136,"")</f>
        <v/>
      </c>
      <c r="AI135" s="263" t="str">
        <f>IF(Main!BR136&gt;0,Main!BR136,"")</f>
        <v/>
      </c>
      <c r="AJ135" s="263">
        <f>IF(Main!BQ136&gt;0,Main!BQ136,"")</f>
        <v>42094</v>
      </c>
      <c r="AK135" s="263">
        <f>IF(Main!AV136&gt;0,Main!AV136,"")</f>
        <v>42082</v>
      </c>
      <c r="AL135" s="263" t="str">
        <f>IF(Main!AU136&gt;0,Main!AU136,"")</f>
        <v/>
      </c>
      <c r="AM135" s="263" t="str">
        <f>IF(Main!AT136&gt;0,Main!AT136,"")</f>
        <v/>
      </c>
      <c r="AN135" s="259" t="str">
        <f>Main!BW136</f>
        <v>1905 (for processing) 3/31/2015, 2305 (for processing) 3/31/2015, 2316 (2014) 3/31/2015</v>
      </c>
    </row>
    <row r="136" spans="1:40" x14ac:dyDescent="0.25">
      <c r="A136" s="258">
        <f>Main!C137</f>
        <v>1082353</v>
      </c>
      <c r="B136" s="259" t="str">
        <f>Main!D137</f>
        <v>Santos, Marvic Sirius Anne Ambrosio</v>
      </c>
      <c r="C136" s="259" t="str">
        <f>Main!AH137</f>
        <v>Probationary</v>
      </c>
      <c r="D136" s="260">
        <f>Main!B137</f>
        <v>42079</v>
      </c>
      <c r="E136" s="260" t="str">
        <f>IF(Main!AI137&lt;1,"",Main!AI137)</f>
        <v>Jobstreet</v>
      </c>
      <c r="F136" s="260" t="str">
        <f>IF(Main!AJ137&lt;1,"",Main!AJ137)</f>
        <v/>
      </c>
      <c r="G136" s="260" t="str">
        <f>IF(Main!AK137&lt;1,"",Main!AK137)</f>
        <v/>
      </c>
      <c r="H136" s="259" t="str">
        <f>Main!Y137</f>
        <v>Senior Recruiter</v>
      </c>
      <c r="I136" s="259" t="str">
        <f>Main!Z137</f>
        <v>Level 2</v>
      </c>
      <c r="J136" s="259">
        <f>IF(Main!A137&lt;1,"",Main!A137)</f>
        <v>188</v>
      </c>
      <c r="K136" s="260">
        <f>IF(Main!AN137&gt;0,Main!AN137,"")</f>
        <v>32602</v>
      </c>
      <c r="L136" s="258" t="str">
        <f>IF(Main!Q137&gt;0,Main!Q137,"")</f>
        <v>marsianne05@yahoo.com</v>
      </c>
      <c r="M136" s="410">
        <f>VALUE(IF(Main!S137&gt;0,Main!S137,""))</f>
        <v>9058294037</v>
      </c>
      <c r="N136" s="261" t="str">
        <f>Main!T137</f>
        <v/>
      </c>
      <c r="O136" s="258" t="str">
        <f>IF(Main!AO137&gt;0,Main!AO137,"")</f>
        <v>Blk 44 Lot 9 Yellow Bell, Pembo Makati</v>
      </c>
      <c r="P136" s="258" t="str">
        <f>IF(Main!AP137&gt;0,Main!AP137,"")</f>
        <v/>
      </c>
      <c r="Q136" s="258" t="str">
        <f>IF(Main!AR137&gt;0,Main!AR137,"")</f>
        <v/>
      </c>
      <c r="R136" s="259" t="str">
        <f>IF(Main!AQ137&gt;0,Main!AQ137,"")</f>
        <v/>
      </c>
      <c r="S136" s="259" t="str">
        <f>IF(Main!BD137&gt;0,Main!BD137,"")</f>
        <v/>
      </c>
      <c r="T136" s="259" t="str">
        <f>IF(Main!AX137&gt;0,Main!AX137,"")</f>
        <v/>
      </c>
      <c r="U136" s="259" t="str">
        <f>IF(Main!BH137&gt;0,Main!BH137,"")</f>
        <v/>
      </c>
      <c r="V136" s="268" t="str">
        <f>IF(Main!BF137&gt;0,Main!BF137,"")</f>
        <v/>
      </c>
      <c r="W136" s="263">
        <f>IF(Main!BS137&gt;0,Main!BS137,"")</f>
        <v>42082</v>
      </c>
      <c r="X136" s="263">
        <f>IF(Main!BT137&gt;0,Main!BT137,"")</f>
        <v>42082</v>
      </c>
      <c r="Y136" s="263">
        <f>IF(Main!BU137&gt;0,Main!BU137,"")</f>
        <v>42082</v>
      </c>
      <c r="Z136" s="263" t="str">
        <f>IF(Main!AS137&gt;0,Main!AS137,"")</f>
        <v/>
      </c>
      <c r="AA136" s="263" t="str">
        <f>IF(Main!BJ137&gt;0,Main!BJ137,"")</f>
        <v/>
      </c>
      <c r="AB136" s="263" t="str">
        <f>IF(Main!BC137&gt;0,Main!BC137,"")</f>
        <v/>
      </c>
      <c r="AC136" s="263" t="str">
        <f>IF(Main!AW137&gt;0,Main!AW137,"")</f>
        <v/>
      </c>
      <c r="AD136" s="263" t="str">
        <f>IF(Main!BG137&gt;0,Main!BG137,"")</f>
        <v/>
      </c>
      <c r="AE136" s="263" t="str">
        <f>IF(Main!BE137&gt;0,Main!BE137,"")</f>
        <v/>
      </c>
      <c r="AF136" s="263">
        <f>IF(Main!BM137&gt;0,Main!BM137,"")</f>
        <v>42094</v>
      </c>
      <c r="AG136" s="263" t="str">
        <f>IF(Main!BN137&gt;0,Main!BN137,"")</f>
        <v/>
      </c>
      <c r="AH136" s="263" t="str">
        <f>IF(Main!BO137&gt;0,Main!BO137,"")</f>
        <v/>
      </c>
      <c r="AI136" s="263" t="str">
        <f>IF(Main!BR137&gt;0,Main!BR137,"")</f>
        <v/>
      </c>
      <c r="AJ136" s="263" t="str">
        <f>IF(Main!BQ137&gt;0,Main!BQ137,"")</f>
        <v/>
      </c>
      <c r="AK136" s="263">
        <f>IF(Main!AV137&gt;0,Main!AV137,"")</f>
        <v>42082</v>
      </c>
      <c r="AL136" s="263" t="str">
        <f>IF(Main!AU137&gt;0,Main!AU137,"")</f>
        <v/>
      </c>
      <c r="AM136" s="263" t="str">
        <f>IF(Main!AT137&gt;0,Main!AT137,"")</f>
        <v/>
      </c>
      <c r="AN136" s="259" t="str">
        <f>Main!BW137</f>
        <v/>
      </c>
    </row>
    <row r="137" spans="1:40" x14ac:dyDescent="0.25">
      <c r="A137" s="258">
        <f>Main!C138</f>
        <v>1082354</v>
      </c>
      <c r="B137" s="259" t="str">
        <f>Main!D138</f>
        <v>Guanlao, Nikki Jean Ora</v>
      </c>
      <c r="C137" s="259" t="str">
        <f>Main!AH138</f>
        <v>Probationary</v>
      </c>
      <c r="D137" s="260">
        <f>Main!B138</f>
        <v>42079</v>
      </c>
      <c r="E137" s="260" t="str">
        <f>IF(Main!AI138&lt;1,"",Main!AI138)</f>
        <v>Jobstreet</v>
      </c>
      <c r="F137" s="260" t="str">
        <f>IF(Main!AJ138&lt;1,"",Main!AJ138)</f>
        <v/>
      </c>
      <c r="G137" s="260" t="str">
        <f>IF(Main!AK138&lt;1,"",Main!AK138)</f>
        <v/>
      </c>
      <c r="H137" s="259" t="str">
        <f>Main!Y138</f>
        <v>Senior Recruiter</v>
      </c>
      <c r="I137" s="259" t="str">
        <f>Main!Z138</f>
        <v>Level 2</v>
      </c>
      <c r="J137" s="259">
        <f>IF(Main!A138&lt;1,"",Main!A138)</f>
        <v>188</v>
      </c>
      <c r="K137" s="260">
        <f>IF(Main!AN138&gt;0,Main!AN138,"")</f>
        <v>34008</v>
      </c>
      <c r="L137" s="258" t="str">
        <f>IF(Main!Q138&gt;0,Main!Q138,"")</f>
        <v>sachi.sgc@gmail.com</v>
      </c>
      <c r="M137" s="410">
        <f>VALUE(IF(Main!S138&gt;0,Main!S138,""))</f>
        <v>9355685464</v>
      </c>
      <c r="N137" s="261" t="str">
        <f>Main!T138</f>
        <v/>
      </c>
      <c r="O137" s="258" t="str">
        <f>IF(Main!AO138&gt;0,Main!AO138,"")</f>
        <v>6-099 E. Rodriguez Sr. Ave, Sitio 2 Libis, Quezon City</v>
      </c>
      <c r="P137" s="258" t="str">
        <f>IF(Main!AP138&gt;0,Main!AP138,"")</f>
        <v/>
      </c>
      <c r="Q137" s="258" t="str">
        <f>IF(Main!AR138&gt;0,Main!AR138,"")</f>
        <v>Single Parent</v>
      </c>
      <c r="R137" s="259" t="str">
        <f>IF(Main!AQ138&gt;0,Main!AQ138,"")</f>
        <v>Female</v>
      </c>
      <c r="S137" s="259" t="str">
        <f>IF(Main!BD138&gt;0,Main!BD138,"")</f>
        <v>34-2854657-0</v>
      </c>
      <c r="T137" s="259" t="str">
        <f>IF(Main!AX138&gt;0,Main!AX138,"")</f>
        <v>418-164-377</v>
      </c>
      <c r="U137" s="259" t="str">
        <f>IF(Main!BH138&gt;0,Main!BH138,"")</f>
        <v>03-050881033-0</v>
      </c>
      <c r="V137" s="268" t="str">
        <f>IF(Main!BF138&gt;0,Main!BF138,"")</f>
        <v>1210-3118-9783</v>
      </c>
      <c r="W137" s="263">
        <f>IF(Main!BS138&gt;0,Main!BS138,"")</f>
        <v>42082</v>
      </c>
      <c r="X137" s="263">
        <f>IF(Main!BT138&gt;0,Main!BT138,"")</f>
        <v>42082</v>
      </c>
      <c r="Y137" s="263">
        <f>IF(Main!BU138&gt;0,Main!BU138,"")</f>
        <v>42082</v>
      </c>
      <c r="Z137" s="263">
        <f>IF(Main!AS138&gt;0,Main!AS138,"")</f>
        <v>42081</v>
      </c>
      <c r="AA137" s="263">
        <f>IF(Main!BJ138&gt;0,Main!BJ138,"")</f>
        <v>42081</v>
      </c>
      <c r="AB137" s="263">
        <f>IF(Main!BC138&gt;0,Main!BC138,"")</f>
        <v>42081</v>
      </c>
      <c r="AC137" s="263">
        <f>IF(Main!AW138&gt;0,Main!AW138,"")</f>
        <v>42094</v>
      </c>
      <c r="AD137" s="263">
        <f>IF(Main!BG138&gt;0,Main!BG138,"")</f>
        <v>42090</v>
      </c>
      <c r="AE137" s="263">
        <f>IF(Main!BE138&gt;0,Main!BE138,"")</f>
        <v>42094</v>
      </c>
      <c r="AF137" s="263">
        <f>IF(Main!BM138&gt;0,Main!BM138,"")</f>
        <v>42081</v>
      </c>
      <c r="AG137" s="263" t="str">
        <f>IF(Main!BN138&gt;0,Main!BN138,"")</f>
        <v/>
      </c>
      <c r="AH137" s="263">
        <f>IF(Main!BO138&gt;0,Main!BO138,"")</f>
        <v>42081</v>
      </c>
      <c r="AI137" s="263" t="str">
        <f>IF(Main!BR138&gt;0,Main!BR138,"")</f>
        <v/>
      </c>
      <c r="AJ137" s="263">
        <f>IF(Main!BQ138&gt;0,Main!BQ138,"")</f>
        <v>42081</v>
      </c>
      <c r="AK137" s="263">
        <f>IF(Main!AV138&gt;0,Main!AV138,"")</f>
        <v>42082</v>
      </c>
      <c r="AL137" s="263">
        <f>IF(Main!AU138&gt;0,Main!AU138,"")</f>
        <v>42077</v>
      </c>
      <c r="AM137" s="263">
        <f>IF(Main!AT138&gt;0,Main!AT138,"")</f>
        <v>42081</v>
      </c>
      <c r="AN137" s="259" t="str">
        <f>Main!BW138</f>
        <v xml:space="preserve">1905 (for processing) 3/31/2015, 2305 (for processing) 3/18/2015, MDR 3/27/2015, </v>
      </c>
    </row>
    <row r="138" spans="1:40" x14ac:dyDescent="0.25">
      <c r="A138" s="258">
        <f>Main!C139</f>
        <v>1082355</v>
      </c>
      <c r="B138" s="259" t="str">
        <f>Main!D139</f>
        <v>Escobar, Joel Postolero</v>
      </c>
      <c r="C138" s="259" t="str">
        <f>Main!AH139</f>
        <v>Probationary</v>
      </c>
      <c r="D138" s="260">
        <f>Main!B139</f>
        <v>42079</v>
      </c>
      <c r="E138" s="260" t="str">
        <f>IF(Main!AI139&lt;1,"",Main!AI139)</f>
        <v>ERP - Anna Mae Paraoan</v>
      </c>
      <c r="F138" s="260" t="str">
        <f>IF(Main!AJ139&lt;1,"",Main!AJ139)</f>
        <v>Anna Mae Paraoan</v>
      </c>
      <c r="G138" s="260" t="str">
        <f>IF(Main!AK139&lt;1,"",Main!AK139)</f>
        <v/>
      </c>
      <c r="H138" s="259" t="str">
        <f>Main!Y139</f>
        <v>Senior Recruiter</v>
      </c>
      <c r="I138" s="259" t="str">
        <f>Main!Z139</f>
        <v>Level 2</v>
      </c>
      <c r="J138" s="259">
        <f>IF(Main!A139&lt;1,"",Main!A139)</f>
        <v>188</v>
      </c>
      <c r="K138" s="260">
        <f>IF(Main!AN139&gt;0,Main!AN139,"")</f>
        <v>32097</v>
      </c>
      <c r="L138" s="258" t="str">
        <f>IF(Main!Q139&gt;0,Main!Q139,"")</f>
        <v>escobarjoelp@yahoo.com</v>
      </c>
      <c r="M138" s="410">
        <f>VALUE(IF(Main!S139&gt;0,Main!S139,""))</f>
        <v>9156356229</v>
      </c>
      <c r="N138" s="261" t="str">
        <f>Main!T139</f>
        <v/>
      </c>
      <c r="O138" s="258" t="str">
        <f>IF(Main!AO139&gt;0,Main!AO139,"")</f>
        <v>Blk 11 Lot 3 4th St. Tañong, Malabon</v>
      </c>
      <c r="P138" s="258" t="str">
        <f>IF(Main!AP139&gt;0,Main!AP139,"")</f>
        <v>Blk 11 Lot 3 4th St. Tañong, Malabon</v>
      </c>
      <c r="Q138" s="258" t="str">
        <f>IF(Main!AR139&gt;0,Main!AR139,"")</f>
        <v>Single</v>
      </c>
      <c r="R138" s="259" t="str">
        <f>IF(Main!AQ139&gt;0,Main!AQ139,"")</f>
        <v>Male</v>
      </c>
      <c r="S138" s="259" t="str">
        <f>IF(Main!BD139&gt;0,Main!BD139,"")</f>
        <v>34-02991565</v>
      </c>
      <c r="T138" s="259" t="str">
        <f>IF(Main!AX139&gt;0,Main!AX139,"")</f>
        <v>304-225-385</v>
      </c>
      <c r="U138" s="259" t="str">
        <f>IF(Main!BH139&gt;0,Main!BH139,"")</f>
        <v>01-050417731-4</v>
      </c>
      <c r="V138" s="268" t="str">
        <f>IF(Main!BF139&gt;0,Main!BF139,"")</f>
        <v>1211-3818-0740</v>
      </c>
      <c r="W138" s="263">
        <f>IF(Main!BS139&gt;0,Main!BS139,"")</f>
        <v>42082</v>
      </c>
      <c r="X138" s="263">
        <f>IF(Main!BT139&gt;0,Main!BT139,"")</f>
        <v>42082</v>
      </c>
      <c r="Y138" s="263">
        <f>IF(Main!BU139&gt;0,Main!BU139,"")</f>
        <v>42082</v>
      </c>
      <c r="Z138" s="263">
        <f>IF(Main!AS139&gt;0,Main!AS139,"")</f>
        <v>42081</v>
      </c>
      <c r="AA138" s="263">
        <f>IF(Main!BJ139&gt;0,Main!BJ139,"")</f>
        <v>42081</v>
      </c>
      <c r="AB138" s="263">
        <f>IF(Main!BC139&gt;0,Main!BC139,"")</f>
        <v>42081</v>
      </c>
      <c r="AC138" s="263">
        <f>IF(Main!AW139&gt;0,Main!AW139,"")</f>
        <v>42081</v>
      </c>
      <c r="AD138" s="263">
        <f>IF(Main!BG139&gt;0,Main!BG139,"")</f>
        <v>42090</v>
      </c>
      <c r="AE138" s="263">
        <f>IF(Main!BE139&gt;0,Main!BE139,"")</f>
        <v>42090</v>
      </c>
      <c r="AF138" s="263">
        <f>IF(Main!BM139&gt;0,Main!BM139,"")</f>
        <v>42101</v>
      </c>
      <c r="AG138" s="263" t="str">
        <f>IF(Main!BN139&gt;0,Main!BN139,"")</f>
        <v/>
      </c>
      <c r="AH138" s="263" t="str">
        <f>IF(Main!BO139&gt;0,Main!BO139,"")</f>
        <v/>
      </c>
      <c r="AI138" s="263" t="str">
        <f>IF(Main!BR139&gt;0,Main!BR139,"")</f>
        <v/>
      </c>
      <c r="AJ138" s="263" t="str">
        <f>IF(Main!BQ139&gt;0,Main!BQ139,"")</f>
        <v/>
      </c>
      <c r="AK138" s="263">
        <f>IF(Main!AV139&gt;0,Main!AV139,"")</f>
        <v>42082</v>
      </c>
      <c r="AL138" s="263">
        <f>IF(Main!AU139&gt;0,Main!AU139,"")</f>
        <v>42077</v>
      </c>
      <c r="AM138" s="263">
        <f>IF(Main!AT139&gt;0,Main!AT139,"")</f>
        <v>42101</v>
      </c>
      <c r="AN138" s="259" t="str">
        <f>Main!BW139</f>
        <v xml:space="preserve">1905 3/18/2015, 2305 3/18/2015, MDR 4/7/2015, </v>
      </c>
    </row>
    <row r="139" spans="1:40" x14ac:dyDescent="0.25">
      <c r="A139" s="258">
        <f>Main!C140</f>
        <v>1082356</v>
      </c>
      <c r="B139" s="259" t="str">
        <f>Main!D140</f>
        <v>Lim, Gospel Dula</v>
      </c>
      <c r="C139" s="259" t="str">
        <f>Main!AH140</f>
        <v>Probationary</v>
      </c>
      <c r="D139" s="260">
        <f>Main!B140</f>
        <v>42079</v>
      </c>
      <c r="E139" s="260" t="str">
        <f>IF(Main!AI140&lt;1,"",Main!AI140)</f>
        <v>Jobstreet</v>
      </c>
      <c r="F139" s="260" t="str">
        <f>IF(Main!AJ140&lt;1,"",Main!AJ140)</f>
        <v/>
      </c>
      <c r="G139" s="260" t="str">
        <f>IF(Main!AK140&lt;1,"",Main!AK140)</f>
        <v/>
      </c>
      <c r="H139" s="259" t="str">
        <f>Main!Y140</f>
        <v>Senior Recruiter</v>
      </c>
      <c r="I139" s="259" t="str">
        <f>Main!Z140</f>
        <v>Level 2</v>
      </c>
      <c r="J139" s="259">
        <f>IF(Main!A140&lt;1,"",Main!A140)</f>
        <v>188</v>
      </c>
      <c r="K139" s="260">
        <f>IF(Main!AN140&gt;0,Main!AN140,"")</f>
        <v>33521</v>
      </c>
      <c r="L139" s="258" t="str">
        <f>IF(Main!Q140&gt;0,Main!Q140,"")</f>
        <v>zaelito1525@yahoo.com</v>
      </c>
      <c r="M139" s="410">
        <f>VALUE(IF(Main!S140&gt;0,Main!S140,""))</f>
        <v>9051822667</v>
      </c>
      <c r="N139" s="261" t="str">
        <f>Main!T140</f>
        <v/>
      </c>
      <c r="O139" s="258" t="str">
        <f>IF(Main!AO140&gt;0,Main!AO140,"")</f>
        <v>K-117 St. #28 Karangalan Village Dela Paz, Pasig</v>
      </c>
      <c r="P139" s="258" t="str">
        <f>IF(Main!AP140&gt;0,Main!AP140,"")</f>
        <v>K-117 St. #28 Karangalan Village Dela Paz, Pasig</v>
      </c>
      <c r="Q139" s="258" t="str">
        <f>IF(Main!AR140&gt;0,Main!AR140,"")</f>
        <v>Single</v>
      </c>
      <c r="R139" s="259" t="str">
        <f>IF(Main!AQ140&gt;0,Main!AQ140,"")</f>
        <v>Male</v>
      </c>
      <c r="S139" s="259" t="str">
        <f>IF(Main!BD140&gt;0,Main!BD140,"")</f>
        <v>34-2300502-9</v>
      </c>
      <c r="T139" s="259" t="str">
        <f>IF(Main!AX140&gt;0,Main!AX140,"")</f>
        <v>417-772-197</v>
      </c>
      <c r="U139" s="259" t="str">
        <f>IF(Main!BH140&gt;0,Main!BH140,"")</f>
        <v>01-051062032-7</v>
      </c>
      <c r="V139" s="268" t="str">
        <f>IF(Main!BF140&gt;0,Main!BF140,"")</f>
        <v>1210-8136-1803</v>
      </c>
      <c r="W139" s="263">
        <f>IF(Main!BS140&gt;0,Main!BS140,"")</f>
        <v>42082</v>
      </c>
      <c r="X139" s="263">
        <f>IF(Main!BT140&gt;0,Main!BT140,"")</f>
        <v>42082</v>
      </c>
      <c r="Y139" s="263">
        <f>IF(Main!BU140&gt;0,Main!BU140,"")</f>
        <v>42082</v>
      </c>
      <c r="Z139" s="263">
        <f>IF(Main!AS140&gt;0,Main!AS140,"")</f>
        <v>42107</v>
      </c>
      <c r="AA139" s="263" t="str">
        <f>IF(Main!BJ140&gt;0,Main!BJ140,"")</f>
        <v/>
      </c>
      <c r="AB139" s="263">
        <f>IF(Main!BC140&gt;0,Main!BC140,"")</f>
        <v>42090</v>
      </c>
      <c r="AC139" s="263">
        <f>IF(Main!AW140&gt;0,Main!AW140,"")</f>
        <v>42090</v>
      </c>
      <c r="AD139" s="263">
        <f>IF(Main!BG140&gt;0,Main!BG140,"")</f>
        <v>42090</v>
      </c>
      <c r="AE139" s="263">
        <f>IF(Main!BE140&gt;0,Main!BE140,"")</f>
        <v>42090</v>
      </c>
      <c r="AF139" s="263">
        <f>IF(Main!BM140&gt;0,Main!BM140,"")</f>
        <v>42090</v>
      </c>
      <c r="AG139" s="263" t="str">
        <f>IF(Main!BN140&gt;0,Main!BN140,"")</f>
        <v/>
      </c>
      <c r="AH139" s="263">
        <f>IF(Main!BO140&gt;0,Main!BO140,"")</f>
        <v>42090</v>
      </c>
      <c r="AI139" s="263" t="str">
        <f>IF(Main!BR140&gt;0,Main!BR140,"")</f>
        <v/>
      </c>
      <c r="AJ139" s="263" t="str">
        <f>IF(Main!BQ140&gt;0,Main!BQ140,"")</f>
        <v/>
      </c>
      <c r="AK139" s="263">
        <f>IF(Main!AV140&gt;0,Main!AV140,"")</f>
        <v>42082</v>
      </c>
      <c r="AL139" s="263">
        <f>IF(Main!AU140&gt;0,Main!AU140,"")</f>
        <v>42107</v>
      </c>
      <c r="AM139" s="263">
        <f>IF(Main!AT140&gt;0,Main!AT140,"")</f>
        <v>42107</v>
      </c>
      <c r="AN139" s="259" t="str">
        <f>Main!BW140</f>
        <v xml:space="preserve">1905 3/27/2015, 2305 3/27/2015, MDR 3/27/2015, NBI receipt 3/27/2015, </v>
      </c>
    </row>
    <row r="140" spans="1:40" x14ac:dyDescent="0.25">
      <c r="A140" s="258">
        <f>Main!C141</f>
        <v>1082357</v>
      </c>
      <c r="B140" s="259" t="str">
        <f>Main!D141</f>
        <v>Tolentino, Phoenix Villanueva</v>
      </c>
      <c r="C140" s="259" t="str">
        <f>Main!AH141</f>
        <v>Probationary</v>
      </c>
      <c r="D140" s="260">
        <f>Main!B141</f>
        <v>42079</v>
      </c>
      <c r="E140" s="260" t="str">
        <f>IF(Main!AI141&lt;1,"",Main!AI141)</f>
        <v>Jobstreet</v>
      </c>
      <c r="F140" s="260" t="str">
        <f>IF(Main!AJ141&lt;1,"",Main!AJ141)</f>
        <v/>
      </c>
      <c r="G140" s="260" t="str">
        <f>IF(Main!AK141&lt;1,"",Main!AK141)</f>
        <v/>
      </c>
      <c r="H140" s="259" t="str">
        <f>Main!Y141</f>
        <v>Senior Recruiter</v>
      </c>
      <c r="I140" s="259" t="str">
        <f>Main!Z141</f>
        <v>Level 2</v>
      </c>
      <c r="J140" s="259">
        <f>IF(Main!A141&lt;1,"",Main!A141)</f>
        <v>188</v>
      </c>
      <c r="K140" s="260">
        <f>IF(Main!AN141&gt;0,Main!AN141,"")</f>
        <v>32265</v>
      </c>
      <c r="L140" s="258" t="str">
        <f>IF(Main!Q141&gt;0,Main!Q141,"")</f>
        <v>phoenix_tolentino@yahoo.com</v>
      </c>
      <c r="M140" s="410">
        <f>VALUE(IF(Main!S141&gt;0,Main!S141,""))</f>
        <v>9155624042</v>
      </c>
      <c r="N140" s="261" t="str">
        <f>Main!T141</f>
        <v/>
      </c>
      <c r="O140" s="258" t="str">
        <f>IF(Main!AO141&gt;0,Main!AO141,"")</f>
        <v>329 Brgy Sta Rosa, Alaminos, Laguna</v>
      </c>
      <c r="P140" s="258" t="str">
        <f>IF(Main!AP141&gt;0,Main!AP141,"")</f>
        <v>329 Brgy Sta Rosa, Alaminos, Laguna</v>
      </c>
      <c r="Q140" s="258" t="str">
        <f>IF(Main!AR141&gt;0,Main!AR141,"")</f>
        <v>Single</v>
      </c>
      <c r="R140" s="259" t="str">
        <f>IF(Main!AQ141&gt;0,Main!AQ141,"")</f>
        <v>Female</v>
      </c>
      <c r="S140" s="259" t="str">
        <f>IF(Main!BD141&gt;0,Main!BD141,"")</f>
        <v>04-2189098-3</v>
      </c>
      <c r="T140" s="259" t="str">
        <f>IF(Main!AX141&gt;0,Main!AX141,"")</f>
        <v>259-605-471</v>
      </c>
      <c r="U140" s="259" t="str">
        <f>IF(Main!BH141&gt;0,Main!BH141,"")</f>
        <v>01-050892563-3</v>
      </c>
      <c r="V140" s="268" t="str">
        <f>IF(Main!BF141&gt;0,Main!BF141,"")</f>
        <v>1210-3692-4161</v>
      </c>
      <c r="W140" s="263">
        <f>IF(Main!BS141&gt;0,Main!BS141,"")</f>
        <v>42082</v>
      </c>
      <c r="X140" s="263">
        <f>IF(Main!BT141&gt;0,Main!BT141,"")</f>
        <v>42082</v>
      </c>
      <c r="Y140" s="263">
        <f>IF(Main!BU141&gt;0,Main!BU141,"")</f>
        <v>42082</v>
      </c>
      <c r="Z140" s="263">
        <f>IF(Main!AS141&gt;0,Main!AS141,"")</f>
        <v>42081</v>
      </c>
      <c r="AA140" s="263">
        <f>IF(Main!BJ141&gt;0,Main!BJ141,"")</f>
        <v>42081</v>
      </c>
      <c r="AB140" s="263">
        <f>IF(Main!BC141&gt;0,Main!BC141,"")</f>
        <v>42090</v>
      </c>
      <c r="AC140" s="263">
        <f>IF(Main!AW141&gt;0,Main!AW141,"")</f>
        <v>42081</v>
      </c>
      <c r="AD140" s="263">
        <f>IF(Main!BG141&gt;0,Main!BG141,"")</f>
        <v>42090</v>
      </c>
      <c r="AE140" s="263">
        <f>IF(Main!BE141&gt;0,Main!BE141,"")</f>
        <v>42090</v>
      </c>
      <c r="AF140" s="263">
        <f>IF(Main!BM141&gt;0,Main!BM141,"")</f>
        <v>42081</v>
      </c>
      <c r="AG140" s="263" t="str">
        <f>IF(Main!BN141&gt;0,Main!BN141,"")</f>
        <v/>
      </c>
      <c r="AH140" s="263" t="str">
        <f>IF(Main!BO141&gt;0,Main!BO141,"")</f>
        <v/>
      </c>
      <c r="AI140" s="263">
        <f>IF(Main!BR141&gt;0,Main!BR141,"")</f>
        <v>42081</v>
      </c>
      <c r="AJ140" s="263">
        <f>IF(Main!BQ141&gt;0,Main!BQ141,"")</f>
        <v>42081</v>
      </c>
      <c r="AK140" s="263">
        <f>IF(Main!AV141&gt;0,Main!AV141,"")</f>
        <v>42082</v>
      </c>
      <c r="AL140" s="263">
        <f>IF(Main!AU141&gt;0,Main!AU141,"")</f>
        <v>42077</v>
      </c>
      <c r="AM140" s="263">
        <f>IF(Main!AT141&gt;0,Main!AT141,"")</f>
        <v>42081</v>
      </c>
      <c r="AN140" s="259" t="str">
        <f>Main!BW141</f>
        <v xml:space="preserve">1905 3/27/2015, 2305 3/18/2015, MDR 3/27/2015, </v>
      </c>
    </row>
    <row r="141" spans="1:40" x14ac:dyDescent="0.25">
      <c r="A141" s="258">
        <f>Main!C142</f>
        <v>1082358</v>
      </c>
      <c r="B141" s="259" t="str">
        <f>Main!D142</f>
        <v>Sotomayor, Triza Marie Fernandez</v>
      </c>
      <c r="C141" s="259" t="str">
        <f>Main!AH142</f>
        <v>Probationary</v>
      </c>
      <c r="D141" s="260">
        <f>Main!B142</f>
        <v>42079</v>
      </c>
      <c r="E141" s="260" t="str">
        <f>IF(Main!AI142&lt;1,"",Main!AI142)</f>
        <v>Jobstreet</v>
      </c>
      <c r="F141" s="260" t="str">
        <f>IF(Main!AJ142&lt;1,"",Main!AJ142)</f>
        <v/>
      </c>
      <c r="G141" s="260" t="str">
        <f>IF(Main!AK142&lt;1,"",Main!AK142)</f>
        <v/>
      </c>
      <c r="H141" s="259" t="str">
        <f>Main!Y142</f>
        <v>Restaurant Specialist</v>
      </c>
      <c r="I141" s="259" t="str">
        <f>Main!Z142</f>
        <v>Level 2</v>
      </c>
      <c r="J141" s="259">
        <f>IF(Main!A142&lt;1,"",Main!A142)</f>
        <v>188</v>
      </c>
      <c r="K141" s="260">
        <f>IF(Main!AN142&gt;0,Main!AN142,"")</f>
        <v>31879</v>
      </c>
      <c r="L141" s="258" t="str">
        <f>IF(Main!Q142&gt;0,Main!Q142,"")</f>
        <v>triza.sotomayor@yahoo.com</v>
      </c>
      <c r="M141" s="410">
        <f>VALUE(IF(Main!S142&gt;0,Main!S142,""))</f>
        <v>9266966613</v>
      </c>
      <c r="N141" s="261" t="str">
        <f>Main!T142</f>
        <v/>
      </c>
      <c r="O141" s="258" t="str">
        <f>IF(Main!AO142&gt;0,Main!AO142,"")</f>
        <v>40 Cecilia St. Tramo Pasay</v>
      </c>
      <c r="P141" s="258" t="str">
        <f>IF(Main!AP142&gt;0,Main!AP142,"")</f>
        <v>25 Mabini St. Magdalena Laguna</v>
      </c>
      <c r="Q141" s="258" t="str">
        <f>IF(Main!AR142&gt;0,Main!AR142,"")</f>
        <v>Single</v>
      </c>
      <c r="R141" s="259" t="str">
        <f>IF(Main!AQ142&gt;0,Main!AQ142,"")</f>
        <v>Female</v>
      </c>
      <c r="S141" s="259" t="str">
        <f>IF(Main!BD142&gt;0,Main!BD142,"")</f>
        <v>04-2022292-1</v>
      </c>
      <c r="T141" s="259" t="str">
        <f>IF(Main!AX142&gt;0,Main!AX142,"")</f>
        <v>251-674-312</v>
      </c>
      <c r="U141" s="259" t="str">
        <f>IF(Main!BH142&gt;0,Main!BH142,"")</f>
        <v>03-050527249-4</v>
      </c>
      <c r="V141" s="268" t="str">
        <f>IF(Main!BF142&gt;0,Main!BF142,"")</f>
        <v>1211-3493-0693</v>
      </c>
      <c r="W141" s="263">
        <f>IF(Main!BS142&gt;0,Main!BS142,"")</f>
        <v>42082</v>
      </c>
      <c r="X141" s="263">
        <f>IF(Main!BT142&gt;0,Main!BT142,"")</f>
        <v>42082</v>
      </c>
      <c r="Y141" s="263">
        <f>IF(Main!BU142&gt;0,Main!BU142,"")</f>
        <v>42082</v>
      </c>
      <c r="Z141" s="263">
        <f>IF(Main!AS142&gt;0,Main!AS142,"")</f>
        <v>42081</v>
      </c>
      <c r="AA141" s="263">
        <f>IF(Main!BJ142&gt;0,Main!BJ142,"")</f>
        <v>42081</v>
      </c>
      <c r="AB141" s="263">
        <f>IF(Main!BC142&gt;0,Main!BC142,"")</f>
        <v>42081</v>
      </c>
      <c r="AC141" s="263">
        <f>IF(Main!AW142&gt;0,Main!AW142,"")</f>
        <v>42081</v>
      </c>
      <c r="AD141" s="263">
        <f>IF(Main!BG142&gt;0,Main!BG142,"")</f>
        <v>42081</v>
      </c>
      <c r="AE141" s="263">
        <f>IF(Main!BE142&gt;0,Main!BE142,"")</f>
        <v>42083</v>
      </c>
      <c r="AF141" s="263">
        <f>IF(Main!BM142&gt;0,Main!BM142,"")</f>
        <v>42081</v>
      </c>
      <c r="AG141" s="263" t="str">
        <f>IF(Main!BN142&gt;0,Main!BN142,"")</f>
        <v/>
      </c>
      <c r="AH141" s="263" t="str">
        <f>IF(Main!BO142&gt;0,Main!BO142,"")</f>
        <v/>
      </c>
      <c r="AI141" s="263">
        <f>IF(Main!BR142&gt;0,Main!BR142,"")</f>
        <v>42081</v>
      </c>
      <c r="AJ141" s="263">
        <f>IF(Main!BQ142&gt;0,Main!BQ142,"")</f>
        <v>42081</v>
      </c>
      <c r="AK141" s="263">
        <f>IF(Main!AV142&gt;0,Main!AV142,"")</f>
        <v>42083</v>
      </c>
      <c r="AL141" s="263">
        <f>IF(Main!AU142&gt;0,Main!AU142,"")</f>
        <v>42077</v>
      </c>
      <c r="AM141" s="263">
        <f>IF(Main!AT142&gt;0,Main!AT142,"")</f>
        <v>42081</v>
      </c>
      <c r="AN141" s="259" t="str">
        <f>Main!BW142</f>
        <v>1905 3/18/2015, 2305 3/18/2015, MDR 3/20/2015, 2316 (2015) 3/18/2015,</v>
      </c>
    </row>
    <row r="142" spans="1:40" x14ac:dyDescent="0.25">
      <c r="A142" s="258">
        <f>Main!C143</f>
        <v>1082359</v>
      </c>
      <c r="B142" s="259" t="str">
        <f>Main!D143</f>
        <v>Gigante, Alejandro Beltran</v>
      </c>
      <c r="C142" s="259" t="str">
        <f>Main!AH143</f>
        <v>Probationary</v>
      </c>
      <c r="D142" s="260">
        <f>Main!B143</f>
        <v>42079</v>
      </c>
      <c r="E142" s="260" t="str">
        <f>IF(Main!AI143&lt;1,"",Main!AI143)</f>
        <v>Jobstreet</v>
      </c>
      <c r="F142" s="260" t="str">
        <f>IF(Main!AJ143&lt;1,"",Main!AJ143)</f>
        <v/>
      </c>
      <c r="G142" s="260" t="str">
        <f>IF(Main!AK143&lt;1,"",Main!AK143)</f>
        <v/>
      </c>
      <c r="H142" s="259" t="str">
        <f>Main!Y143</f>
        <v>Senior Recruiter</v>
      </c>
      <c r="I142" s="259" t="str">
        <f>Main!Z143</f>
        <v>Level 1</v>
      </c>
      <c r="J142" s="259">
        <f>IF(Main!A143&lt;1,"",Main!A143)</f>
        <v>188</v>
      </c>
      <c r="K142" s="260">
        <f>IF(Main!AN143&gt;0,Main!AN143,"")</f>
        <v>32398</v>
      </c>
      <c r="L142" s="258" t="str">
        <f>IF(Main!Q143&gt;0,Main!Q143,"")</f>
        <v>adjiegigante@yahoo.com</v>
      </c>
      <c r="M142" s="410">
        <f>VALUE(IF(Main!S143&gt;0,Main!S143,""))</f>
        <v>9151271965</v>
      </c>
      <c r="N142" s="261" t="str">
        <f>Main!T143</f>
        <v/>
      </c>
      <c r="O142" s="258" t="str">
        <f>IF(Main!AO143&gt;0,Main!AO143,"")</f>
        <v/>
      </c>
      <c r="P142" s="258" t="str">
        <f>IF(Main!AP143&gt;0,Main!AP143,"")</f>
        <v/>
      </c>
      <c r="Q142" s="258" t="str">
        <f>IF(Main!AR143&gt;0,Main!AR143,"")</f>
        <v/>
      </c>
      <c r="R142" s="259" t="str">
        <f>IF(Main!AQ143&gt;0,Main!AQ143,"")</f>
        <v/>
      </c>
      <c r="S142" s="259" t="str">
        <f>IF(Main!BD143&gt;0,Main!BD143,"")</f>
        <v/>
      </c>
      <c r="T142" s="259" t="str">
        <f>IF(Main!AX143&gt;0,Main!AX143,"")</f>
        <v/>
      </c>
      <c r="U142" s="259" t="str">
        <f>IF(Main!BH143&gt;0,Main!BH143,"")</f>
        <v/>
      </c>
      <c r="V142" s="268" t="str">
        <f>IF(Main!BF143&gt;0,Main!BF143,"")</f>
        <v/>
      </c>
      <c r="W142" s="263">
        <f>IF(Main!BS143&gt;0,Main!BS143,"")</f>
        <v>42082</v>
      </c>
      <c r="X142" s="263">
        <f>IF(Main!BT143&gt;0,Main!BT143,"")</f>
        <v>42082</v>
      </c>
      <c r="Y142" s="263">
        <f>IF(Main!BU143&gt;0,Main!BU143,"")</f>
        <v>42082</v>
      </c>
      <c r="Z142" s="263" t="str">
        <f>IF(Main!AS143&gt;0,Main!AS143,"")</f>
        <v/>
      </c>
      <c r="AA142" s="263">
        <f>IF(Main!BJ143&gt;0,Main!BJ143,"")</f>
        <v>42081</v>
      </c>
      <c r="AB142" s="263" t="str">
        <f>IF(Main!BC143&gt;0,Main!BC143,"")</f>
        <v/>
      </c>
      <c r="AC142" s="263" t="str">
        <f>IF(Main!AW143&gt;0,Main!AW143,"")</f>
        <v/>
      </c>
      <c r="AD142" s="263" t="str">
        <f>IF(Main!BG143&gt;0,Main!BG143,"")</f>
        <v/>
      </c>
      <c r="AE142" s="263" t="str">
        <f>IF(Main!BE143&gt;0,Main!BE143,"")</f>
        <v/>
      </c>
      <c r="AF142" s="263" t="str">
        <f>IF(Main!BM143&gt;0,Main!BM143,"")</f>
        <v/>
      </c>
      <c r="AG142" s="263" t="str">
        <f>IF(Main!BN143&gt;0,Main!BN143,"")</f>
        <v/>
      </c>
      <c r="AH142" s="263" t="str">
        <f>IF(Main!BO143&gt;0,Main!BO143,"")</f>
        <v/>
      </c>
      <c r="AI142" s="263" t="str">
        <f>IF(Main!BR143&gt;0,Main!BR143,"")</f>
        <v/>
      </c>
      <c r="AJ142" s="263" t="str">
        <f>IF(Main!BQ143&gt;0,Main!BQ143,"")</f>
        <v/>
      </c>
      <c r="AK142" s="263">
        <f>IF(Main!AV143&gt;0,Main!AV143,"")</f>
        <v>42082</v>
      </c>
      <c r="AL142" s="263">
        <f>IF(Main!AU143&gt;0,Main!AU143,"")</f>
        <v>42077</v>
      </c>
      <c r="AM142" s="263" t="str">
        <f>IF(Main!AT143&gt;0,Main!AT143,"")</f>
        <v/>
      </c>
      <c r="AN142" s="259" t="str">
        <f>Main!BW143</f>
        <v/>
      </c>
    </row>
    <row r="143" spans="1:40" x14ac:dyDescent="0.25">
      <c r="A143" s="258">
        <f>Main!C144</f>
        <v>1082360</v>
      </c>
      <c r="B143" s="259" t="str">
        <f>Main!D144</f>
        <v>Alvarez, Michael John Apigo</v>
      </c>
      <c r="C143" s="259" t="str">
        <f>Main!AH144</f>
        <v>Probationary</v>
      </c>
      <c r="D143" s="260">
        <f>Main!B144</f>
        <v>42079</v>
      </c>
      <c r="E143" s="260" t="str">
        <f>IF(Main!AI144&lt;1,"",Main!AI144)</f>
        <v>K-Search</v>
      </c>
      <c r="F143" s="260" t="str">
        <f>IF(Main!AJ144&lt;1,"",Main!AJ144)</f>
        <v/>
      </c>
      <c r="G143" s="260" t="str">
        <f>IF(Main!AK144&lt;1,"",Main!AK144)</f>
        <v/>
      </c>
      <c r="H143" s="259" t="str">
        <f>Main!Y144</f>
        <v>Senior Recruiter</v>
      </c>
      <c r="I143" s="259" t="str">
        <f>Main!Z144</f>
        <v>Level 2</v>
      </c>
      <c r="J143" s="259">
        <f>IF(Main!A144&lt;1,"",Main!A144)</f>
        <v>188</v>
      </c>
      <c r="K143" s="260">
        <f>IF(Main!AN144&gt;0,Main!AN144,"")</f>
        <v>32314</v>
      </c>
      <c r="L143" s="258" t="str">
        <f>IF(Main!Q144&gt;0,Main!Q144,"")</f>
        <v>michael.john.alvarez@gmail.com</v>
      </c>
      <c r="M143" s="410">
        <f>VALUE(IF(Main!S144&gt;0,Main!S144,""))</f>
        <v>9056722297</v>
      </c>
      <c r="N143" s="261" t="str">
        <f>Main!T144</f>
        <v/>
      </c>
      <c r="O143" s="258" t="str">
        <f>IF(Main!AO144&gt;0,Main!AO144,"")</f>
        <v>125 A San Juan, Calamba Laguna</v>
      </c>
      <c r="P143" s="258" t="str">
        <f>IF(Main!AP144&gt;0,Main!AP144,"")</f>
        <v>125 A San Juan, Calamba Laguna</v>
      </c>
      <c r="Q143" s="258" t="str">
        <f>IF(Main!AR144&gt;0,Main!AR144,"")</f>
        <v/>
      </c>
      <c r="R143" s="259" t="str">
        <f>IF(Main!AQ144&gt;0,Main!AQ144,"")</f>
        <v/>
      </c>
      <c r="S143" s="259" t="str">
        <f>IF(Main!BD144&gt;0,Main!BD144,"")</f>
        <v/>
      </c>
      <c r="T143" s="259" t="str">
        <f>IF(Main!AX144&gt;0,Main!AX144,"")</f>
        <v/>
      </c>
      <c r="U143" s="259" t="str">
        <f>IF(Main!BH144&gt;0,Main!BH144,"")</f>
        <v/>
      </c>
      <c r="V143" s="268" t="str">
        <f>IF(Main!BF144&gt;0,Main!BF144,"")</f>
        <v/>
      </c>
      <c r="W143" s="263">
        <f>IF(Main!BS144&gt;0,Main!BS144,"")</f>
        <v>42082</v>
      </c>
      <c r="X143" s="263">
        <f>IF(Main!BT144&gt;0,Main!BT144,"")</f>
        <v>42082</v>
      </c>
      <c r="Y143" s="263">
        <f>IF(Main!BU144&gt;0,Main!BU144,"")</f>
        <v>42082</v>
      </c>
      <c r="Z143" s="263">
        <f>IF(Main!AS144&gt;0,Main!AS144,"")</f>
        <v>42083</v>
      </c>
      <c r="AA143" s="263" t="str">
        <f>IF(Main!BJ144&gt;0,Main!BJ144,"")</f>
        <v/>
      </c>
      <c r="AB143" s="263" t="str">
        <f>IF(Main!BC144&gt;0,Main!BC144,"")</f>
        <v/>
      </c>
      <c r="AC143" s="263" t="str">
        <f>IF(Main!AW144&gt;0,Main!AW144,"")</f>
        <v/>
      </c>
      <c r="AD143" s="263" t="str">
        <f>IF(Main!BG144&gt;0,Main!BG144,"")</f>
        <v/>
      </c>
      <c r="AE143" s="263" t="str">
        <f>IF(Main!BE144&gt;0,Main!BE144,"")</f>
        <v/>
      </c>
      <c r="AF143" s="263" t="str">
        <f>IF(Main!BM144&gt;0,Main!BM144,"")</f>
        <v/>
      </c>
      <c r="AG143" s="263" t="str">
        <f>IF(Main!BN144&gt;0,Main!BN144,"")</f>
        <v/>
      </c>
      <c r="AH143" s="263" t="str">
        <f>IF(Main!BO144&gt;0,Main!BO144,"")</f>
        <v/>
      </c>
      <c r="AI143" s="263" t="str">
        <f>IF(Main!BR144&gt;0,Main!BR144,"")</f>
        <v/>
      </c>
      <c r="AJ143" s="263" t="str">
        <f>IF(Main!BQ144&gt;0,Main!BQ144,"")</f>
        <v/>
      </c>
      <c r="AK143" s="263">
        <f>IF(Main!AV144&gt;0,Main!AV144,"")</f>
        <v>42082</v>
      </c>
      <c r="AL143" s="263" t="str">
        <f>IF(Main!AU144&gt;0,Main!AU144,"")</f>
        <v/>
      </c>
      <c r="AM143" s="263" t="str">
        <f>IF(Main!AT144&gt;0,Main!AT144,"")</f>
        <v/>
      </c>
      <c r="AN143" s="259" t="str">
        <f>Main!BW144</f>
        <v>Municipal Certificate of Birth 3/20/2015</v>
      </c>
    </row>
    <row r="144" spans="1:40" x14ac:dyDescent="0.25">
      <c r="A144" s="258">
        <f>Main!C145</f>
        <v>1082361</v>
      </c>
      <c r="B144" s="259" t="str">
        <f>Main!D145</f>
        <v>Gapas, John Mark Sultan</v>
      </c>
      <c r="C144" s="259" t="str">
        <f>Main!AH145</f>
        <v>Probationary</v>
      </c>
      <c r="D144" s="260">
        <f>Main!B145</f>
        <v>42079</v>
      </c>
      <c r="E144" s="260" t="str">
        <f>IF(Main!AI145&lt;1,"",Main!AI145)</f>
        <v>Grow</v>
      </c>
      <c r="F144" s="260" t="str">
        <f>IF(Main!AJ145&lt;1,"",Main!AJ145)</f>
        <v/>
      </c>
      <c r="G144" s="260" t="str">
        <f>IF(Main!AK145&lt;1,"",Main!AK145)</f>
        <v/>
      </c>
      <c r="H144" s="259" t="str">
        <f>Main!Y145</f>
        <v>Senior Recruiter</v>
      </c>
      <c r="I144" s="259" t="str">
        <f>Main!Z145</f>
        <v>Level 2</v>
      </c>
      <c r="J144" s="259">
        <f>IF(Main!A145&lt;1,"",Main!A145)</f>
        <v>188</v>
      </c>
      <c r="K144" s="260">
        <f>IF(Main!AN145&gt;0,Main!AN145,"")</f>
        <v>33907</v>
      </c>
      <c r="L144" s="258" t="str">
        <f>IF(Main!Q145&gt;0,Main!Q145,"")</f>
        <v>gapas.jm@gmail.com</v>
      </c>
      <c r="M144" s="410">
        <f>VALUE(IF(Main!S145&gt;0,Main!S145,""))</f>
        <v>9352854499</v>
      </c>
      <c r="N144" s="261" t="str">
        <f>Main!T145</f>
        <v/>
      </c>
      <c r="O144" s="258" t="str">
        <f>IF(Main!AO145&gt;0,Main!AO145,"")</f>
        <v>31 Cattleya St., St Michael Subd. Meycauayan Bulacan</v>
      </c>
      <c r="P144" s="258" t="str">
        <f>IF(Main!AP145&gt;0,Main!AP145,"")</f>
        <v>31 Cattleya St., St Michael Subd. Meycauayan Bulacan</v>
      </c>
      <c r="Q144" s="258" t="str">
        <f>IF(Main!AR145&gt;0,Main!AR145,"")</f>
        <v>Single</v>
      </c>
      <c r="R144" s="259" t="str">
        <f>IF(Main!AQ145&gt;0,Main!AQ145,"")</f>
        <v>Male</v>
      </c>
      <c r="S144" s="259" t="str">
        <f>IF(Main!BD145&gt;0,Main!BD145,"")</f>
        <v>34-3122365-7</v>
      </c>
      <c r="T144" s="259" t="str">
        <f>IF(Main!AX145&gt;0,Main!AX145,"")</f>
        <v>435-044-611</v>
      </c>
      <c r="U144" s="259" t="str">
        <f>IF(Main!BH145&gt;0,Main!BH145,"")</f>
        <v>01-051673553-3</v>
      </c>
      <c r="V144" s="268" t="str">
        <f>IF(Main!BF145&gt;0,Main!BF145,"")</f>
        <v>1210-9295-3285</v>
      </c>
      <c r="W144" s="263">
        <f>IF(Main!BS145&gt;0,Main!BS145,"")</f>
        <v>42082</v>
      </c>
      <c r="X144" s="263">
        <f>IF(Main!BT145&gt;0,Main!BT145,"")</f>
        <v>42082</v>
      </c>
      <c r="Y144" s="263">
        <f>IF(Main!BU145&gt;0,Main!BU145,"")</f>
        <v>42082</v>
      </c>
      <c r="Z144" s="263">
        <f>IF(Main!AS145&gt;0,Main!AS145,"")</f>
        <v>42090</v>
      </c>
      <c r="AA144" s="263">
        <f>IF(Main!BJ145&gt;0,Main!BJ145,"")</f>
        <v>42095</v>
      </c>
      <c r="AB144" s="263">
        <f>IF(Main!BC145&gt;0,Main!BC145,"")</f>
        <v>42090</v>
      </c>
      <c r="AC144" s="263">
        <f>IF(Main!AW145&gt;0,Main!AW145,"")</f>
        <v>42090</v>
      </c>
      <c r="AD144" s="263">
        <f>IF(Main!BG145&gt;0,Main!BG145,"")</f>
        <v>42090</v>
      </c>
      <c r="AE144" s="263">
        <f>IF(Main!BE145&gt;0,Main!BE145,"")</f>
        <v>42090</v>
      </c>
      <c r="AF144" s="263">
        <f>IF(Main!BM145&gt;0,Main!BM145,"")</f>
        <v>42090</v>
      </c>
      <c r="AG144" s="263" t="str">
        <f>IF(Main!BN145&gt;0,Main!BN145,"")</f>
        <v/>
      </c>
      <c r="AH144" s="263">
        <f>IF(Main!BO145&gt;0,Main!BO145,"")</f>
        <v>42090</v>
      </c>
      <c r="AI144" s="263">
        <f>IF(Main!BR145&gt;0,Main!BR145,"")</f>
        <v>42090</v>
      </c>
      <c r="AJ144" s="263">
        <f>IF(Main!BQ145&gt;0,Main!BQ145,"")</f>
        <v>42090</v>
      </c>
      <c r="AK144" s="263">
        <f>IF(Main!AV145&gt;0,Main!AV145,"")</f>
        <v>42082</v>
      </c>
      <c r="AL144" s="263">
        <f>IF(Main!AU145&gt;0,Main!AU145,"")</f>
        <v>42090</v>
      </c>
      <c r="AM144" s="263">
        <f>IF(Main!AT145&gt;0,Main!AT145,"")</f>
        <v>42090</v>
      </c>
      <c r="AN144" s="259" t="str">
        <f>Main!BW145</f>
        <v xml:space="preserve">1905 3/27/2015, 2305 3/27/2015, </v>
      </c>
    </row>
    <row r="145" spans="1:40" x14ac:dyDescent="0.25">
      <c r="A145" s="258">
        <f>Main!C146</f>
        <v>1082362</v>
      </c>
      <c r="B145" s="259" t="str">
        <f>Main!D146</f>
        <v>Ocol, Joselito Ruiz</v>
      </c>
      <c r="C145" s="259" t="str">
        <f>Main!AH146</f>
        <v>Probationary</v>
      </c>
      <c r="D145" s="260">
        <f>Main!B146</f>
        <v>42089</v>
      </c>
      <c r="E145" s="260" t="str">
        <f>IF(Main!AI146&lt;1,"",Main!AI146)</f>
        <v>Jobstreet</v>
      </c>
      <c r="F145" s="260" t="str">
        <f>IF(Main!AJ146&lt;1,"",Main!AJ146)</f>
        <v/>
      </c>
      <c r="G145" s="260" t="str">
        <f>IF(Main!AK146&lt;1,"",Main!AK146)</f>
        <v/>
      </c>
      <c r="H145" s="259" t="str">
        <f>Main!Y146</f>
        <v>Training Researcher</v>
      </c>
      <c r="I145" s="259" t="str">
        <f>Main!Z146</f>
        <v>N/A</v>
      </c>
      <c r="J145" s="259">
        <f>IF(Main!A146&lt;1,"",Main!A146)</f>
        <v>189</v>
      </c>
      <c r="K145" s="260">
        <f>IF(Main!AN146&gt;0,Main!AN146,"")</f>
        <v>32106</v>
      </c>
      <c r="L145" s="258" t="str">
        <f>IF(Main!Q146&gt;0,Main!Q146,"")</f>
        <v>joselito.ocol_jr@yahoo.com</v>
      </c>
      <c r="M145" s="410">
        <f>VALUE(IF(Main!S146&gt;0,Main!S146,""))</f>
        <v>9157582738</v>
      </c>
      <c r="N145" s="261" t="str">
        <f>Main!T146</f>
        <v/>
      </c>
      <c r="O145" s="258" t="str">
        <f>IF(Main!AO146&gt;0,Main!AO146,"")</f>
        <v>Unit 7 Cuneta Astrodome, Derham Park, Roxas Blvd Pasay</v>
      </c>
      <c r="P145" s="258" t="str">
        <f>IF(Main!AP146&gt;0,Main!AP146,"")</f>
        <v/>
      </c>
      <c r="Q145" s="258" t="str">
        <f>IF(Main!AR146&gt;0,Main!AR146,"")</f>
        <v>Married</v>
      </c>
      <c r="R145" s="259" t="str">
        <f>IF(Main!AQ146&gt;0,Main!AQ146,"")</f>
        <v>Male</v>
      </c>
      <c r="S145" s="259" t="str">
        <f>IF(Main!BD146&gt;0,Main!BD146,"")</f>
        <v>05-0577393-9</v>
      </c>
      <c r="T145" s="259" t="str">
        <f>IF(Main!AX146&gt;0,Main!AX146,"")</f>
        <v>250-139-280</v>
      </c>
      <c r="U145" s="259" t="str">
        <f>IF(Main!BH146&gt;0,Main!BH146,"")</f>
        <v>08-050612226-4</v>
      </c>
      <c r="V145" s="268" t="str">
        <f>IF(Main!BF146&gt;0,Main!BF146,"")</f>
        <v>1210-1201-6579</v>
      </c>
      <c r="W145" s="263">
        <f>IF(Main!BS146&gt;0,Main!BS146,"")</f>
        <v>42083</v>
      </c>
      <c r="X145" s="263">
        <f>IF(Main!BT146&gt;0,Main!BT146,"")</f>
        <v>42083</v>
      </c>
      <c r="Y145" s="263">
        <f>IF(Main!BU146&gt;0,Main!BU146,"")</f>
        <v>42083</v>
      </c>
      <c r="Z145" s="263">
        <f>IF(Main!AS146&gt;0,Main!AS146,"")</f>
        <v>42083</v>
      </c>
      <c r="AA145" s="263">
        <f>IF(Main!BJ146&gt;0,Main!BJ146,"")</f>
        <v>42115</v>
      </c>
      <c r="AB145" s="263">
        <f>IF(Main!BC146&gt;0,Main!BC146,"")</f>
        <v>42083</v>
      </c>
      <c r="AC145" s="263">
        <f>IF(Main!AW146&gt;0,Main!AW146,"")</f>
        <v>42083</v>
      </c>
      <c r="AD145" s="263">
        <f>IF(Main!BG146&gt;0,Main!BG146,"")</f>
        <v>42083</v>
      </c>
      <c r="AE145" s="263">
        <f>IF(Main!BE146&gt;0,Main!BE146,"")</f>
        <v>42083</v>
      </c>
      <c r="AF145" s="263">
        <f>IF(Main!BM146&gt;0,Main!BM146,"")</f>
        <v>42091</v>
      </c>
      <c r="AG145" s="263">
        <f>IF(Main!BN146&gt;0,Main!BN146,"")</f>
        <v>42091</v>
      </c>
      <c r="AH145" s="263" t="str">
        <f>IF(Main!BO146&gt;0,Main!BO146,"")</f>
        <v/>
      </c>
      <c r="AI145" s="263">
        <f>IF(Main!BR146&gt;0,Main!BR146,"")</f>
        <v>42083</v>
      </c>
      <c r="AJ145" s="263">
        <f>IF(Main!BQ146&gt;0,Main!BQ146,"")</f>
        <v>42083</v>
      </c>
      <c r="AK145" s="263">
        <f>IF(Main!AV146&gt;0,Main!AV146,"")</f>
        <v>42115</v>
      </c>
      <c r="AL145" s="263">
        <f>IF(Main!AU146&gt;0,Main!AU146,"")</f>
        <v>42083</v>
      </c>
      <c r="AM145" s="263">
        <f>IF(Main!AT146&gt;0,Main!AT146,"")</f>
        <v>42083</v>
      </c>
      <c r="AN145" s="259" t="str">
        <f>Main!BW146</f>
        <v>2305 4/21/2015, MDR 4/24/2015, 2303</v>
      </c>
    </row>
    <row r="146" spans="1:40" x14ac:dyDescent="0.25">
      <c r="A146" s="258">
        <f>Main!C147</f>
        <v>1082363</v>
      </c>
      <c r="B146" s="259" t="str">
        <f>Main!D147</f>
        <v>Alfafara, Fyke Dianne Villanueva</v>
      </c>
      <c r="C146" s="259" t="str">
        <f>Main!AH147</f>
        <v>Probationary</v>
      </c>
      <c r="D146" s="260">
        <f>Main!B147</f>
        <v>42086</v>
      </c>
      <c r="E146" s="260" t="str">
        <f>IF(Main!AI147&lt;1,"",Main!AI147)</f>
        <v>ERP - Bubbles Tienzo</v>
      </c>
      <c r="F146" s="260" t="str">
        <f>IF(Main!AJ147&lt;1,"",Main!AJ147)</f>
        <v>Bubbles Tienzo</v>
      </c>
      <c r="G146" s="260" t="str">
        <f>IF(Main!AK147&lt;1,"",Main!AK147)</f>
        <v/>
      </c>
      <c r="H146" s="259" t="str">
        <f>Main!Y147</f>
        <v>Senior Recruiter</v>
      </c>
      <c r="I146" s="259" t="str">
        <f>Main!Z147</f>
        <v>Level 2</v>
      </c>
      <c r="J146" s="259">
        <f>IF(Main!A147&lt;1,"",Main!A147)</f>
        <v>189</v>
      </c>
      <c r="K146" s="260">
        <f>IF(Main!AN147&gt;0,Main!AN147,"")</f>
        <v>32529</v>
      </c>
      <c r="L146" s="258" t="str">
        <f>IF(Main!Q147&gt;0,Main!Q147,"")</f>
        <v>fykedianne@yahooo.com</v>
      </c>
      <c r="M146" s="410">
        <f>VALUE(IF(Main!S147&gt;0,Main!S147,""))</f>
        <v>9154162083</v>
      </c>
      <c r="N146" s="261" t="str">
        <f>Main!T147</f>
        <v/>
      </c>
      <c r="O146" s="258" t="str">
        <f>IF(Main!AO147&gt;0,Main!AO147,"")</f>
        <v>Unit 306 Sambeli Apt., R. Hernandez St., San Joaquin, Pasig</v>
      </c>
      <c r="P146" s="258" t="str">
        <f>IF(Main!AP147&gt;0,Main!AP147,"")</f>
        <v>Blk 1, Lot 34/36, Abraham St., San Agustin Valley Homes, Carmen, Cagayan De Oro</v>
      </c>
      <c r="Q146" s="258" t="str">
        <f>IF(Main!AR147&gt;0,Main!AR147,"")</f>
        <v>Single</v>
      </c>
      <c r="R146" s="259" t="str">
        <f>IF(Main!AQ147&gt;0,Main!AQ147,"")</f>
        <v>Female</v>
      </c>
      <c r="S146" s="259" t="str">
        <f>IF(Main!BD147&gt;0,Main!BD147,"")</f>
        <v>08-1780475-8</v>
      </c>
      <c r="T146" s="259" t="str">
        <f>IF(Main!AX147&gt;0,Main!AX147,"")</f>
        <v>295-001-212</v>
      </c>
      <c r="U146" s="259" t="str">
        <f>IF(Main!BH147&gt;0,Main!BH147,"")</f>
        <v>01-051408519-1</v>
      </c>
      <c r="V146" s="268" t="str">
        <f>IF(Main!BF147&gt;0,Main!BF147,"")</f>
        <v>1210-4111-6190</v>
      </c>
      <c r="W146" s="263">
        <f>IF(Main!BS147&gt;0,Main!BS147,"")</f>
        <v>42088</v>
      </c>
      <c r="X146" s="263">
        <f>IF(Main!BT147&gt;0,Main!BT147,"")</f>
        <v>42088</v>
      </c>
      <c r="Y146" s="263">
        <f>IF(Main!BU147&gt;0,Main!BU147,"")</f>
        <v>42088</v>
      </c>
      <c r="Z146" s="263">
        <f>IF(Main!AS147&gt;0,Main!AS147,"")</f>
        <v>42088</v>
      </c>
      <c r="AA146" s="263">
        <f>IF(Main!BJ147&gt;0,Main!BJ147,"")</f>
        <v>42088</v>
      </c>
      <c r="AB146" s="263">
        <f>IF(Main!BC147&gt;0,Main!BC147,"")</f>
        <v>42088</v>
      </c>
      <c r="AC146" s="263">
        <f>IF(Main!AW147&gt;0,Main!AW147,"")</f>
        <v>42088</v>
      </c>
      <c r="AD146" s="263">
        <f>IF(Main!BG147&gt;0,Main!BG147,"")</f>
        <v>42088</v>
      </c>
      <c r="AE146" s="263">
        <f>IF(Main!BE147&gt;0,Main!BE147,"")</f>
        <v>42088</v>
      </c>
      <c r="AF146" s="263">
        <f>IF(Main!BM147&gt;0,Main!BM147,"")</f>
        <v>42088</v>
      </c>
      <c r="AG146" s="263" t="str">
        <f>IF(Main!BN147&gt;0,Main!BN147,"")</f>
        <v/>
      </c>
      <c r="AH146" s="263" t="str">
        <f>IF(Main!BO147&gt;0,Main!BO147,"")</f>
        <v/>
      </c>
      <c r="AI146" s="263">
        <f>IF(Main!BR147&gt;0,Main!BR147,"")</f>
        <v>42118</v>
      </c>
      <c r="AJ146" s="263">
        <f>IF(Main!BQ147&gt;0,Main!BQ147,"")</f>
        <v>42088</v>
      </c>
      <c r="AK146" s="263">
        <f>IF(Main!AV147&gt;0,Main!AV147,"")</f>
        <v>42088</v>
      </c>
      <c r="AL146" s="263">
        <f>IF(Main!AU147&gt;0,Main!AU147,"")</f>
        <v>42088</v>
      </c>
      <c r="AM146" s="263">
        <f>IF(Main!AT147&gt;0,Main!AT147,"")</f>
        <v>42088</v>
      </c>
      <c r="AN146" s="259" t="str">
        <f>Main!BW147</f>
        <v xml:space="preserve">1905 3/25/2015, 2305 3/25/2015, </v>
      </c>
    </row>
    <row r="147" spans="1:40" x14ac:dyDescent="0.25">
      <c r="A147" s="258">
        <f>Main!C148</f>
        <v>1082364</v>
      </c>
      <c r="B147" s="259" t="str">
        <f>Main!D148</f>
        <v>Agbuggo, Jeffreyson Alegre</v>
      </c>
      <c r="C147" s="259" t="str">
        <f>Main!AH148</f>
        <v>Probationary</v>
      </c>
      <c r="D147" s="260">
        <f>Main!B148</f>
        <v>42086</v>
      </c>
      <c r="E147" s="260" t="str">
        <f>IF(Main!AI148&lt;1,"",Main!AI148)</f>
        <v>Jobstreet</v>
      </c>
      <c r="F147" s="260" t="str">
        <f>IF(Main!AJ148&lt;1,"",Main!AJ148)</f>
        <v/>
      </c>
      <c r="G147" s="260" t="str">
        <f>IF(Main!AK148&lt;1,"",Main!AK148)</f>
        <v/>
      </c>
      <c r="H147" s="259" t="str">
        <f>Main!Y148</f>
        <v>Restaurant Specialist</v>
      </c>
      <c r="I147" s="259" t="str">
        <f>Main!Z148</f>
        <v>Level 2</v>
      </c>
      <c r="J147" s="259">
        <f>IF(Main!A148&lt;1,"",Main!A148)</f>
        <v>189</v>
      </c>
      <c r="K147" s="260">
        <f>IF(Main!AN148&gt;0,Main!AN148,"")</f>
        <v>33330</v>
      </c>
      <c r="L147" s="258" t="str">
        <f>IF(Main!Q148&gt;0,Main!Q148,"")</f>
        <v>jeffreyson.agbuggo@live.com</v>
      </c>
      <c r="M147" s="410">
        <f>VALUE(IF(Main!S148&gt;0,Main!S148,""))</f>
        <v>9209776328</v>
      </c>
      <c r="N147" s="261" t="str">
        <f>Main!T148</f>
        <v/>
      </c>
      <c r="O147" s="258" t="str">
        <f>IF(Main!AO148&gt;0,Main!AO148,"")</f>
        <v>1533 Eusebio St. Pandacan Manila</v>
      </c>
      <c r="P147" s="258" t="str">
        <f>IF(Main!AP148&gt;0,Main!AP148,"")</f>
        <v>1533 Eusebio St. Pandacan Manila</v>
      </c>
      <c r="Q147" s="258" t="str">
        <f>IF(Main!AR148&gt;0,Main!AR148,"")</f>
        <v>Single</v>
      </c>
      <c r="R147" s="259" t="str">
        <f>IF(Main!AQ148&gt;0,Main!AQ148,"")</f>
        <v>Male</v>
      </c>
      <c r="S147" s="259" t="str">
        <f>IF(Main!BD148&gt;0,Main!BD148,"")</f>
        <v>34-1782310-7</v>
      </c>
      <c r="T147" s="259" t="str">
        <f>IF(Main!AX148&gt;0,Main!AX148,"")</f>
        <v>314-167-168</v>
      </c>
      <c r="U147" s="259" t="str">
        <f>IF(Main!BH148&gt;0,Main!BH148,"")</f>
        <v>02-050986590-7</v>
      </c>
      <c r="V147" s="268" t="str">
        <f>IF(Main!BF148&gt;0,Main!BF148,"")</f>
        <v>1210-9001-0887</v>
      </c>
      <c r="W147" s="263">
        <f>IF(Main!BS148&gt;0,Main!BS148,"")</f>
        <v>42088</v>
      </c>
      <c r="X147" s="263">
        <f>IF(Main!BT148&gt;0,Main!BT148,"")</f>
        <v>42088</v>
      </c>
      <c r="Y147" s="263">
        <f>IF(Main!BU148&gt;0,Main!BU148,"")</f>
        <v>42088</v>
      </c>
      <c r="Z147" s="263">
        <f>IF(Main!AS148&gt;0,Main!AS148,"")</f>
        <v>42090</v>
      </c>
      <c r="AA147" s="263">
        <f>IF(Main!BJ148&gt;0,Main!BJ148,"")</f>
        <v>42090</v>
      </c>
      <c r="AB147" s="263">
        <f>IF(Main!BC148&gt;0,Main!BC148,"")</f>
        <v>42103</v>
      </c>
      <c r="AC147" s="263">
        <f>IF(Main!AW148&gt;0,Main!AW148,"")</f>
        <v>42103</v>
      </c>
      <c r="AD147" s="263">
        <f>IF(Main!BG148&gt;0,Main!BG148,"")</f>
        <v>42090</v>
      </c>
      <c r="AE147" s="263">
        <f>IF(Main!BE148&gt;0,Main!BE148,"")</f>
        <v>42103</v>
      </c>
      <c r="AF147" s="263">
        <f>IF(Main!BM148&gt;0,Main!BM148,"")</f>
        <v>42090</v>
      </c>
      <c r="AG147" s="263" t="str">
        <f>IF(Main!BN148&gt;0,Main!BN148,"")</f>
        <v/>
      </c>
      <c r="AH147" s="263" t="str">
        <f>IF(Main!BO148&gt;0,Main!BO148,"")</f>
        <v/>
      </c>
      <c r="AI147" s="263" t="str">
        <f>IF(Main!BR148&gt;0,Main!BR148,"")</f>
        <v/>
      </c>
      <c r="AJ147" s="263" t="str">
        <f>IF(Main!BQ148&gt;0,Main!BQ148,"")</f>
        <v/>
      </c>
      <c r="AK147" s="263">
        <f>IF(Main!AV148&gt;0,Main!AV148,"")</f>
        <v>42084</v>
      </c>
      <c r="AL147" s="263">
        <f>IF(Main!AU148&gt;0,Main!AU148,"")</f>
        <v>42084</v>
      </c>
      <c r="AM147" s="263">
        <f>IF(Main!AT148&gt;0,Main!AT148,"")</f>
        <v>42084</v>
      </c>
      <c r="AN147" s="259" t="str">
        <f>Main!BW148</f>
        <v xml:space="preserve">1905 4/9/2015, 2305 3/27/2015, </v>
      </c>
    </row>
    <row r="148" spans="1:40" x14ac:dyDescent="0.25">
      <c r="A148" s="258">
        <f>Main!C149</f>
        <v>1082365</v>
      </c>
      <c r="B148" s="259" t="str">
        <f>Main!D149</f>
        <v>Ave, Kristine Joy Rosalinda</v>
      </c>
      <c r="C148" s="259" t="str">
        <f>Main!AH149</f>
        <v>Probationary</v>
      </c>
      <c r="D148" s="260">
        <f>Main!B149</f>
        <v>42086</v>
      </c>
      <c r="E148" s="260" t="str">
        <f>IF(Main!AI149&lt;1,"",Main!AI149)</f>
        <v>ERP - Joel Escobar</v>
      </c>
      <c r="F148" s="260" t="str">
        <f>IF(Main!AJ149&lt;1,"",Main!AJ149)</f>
        <v>Joel Escobar</v>
      </c>
      <c r="G148" s="260" t="str">
        <f>IF(Main!AK149&lt;1,"",Main!AK149)</f>
        <v/>
      </c>
      <c r="H148" s="259" t="str">
        <f>Main!Y149</f>
        <v>Senior Recruiter</v>
      </c>
      <c r="I148" s="259" t="str">
        <f>Main!Z149</f>
        <v>Level 2</v>
      </c>
      <c r="J148" s="259">
        <f>IF(Main!A149&lt;1,"",Main!A149)</f>
        <v>189</v>
      </c>
      <c r="K148" s="260">
        <f>IF(Main!AN149&gt;0,Main!AN149,"")</f>
        <v>31940</v>
      </c>
      <c r="L148" s="258" t="str">
        <f>IF(Main!Q149&gt;0,Main!Q149,"")</f>
        <v>kristinejoy_rosalinda@yahoo.com.ph</v>
      </c>
      <c r="M148" s="410">
        <f>VALUE(IF(Main!S149&gt;0,Main!S149,""))</f>
        <v>9278685201</v>
      </c>
      <c r="N148" s="261" t="str">
        <f>Main!T149</f>
        <v/>
      </c>
      <c r="O148" s="258" t="str">
        <f>IF(Main!AO149&gt;0,Main!AO149,"")</f>
        <v>101 Marcelo 1 Mahogany Bagumbayan Taguig</v>
      </c>
      <c r="P148" s="258" t="str">
        <f>IF(Main!AP149&gt;0,Main!AP149,"")</f>
        <v>101 Marcelo 1 Mahogany Bagumbayan Taguig</v>
      </c>
      <c r="Q148" s="258" t="str">
        <f>IF(Main!AR149&gt;0,Main!AR149,"")</f>
        <v>Married</v>
      </c>
      <c r="R148" s="259" t="str">
        <f>IF(Main!AQ149&gt;0,Main!AQ149,"")</f>
        <v>Female</v>
      </c>
      <c r="S148" s="259" t="str">
        <f>IF(Main!BD149&gt;0,Main!BD149,"")</f>
        <v>34-1451046-8</v>
      </c>
      <c r="T148" s="259" t="str">
        <f>IF(Main!AX149&gt;0,Main!AX149,"")</f>
        <v>276-219-984</v>
      </c>
      <c r="U148" s="259" t="str">
        <f>IF(Main!BH149&gt;0,Main!BH149,"")</f>
        <v>01-051521123-9</v>
      </c>
      <c r="V148" s="268" t="str">
        <f>IF(Main!BF149&gt;0,Main!BF149,"")</f>
        <v>1210-9677-0524</v>
      </c>
      <c r="W148" s="263">
        <f>IF(Main!BS149&gt;0,Main!BS149,"")</f>
        <v>42088</v>
      </c>
      <c r="X148" s="263">
        <f>IF(Main!BT149&gt;0,Main!BT149,"")</f>
        <v>42088</v>
      </c>
      <c r="Y148" s="263">
        <f>IF(Main!BU149&gt;0,Main!BU149,"")</f>
        <v>42088</v>
      </c>
      <c r="Z148" s="263">
        <f>IF(Main!AS149&gt;0,Main!AS149,"")</f>
        <v>42086</v>
      </c>
      <c r="AA148" s="263">
        <f>IF(Main!BJ149&gt;0,Main!BJ149,"")</f>
        <v>42108</v>
      </c>
      <c r="AB148" s="263">
        <f>IF(Main!BC149&gt;0,Main!BC149,"")</f>
        <v>42090</v>
      </c>
      <c r="AC148" s="263">
        <f>IF(Main!AW149&gt;0,Main!AW149,"")</f>
        <v>42108</v>
      </c>
      <c r="AD148" s="263">
        <f>IF(Main!BG149&gt;0,Main!BG149,"")</f>
        <v>42090</v>
      </c>
      <c r="AE148" s="263">
        <f>IF(Main!BE149&gt;0,Main!BE149,"")</f>
        <v>42090</v>
      </c>
      <c r="AF148" s="263">
        <f>IF(Main!BM149&gt;0,Main!BM149,"")</f>
        <v>42090</v>
      </c>
      <c r="AG148" s="263">
        <f>IF(Main!BN149&gt;0,Main!BN149,"")</f>
        <v>42090</v>
      </c>
      <c r="AH148" s="263">
        <f>IF(Main!BO149&gt;0,Main!BO149,"")</f>
        <v>42090</v>
      </c>
      <c r="AI148" s="263">
        <f>IF(Main!BR149&gt;0,Main!BR149,"")</f>
        <v>42104</v>
      </c>
      <c r="AJ148" s="263" t="str">
        <f>IF(Main!BQ149&gt;0,Main!BQ149,"")</f>
        <v/>
      </c>
      <c r="AK148" s="263">
        <f>IF(Main!AV149&gt;0,Main!AV149,"")</f>
        <v>42088</v>
      </c>
      <c r="AL148" s="263">
        <f>IF(Main!AU149&gt;0,Main!AU149,"")</f>
        <v>42086</v>
      </c>
      <c r="AM148" s="263">
        <f>IF(Main!AT149&gt;0,Main!AT149,"")</f>
        <v>42086</v>
      </c>
      <c r="AN148" s="259" t="str">
        <f>Main!BW149</f>
        <v xml:space="preserve">1905 (for processing) 4/14/2015, 2305 (for processing) 4/8/2015, MDR 3/31/2015, </v>
      </c>
    </row>
    <row r="149" spans="1:40" x14ac:dyDescent="0.25">
      <c r="A149" s="258">
        <f>Main!C150</f>
        <v>1082366</v>
      </c>
      <c r="B149" s="259" t="str">
        <f>Main!D150</f>
        <v>Busel, Clarisse Ferrer</v>
      </c>
      <c r="C149" s="259" t="str">
        <f>Main!AH150</f>
        <v>Probationary</v>
      </c>
      <c r="D149" s="260">
        <f>Main!B150</f>
        <v>42086</v>
      </c>
      <c r="E149" s="260" t="str">
        <f>IF(Main!AI150&lt;1,"",Main!AI150)</f>
        <v>ERP - Bubbles Tienzo</v>
      </c>
      <c r="F149" s="260" t="str">
        <f>IF(Main!AJ150&lt;1,"",Main!AJ150)</f>
        <v>Bubbles Tienzo</v>
      </c>
      <c r="G149" s="260" t="str">
        <f>IF(Main!AK150&lt;1,"",Main!AK150)</f>
        <v/>
      </c>
      <c r="H149" s="259" t="str">
        <f>Main!Y150</f>
        <v>Senior Recruiter</v>
      </c>
      <c r="I149" s="259" t="str">
        <f>Main!Z150</f>
        <v>Level 2</v>
      </c>
      <c r="J149" s="259">
        <f>IF(Main!A150&lt;1,"",Main!A150)</f>
        <v>189</v>
      </c>
      <c r="K149" s="260">
        <f>IF(Main!AN150&gt;0,Main!AN150,"")</f>
        <v>32821</v>
      </c>
      <c r="L149" s="258" t="str">
        <f>IF(Main!Q150&gt;0,Main!Q150,"")</f>
        <v>yas_clarisse@yahoo.com</v>
      </c>
      <c r="M149" s="410">
        <f>VALUE(IF(Main!S150&gt;0,Main!S150,""))</f>
        <v>9175613667</v>
      </c>
      <c r="N149" s="261" t="str">
        <f>Main!T150</f>
        <v/>
      </c>
      <c r="O149" s="258" t="str">
        <f>IF(Main!AO150&gt;0,Main!AO150,"")</f>
        <v>Unit 325 Cityland Pioneer St.  Mandaluyong</v>
      </c>
      <c r="P149" s="258" t="str">
        <f>IF(Main!AP150&gt;0,Main!AP150,"")</f>
        <v>11 Mancup Calasiao Pangasinan</v>
      </c>
      <c r="Q149" s="258" t="str">
        <f>IF(Main!AR150&gt;0,Main!AR150,"")</f>
        <v>Single</v>
      </c>
      <c r="R149" s="259" t="str">
        <f>IF(Main!AQ150&gt;0,Main!AQ150,"")</f>
        <v>Female</v>
      </c>
      <c r="S149" s="259" t="str">
        <f>IF(Main!BD150&gt;0,Main!BD150,"")</f>
        <v>01-1960866-5</v>
      </c>
      <c r="T149" s="259" t="str">
        <f>IF(Main!AX150&gt;0,Main!AX150,"")</f>
        <v>278-971-383</v>
      </c>
      <c r="U149" s="259" t="str">
        <f>IF(Main!BH150&gt;0,Main!BH150,"")</f>
        <v>04-050106868-5</v>
      </c>
      <c r="V149" s="268" t="str">
        <f>IF(Main!BF150&gt;0,Main!BF150,"")</f>
        <v>1210-1897-9858</v>
      </c>
      <c r="W149" s="263">
        <f>IF(Main!BS150&gt;0,Main!BS150,"")</f>
        <v>42088</v>
      </c>
      <c r="X149" s="263">
        <f>IF(Main!BT150&gt;0,Main!BT150,"")</f>
        <v>42088</v>
      </c>
      <c r="Y149" s="263">
        <f>IF(Main!BU150&gt;0,Main!BU150,"")</f>
        <v>42088</v>
      </c>
      <c r="Z149" s="263">
        <f>IF(Main!AS150&gt;0,Main!AS150,"")</f>
        <v>42088</v>
      </c>
      <c r="AA149" s="263">
        <f>IF(Main!BJ150&gt;0,Main!BJ150,"")</f>
        <v>42088</v>
      </c>
      <c r="AB149" s="263">
        <f>IF(Main!BC150&gt;0,Main!BC150,"")</f>
        <v>42088</v>
      </c>
      <c r="AC149" s="263">
        <f>IF(Main!AW150&gt;0,Main!AW150,"")</f>
        <v>42088</v>
      </c>
      <c r="AD149" s="263">
        <f>IF(Main!BG150&gt;0,Main!BG150,"")</f>
        <v>42088</v>
      </c>
      <c r="AE149" s="263">
        <f>IF(Main!BE150&gt;0,Main!BE150,"")</f>
        <v>42088</v>
      </c>
      <c r="AF149" s="263">
        <f>IF(Main!BM150&gt;0,Main!BM150,"")</f>
        <v>42088</v>
      </c>
      <c r="AG149" s="263" t="str">
        <f>IF(Main!BN150&gt;0,Main!BN150,"")</f>
        <v/>
      </c>
      <c r="AH149" s="263" t="str">
        <f>IF(Main!BO150&gt;0,Main!BO150,"")</f>
        <v/>
      </c>
      <c r="AI149" s="263">
        <f>IF(Main!BR150&gt;0,Main!BR150,"")</f>
        <v>42118</v>
      </c>
      <c r="AJ149" s="263">
        <f>IF(Main!BQ150&gt;0,Main!BQ150,"")</f>
        <v>42088</v>
      </c>
      <c r="AK149" s="263">
        <f>IF(Main!AV150&gt;0,Main!AV150,"")</f>
        <v>42088</v>
      </c>
      <c r="AL149" s="263">
        <f>IF(Main!AU150&gt;0,Main!AU150,"")</f>
        <v>42088</v>
      </c>
      <c r="AM149" s="263">
        <f>IF(Main!AT150&gt;0,Main!AT150,"")</f>
        <v>42088</v>
      </c>
      <c r="AN149" s="259" t="str">
        <f>Main!BW150</f>
        <v xml:space="preserve">1905 3/25/2015, 2305 3/25/2015, </v>
      </c>
    </row>
    <row r="150" spans="1:40" x14ac:dyDescent="0.25">
      <c r="A150" s="258">
        <f>Main!C151</f>
        <v>1082367</v>
      </c>
      <c r="B150" s="259" t="str">
        <f>Main!D151</f>
        <v>Delotavo, Rhona Mea Loreta</v>
      </c>
      <c r="C150" s="259" t="str">
        <f>Main!AH151</f>
        <v>Probationary</v>
      </c>
      <c r="D150" s="260">
        <f>Main!B151</f>
        <v>42086</v>
      </c>
      <c r="E150" s="260" t="str">
        <f>IF(Main!AI151&lt;1,"",Main!AI151)</f>
        <v>Jobstreet</v>
      </c>
      <c r="F150" s="260" t="str">
        <f>IF(Main!AJ151&lt;1,"",Main!AJ151)</f>
        <v/>
      </c>
      <c r="G150" s="260" t="str">
        <f>IF(Main!AK151&lt;1,"",Main!AK151)</f>
        <v/>
      </c>
      <c r="H150" s="259" t="str">
        <f>Main!Y151</f>
        <v>Senior Recruiter</v>
      </c>
      <c r="I150" s="259" t="str">
        <f>Main!Z151</f>
        <v>Level 2</v>
      </c>
      <c r="J150" s="259">
        <f>IF(Main!A151&lt;1,"",Main!A151)</f>
        <v>189</v>
      </c>
      <c r="K150" s="260">
        <f>IF(Main!AN151&gt;0,Main!AN151,"")</f>
        <v>32986</v>
      </c>
      <c r="L150" s="258" t="str">
        <f>IF(Main!Q151&gt;0,Main!Q151,"")</f>
        <v>mea_delotavo@gmail.com</v>
      </c>
      <c r="M150" s="410">
        <f>VALUE(IF(Main!S151&gt;0,Main!S151,""))</f>
        <v>9202670597</v>
      </c>
      <c r="N150" s="261" t="str">
        <f>Main!T151</f>
        <v/>
      </c>
      <c r="O150" s="258" t="str">
        <f>IF(Main!AO151&gt;0,Main!AO151,"")</f>
        <v>B9 L 38 Gumamba St. Via Verde Village San Agustin II Dasmariñas Cavite</v>
      </c>
      <c r="P150" s="258" t="str">
        <f>IF(Main!AP151&gt;0,Main!AP151,"")</f>
        <v/>
      </c>
      <c r="Q150" s="258" t="str">
        <f>IF(Main!AR151&gt;0,Main!AR151,"")</f>
        <v>Single</v>
      </c>
      <c r="R150" s="259" t="str">
        <f>IF(Main!AQ151&gt;0,Main!AQ151,"")</f>
        <v>Female</v>
      </c>
      <c r="S150" s="259" t="str">
        <f>IF(Main!BD151&gt;0,Main!BD151,"")</f>
        <v>34-2624495-5</v>
      </c>
      <c r="T150" s="259" t="str">
        <f>IF(Main!AX151&gt;0,Main!AX151,"")</f>
        <v>309-078-550</v>
      </c>
      <c r="U150" s="259" t="str">
        <f>IF(Main!BH151&gt;0,Main!BH151,"")</f>
        <v>01-051222241-8</v>
      </c>
      <c r="V150" s="268" t="str">
        <f>IF(Main!BF151&gt;0,Main!BF151,"")</f>
        <v>1210-6226-4113</v>
      </c>
      <c r="W150" s="263">
        <f>IF(Main!BS151&gt;0,Main!BS151,"")</f>
        <v>42088</v>
      </c>
      <c r="X150" s="263">
        <f>IF(Main!BT151&gt;0,Main!BT151,"")</f>
        <v>42088</v>
      </c>
      <c r="Y150" s="263">
        <f>IF(Main!BU151&gt;0,Main!BU151,"")</f>
        <v>42088</v>
      </c>
      <c r="Z150" s="263">
        <f>IF(Main!AS151&gt;0,Main!AS151,"")</f>
        <v>42090</v>
      </c>
      <c r="AA150" s="263">
        <f>IF(Main!BJ151&gt;0,Main!BJ151,"")</f>
        <v>42090</v>
      </c>
      <c r="AB150" s="263">
        <f>IF(Main!BC151&gt;0,Main!BC151,"")</f>
        <v>42090</v>
      </c>
      <c r="AC150" s="263">
        <f>IF(Main!AW151&gt;0,Main!AW151,"")</f>
        <v>42090</v>
      </c>
      <c r="AD150" s="263">
        <f>IF(Main!BG151&gt;0,Main!BG151,"")</f>
        <v>42090</v>
      </c>
      <c r="AE150" s="263">
        <f>IF(Main!BE151&gt;0,Main!BE151,"")</f>
        <v>42090</v>
      </c>
      <c r="AF150" s="263">
        <f>IF(Main!BM151&gt;0,Main!BM151,"")</f>
        <v>42090</v>
      </c>
      <c r="AG150" s="263" t="str">
        <f>IF(Main!BN151&gt;0,Main!BN151,"")</f>
        <v/>
      </c>
      <c r="AH150" s="263" t="str">
        <f>IF(Main!BO151&gt;0,Main!BO151,"")</f>
        <v/>
      </c>
      <c r="AI150" s="263">
        <f>IF(Main!BR151&gt;0,Main!BR151,"")</f>
        <v>42090</v>
      </c>
      <c r="AJ150" s="263">
        <f>IF(Main!BQ151&gt;0,Main!BQ151,"")</f>
        <v>42090</v>
      </c>
      <c r="AK150" s="263">
        <f>IF(Main!AV151&gt;0,Main!AV151,"")</f>
        <v>42088</v>
      </c>
      <c r="AL150" s="263">
        <f>IF(Main!AU151&gt;0,Main!AU151,"")</f>
        <v>42084</v>
      </c>
      <c r="AM150" s="263">
        <f>IF(Main!AT151&gt;0,Main!AT151,"")</f>
        <v>42084</v>
      </c>
      <c r="AN150" s="259" t="str">
        <f>Main!BW151</f>
        <v xml:space="preserve">2305 3/21/2015, MDR 3/31/2015, </v>
      </c>
    </row>
    <row r="151" spans="1:40" x14ac:dyDescent="0.25">
      <c r="A151" s="258">
        <f>Main!C152</f>
        <v>1082368</v>
      </c>
      <c r="B151" s="259" t="str">
        <f>Main!D152</f>
        <v>Delos Reyes, Michael John Africano</v>
      </c>
      <c r="C151" s="259" t="str">
        <f>Main!AH152</f>
        <v>Probationary</v>
      </c>
      <c r="D151" s="260">
        <f>Main!B152</f>
        <v>42086</v>
      </c>
      <c r="E151" s="260" t="str">
        <f>IF(Main!AI152&lt;1,"",Main!AI152)</f>
        <v>Jobstreet</v>
      </c>
      <c r="F151" s="260" t="str">
        <f>IF(Main!AJ152&lt;1,"",Main!AJ152)</f>
        <v/>
      </c>
      <c r="G151" s="260" t="str">
        <f>IF(Main!AK152&lt;1,"",Main!AK152)</f>
        <v/>
      </c>
      <c r="H151" s="259" t="str">
        <f>Main!Y152</f>
        <v>Senior Recruiter</v>
      </c>
      <c r="I151" s="259" t="str">
        <f>Main!Z152</f>
        <v>Level 2</v>
      </c>
      <c r="J151" s="259">
        <f>IF(Main!A152&lt;1,"",Main!A152)</f>
        <v>189</v>
      </c>
      <c r="K151" s="260">
        <f>IF(Main!AN152&gt;0,Main!AN152,"")</f>
        <v>32636</v>
      </c>
      <c r="L151" s="258" t="str">
        <f>IF(Main!Q152&gt;0,Main!Q152,"")</f>
        <v>michaeljohn_dreyes@gmail.com</v>
      </c>
      <c r="M151" s="410">
        <f>VALUE(IF(Main!S152&gt;0,Main!S152,""))</f>
        <v>9154414696</v>
      </c>
      <c r="N151" s="261" t="str">
        <f>Main!T152</f>
        <v/>
      </c>
      <c r="O151" s="258" t="str">
        <f>IF(Main!AO152&gt;0,Main!AO152,"")</f>
        <v>171 N. Cuevas St. Kalawaan Pasig</v>
      </c>
      <c r="P151" s="258" t="str">
        <f>IF(Main!AP152&gt;0,Main!AP152,"")</f>
        <v>171 N. Cuevas St. Kalawaan Pasig</v>
      </c>
      <c r="Q151" s="258" t="str">
        <f>IF(Main!AR152&gt;0,Main!AR152,"")</f>
        <v>Single</v>
      </c>
      <c r="R151" s="259" t="str">
        <f>IF(Main!AQ152&gt;0,Main!AQ152,"")</f>
        <v>Male</v>
      </c>
      <c r="S151" s="259" t="str">
        <f>IF(Main!BD152&gt;0,Main!BD152,"")</f>
        <v>34-0678297-4</v>
      </c>
      <c r="T151" s="259" t="str">
        <f>IF(Main!AX152&gt;0,Main!AX152,"")</f>
        <v>253-661-417</v>
      </c>
      <c r="U151" s="259" t="str">
        <f>IF(Main!BH152&gt;0,Main!BH152,"")</f>
        <v>01-050776540-3</v>
      </c>
      <c r="V151" s="268" t="str">
        <f>IF(Main!BF152&gt;0,Main!BF152,"")</f>
        <v>1210-5498-7593</v>
      </c>
      <c r="W151" s="263">
        <f>IF(Main!BS152&gt;0,Main!BS152,"")</f>
        <v>42088</v>
      </c>
      <c r="X151" s="263">
        <f>IF(Main!BT152&gt;0,Main!BT152,"")</f>
        <v>42088</v>
      </c>
      <c r="Y151" s="263">
        <f>IF(Main!BU152&gt;0,Main!BU152,"")</f>
        <v>42088</v>
      </c>
      <c r="Z151" s="263">
        <f>IF(Main!AS152&gt;0,Main!AS152,"")</f>
        <v>42118</v>
      </c>
      <c r="AA151" s="263">
        <f>IF(Main!BJ152&gt;0,Main!BJ152,"")</f>
        <v>42139</v>
      </c>
      <c r="AB151" s="263">
        <f>IF(Main!BC152&gt;0,Main!BC152,"")</f>
        <v>42090</v>
      </c>
      <c r="AC151" s="263">
        <f>IF(Main!AW152&gt;0,Main!AW152,"")</f>
        <v>42130</v>
      </c>
      <c r="AD151" s="263">
        <f>IF(Main!BG152&gt;0,Main!BG152,"")</f>
        <v>42102</v>
      </c>
      <c r="AE151" s="263">
        <f>IF(Main!BE152&gt;0,Main!BE152,"")</f>
        <v>42102</v>
      </c>
      <c r="AF151" s="263">
        <f>IF(Main!BM152&gt;0,Main!BM152,"")</f>
        <v>42118</v>
      </c>
      <c r="AG151" s="263" t="str">
        <f>IF(Main!BN152&gt;0,Main!BN152,"")</f>
        <v/>
      </c>
      <c r="AH151" s="263" t="str">
        <f>IF(Main!BO152&gt;0,Main!BO152,"")</f>
        <v/>
      </c>
      <c r="AI151" s="263" t="str">
        <f>IF(Main!BR152&gt;0,Main!BR152,"")</f>
        <v/>
      </c>
      <c r="AJ151" s="263" t="str">
        <f>IF(Main!BQ152&gt;0,Main!BQ152,"")</f>
        <v/>
      </c>
      <c r="AK151" s="263">
        <f>IF(Main!AV152&gt;0,Main!AV152,"")</f>
        <v>42084</v>
      </c>
      <c r="AL151" s="263">
        <f>IF(Main!AU152&gt;0,Main!AU152,"")</f>
        <v>42084</v>
      </c>
      <c r="AM151" s="263">
        <f>IF(Main!AT152&gt;0,Main!AT152,"")</f>
        <v>42084</v>
      </c>
      <c r="AN151" s="259" t="str">
        <f>Main!BW152</f>
        <v>1905 (for processing) 5/6/2015, 2305 (for processing) 3/21/2015, TIN from MDF</v>
      </c>
    </row>
    <row r="152" spans="1:40" x14ac:dyDescent="0.25">
      <c r="A152" s="258">
        <f>Main!C153</f>
        <v>1082369</v>
      </c>
      <c r="B152" s="259" t="str">
        <f>Main!D153</f>
        <v>Fermindoza, Eleandro Mondido</v>
      </c>
      <c r="C152" s="259" t="str">
        <f>Main!AH153</f>
        <v>Probationary</v>
      </c>
      <c r="D152" s="260">
        <f>Main!B153</f>
        <v>42086</v>
      </c>
      <c r="E152" s="260" t="str">
        <f>IF(Main!AI153&lt;1,"",Main!AI153)</f>
        <v>Jobstreet</v>
      </c>
      <c r="F152" s="260" t="str">
        <f>IF(Main!AJ153&lt;1,"",Main!AJ153)</f>
        <v/>
      </c>
      <c r="G152" s="260" t="str">
        <f>IF(Main!AK153&lt;1,"",Main!AK153)</f>
        <v/>
      </c>
      <c r="H152" s="259" t="str">
        <f>Main!Y153</f>
        <v>Senior Recruiter</v>
      </c>
      <c r="I152" s="259" t="str">
        <f>Main!Z153</f>
        <v>Level 2</v>
      </c>
      <c r="J152" s="259">
        <f>IF(Main!A153&lt;1,"",Main!A153)</f>
        <v>189</v>
      </c>
      <c r="K152" s="260">
        <f>IF(Main!AN153&gt;0,Main!AN153,"")</f>
        <v>32707</v>
      </c>
      <c r="L152" s="258" t="str">
        <f>IF(Main!Q153&gt;0,Main!Q153,"")</f>
        <v>eliefermindoza@yahoo.com</v>
      </c>
      <c r="M152" s="410">
        <f>VALUE(IF(Main!S153&gt;0,Main!S153,""))</f>
        <v>9154139575</v>
      </c>
      <c r="N152" s="261" t="str">
        <f>Main!T153</f>
        <v/>
      </c>
      <c r="O152" s="258" t="str">
        <f>IF(Main!AO153&gt;0,Main!AO153,"")</f>
        <v>9C Fairfax 3 California Gardens Mandaluyong</v>
      </c>
      <c r="P152" s="258" t="str">
        <f>IF(Main!AP153&gt;0,Main!AP153,"")</f>
        <v/>
      </c>
      <c r="Q152" s="258" t="str">
        <f>IF(Main!AR153&gt;0,Main!AR153,"")</f>
        <v>Single</v>
      </c>
      <c r="R152" s="259" t="str">
        <f>IF(Main!AQ153&gt;0,Main!AQ153,"")</f>
        <v>Male</v>
      </c>
      <c r="S152" s="259" t="str">
        <f>IF(Main!BD153&gt;0,Main!BD153,"")</f>
        <v>33-8318377-0</v>
      </c>
      <c r="T152" s="259" t="str">
        <f>IF(Main!AX153&gt;0,Main!AX153,"")</f>
        <v>408-821-223</v>
      </c>
      <c r="U152" s="259" t="str">
        <f>IF(Main!BH153&gt;0,Main!BH153,"")</f>
        <v>01-051490046-4</v>
      </c>
      <c r="V152" s="268" t="str">
        <f>IF(Main!BF153&gt;0,Main!BF153,"")</f>
        <v>1090-0227-4877</v>
      </c>
      <c r="W152" s="263">
        <f>IF(Main!BS153&gt;0,Main!BS153,"")</f>
        <v>42088</v>
      </c>
      <c r="X152" s="263">
        <f>IF(Main!BT153&gt;0,Main!BT153,"")</f>
        <v>42088</v>
      </c>
      <c r="Y152" s="263">
        <f>IF(Main!BU153&gt;0,Main!BU153,"")</f>
        <v>42088</v>
      </c>
      <c r="Z152" s="263">
        <f>IF(Main!AS153&gt;0,Main!AS153,"")</f>
        <v>42118</v>
      </c>
      <c r="AA152" s="263">
        <f>IF(Main!BJ153&gt;0,Main!BJ153,"")</f>
        <v>42090</v>
      </c>
      <c r="AB152" s="263">
        <f>IF(Main!BC153&gt;0,Main!BC153,"")</f>
        <v>42108</v>
      </c>
      <c r="AC152" s="263">
        <f>IF(Main!AW153&gt;0,Main!AW153,"")</f>
        <v>42102</v>
      </c>
      <c r="AD152" s="263">
        <f>IF(Main!BG153&gt;0,Main!BG153,"")</f>
        <v>42090</v>
      </c>
      <c r="AE152" s="263">
        <f>IF(Main!BE153&gt;0,Main!BE153,"")</f>
        <v>42108</v>
      </c>
      <c r="AF152" s="263">
        <f>IF(Main!BM153&gt;0,Main!BM153,"")</f>
        <v>42090</v>
      </c>
      <c r="AG152" s="263" t="str">
        <f>IF(Main!BN153&gt;0,Main!BN153,"")</f>
        <v/>
      </c>
      <c r="AH152" s="263" t="str">
        <f>IF(Main!BO153&gt;0,Main!BO153,"")</f>
        <v/>
      </c>
      <c r="AI152" s="263" t="str">
        <f>IF(Main!BR153&gt;0,Main!BR153,"")</f>
        <v/>
      </c>
      <c r="AJ152" s="263">
        <f>IF(Main!BQ153&gt;0,Main!BQ153,"")</f>
        <v>42118</v>
      </c>
      <c r="AK152" s="263">
        <f>IF(Main!AV153&gt;0,Main!AV153,"")</f>
        <v>42088</v>
      </c>
      <c r="AL152" s="263">
        <f>IF(Main!AU153&gt;0,Main!AU153,"")</f>
        <v>42090</v>
      </c>
      <c r="AM152" s="263">
        <f>IF(Main!AT153&gt;0,Main!AT153,"")</f>
        <v>42090</v>
      </c>
      <c r="AN152" s="259" t="str">
        <f>Main!BW153</f>
        <v xml:space="preserve">2305 3/21/2015, </v>
      </c>
    </row>
    <row r="153" spans="1:40" x14ac:dyDescent="0.25">
      <c r="A153" s="258">
        <f>Main!C154</f>
        <v>1082370</v>
      </c>
      <c r="B153" s="259" t="str">
        <f>Main!D154</f>
        <v>Giberson, John Michael Vincent De Los Angeles</v>
      </c>
      <c r="C153" s="259" t="str">
        <f>Main!AH154</f>
        <v>Probationary</v>
      </c>
      <c r="D153" s="260">
        <f>Main!B154</f>
        <v>42086</v>
      </c>
      <c r="E153" s="260" t="str">
        <f>IF(Main!AI154&lt;1,"",Main!AI154)</f>
        <v>Jobstreet</v>
      </c>
      <c r="F153" s="260" t="str">
        <f>IF(Main!AJ154&lt;1,"",Main!AJ154)</f>
        <v/>
      </c>
      <c r="G153" s="260" t="str">
        <f>IF(Main!AK154&lt;1,"",Main!AK154)</f>
        <v/>
      </c>
      <c r="H153" s="259" t="str">
        <f>Main!Y154</f>
        <v>Senior Recruiter</v>
      </c>
      <c r="I153" s="259" t="str">
        <f>Main!Z154</f>
        <v>Level 1</v>
      </c>
      <c r="J153" s="259">
        <f>IF(Main!A154&lt;1,"",Main!A154)</f>
        <v>189</v>
      </c>
      <c r="K153" s="260">
        <f>IF(Main!AN154&gt;0,Main!AN154,"")</f>
        <v>31117</v>
      </c>
      <c r="L153" s="258" t="str">
        <f>IF(Main!Q154&gt;0,Main!Q154,"")</f>
        <v>simplyjohn11@yahoo.com.ph</v>
      </c>
      <c r="M153" s="410">
        <f>VALUE(IF(Main!S154&gt;0,Main!S154,""))</f>
        <v>9351053610</v>
      </c>
      <c r="N153" s="261" t="str">
        <f>Main!T154</f>
        <v/>
      </c>
      <c r="O153" s="258" t="str">
        <f>IF(Main!AO154&gt;0,Main!AO154,"")</f>
        <v>1609 Main St Paco Manila</v>
      </c>
      <c r="P153" s="258" t="str">
        <f>IF(Main!AP154&gt;0,Main!AP154,"")</f>
        <v>1609 Main St Paco Manila</v>
      </c>
      <c r="Q153" s="258" t="str">
        <f>IF(Main!AR154&gt;0,Main!AR154,"")</f>
        <v>Single</v>
      </c>
      <c r="R153" s="259" t="str">
        <f>IF(Main!AQ154&gt;0,Main!AQ154,"")</f>
        <v>Male</v>
      </c>
      <c r="S153" s="259" t="str">
        <f>IF(Main!BD154&gt;0,Main!BD154,"")</f>
        <v>33-9842379-4</v>
      </c>
      <c r="T153" s="259" t="str">
        <f>IF(Main!AX154&gt;0,Main!AX154,"")</f>
        <v>257-610-140</v>
      </c>
      <c r="U153" s="259" t="str">
        <f>IF(Main!BH154&gt;0,Main!BH154,"")</f>
        <v>01-050637296-3</v>
      </c>
      <c r="V153" s="268" t="str">
        <f>IF(Main!BF154&gt;0,Main!BF154,"")</f>
        <v>1210-5498-7593</v>
      </c>
      <c r="W153" s="263">
        <f>IF(Main!BS154&gt;0,Main!BS154,"")</f>
        <v>42088</v>
      </c>
      <c r="X153" s="263">
        <f>IF(Main!BT154&gt;0,Main!BT154,"")</f>
        <v>42088</v>
      </c>
      <c r="Y153" s="263">
        <f>IF(Main!BU154&gt;0,Main!BU154,"")</f>
        <v>42088</v>
      </c>
      <c r="Z153" s="263">
        <f>IF(Main!AS154&gt;0,Main!AS154,"")</f>
        <v>42090</v>
      </c>
      <c r="AA153" s="263">
        <f>IF(Main!BJ154&gt;0,Main!BJ154,"")</f>
        <v>42090</v>
      </c>
      <c r="AB153" s="263">
        <f>IF(Main!BC154&gt;0,Main!BC154,"")</f>
        <v>42090</v>
      </c>
      <c r="AC153" s="263">
        <f>IF(Main!AW154&gt;0,Main!AW154,"")</f>
        <v>42090</v>
      </c>
      <c r="AD153" s="263">
        <f>IF(Main!BG154&gt;0,Main!BG154,"")</f>
        <v>42090</v>
      </c>
      <c r="AE153" s="263">
        <f>IF(Main!BE154&gt;0,Main!BE154,"")</f>
        <v>42090</v>
      </c>
      <c r="AF153" s="263">
        <f>IF(Main!BM154&gt;0,Main!BM154,"")</f>
        <v>42090</v>
      </c>
      <c r="AG153" s="263" t="str">
        <f>IF(Main!BN154&gt;0,Main!BN154,"")</f>
        <v/>
      </c>
      <c r="AH153" s="263" t="str">
        <f>IF(Main!BO154&gt;0,Main!BO154,"")</f>
        <v/>
      </c>
      <c r="AI153" s="263">
        <f>IF(Main!BR154&gt;0,Main!BR154,"")</f>
        <v>42090</v>
      </c>
      <c r="AJ153" s="263">
        <f>IF(Main!BQ154&gt;0,Main!BQ154,"")</f>
        <v>42090</v>
      </c>
      <c r="AK153" s="263">
        <f>IF(Main!AV154&gt;0,Main!AV154,"")</f>
        <v>42084</v>
      </c>
      <c r="AL153" s="263">
        <f>IF(Main!AU154&gt;0,Main!AU154,"")</f>
        <v>42084</v>
      </c>
      <c r="AM153" s="263">
        <f>IF(Main!AT154&gt;0,Main!AT154,"")</f>
        <v>42084</v>
      </c>
      <c r="AN153" s="259" t="str">
        <f>Main!BW154</f>
        <v xml:space="preserve">2305 (for processing) 3/27/2015, </v>
      </c>
    </row>
    <row r="154" spans="1:40" x14ac:dyDescent="0.25">
      <c r="A154" s="258">
        <f>Main!C155</f>
        <v>1082371</v>
      </c>
      <c r="B154" s="259" t="str">
        <f>Main!D155</f>
        <v>Macam, Cathlaine Olegario</v>
      </c>
      <c r="C154" s="259" t="str">
        <f>Main!AH155</f>
        <v>Probationary</v>
      </c>
      <c r="D154" s="260">
        <f>Main!B155</f>
        <v>42086</v>
      </c>
      <c r="E154" s="260" t="str">
        <f>IF(Main!AI155&lt;1,"",Main!AI155)</f>
        <v>Jobstreet</v>
      </c>
      <c r="F154" s="260" t="str">
        <f>IF(Main!AJ155&lt;1,"",Main!AJ155)</f>
        <v/>
      </c>
      <c r="G154" s="260" t="str">
        <f>IF(Main!AK155&lt;1,"",Main!AK155)</f>
        <v/>
      </c>
      <c r="H154" s="259" t="str">
        <f>Main!Y155</f>
        <v>Senior Recruiter</v>
      </c>
      <c r="I154" s="259" t="str">
        <f>Main!Z155</f>
        <v>Level 1</v>
      </c>
      <c r="J154" s="259">
        <f>IF(Main!A155&lt;1,"",Main!A155)</f>
        <v>189</v>
      </c>
      <c r="K154" s="260">
        <f>IF(Main!AN155&gt;0,Main!AN155,"")</f>
        <v>33675</v>
      </c>
      <c r="L154" s="258" t="str">
        <f>IF(Main!Q155&gt;0,Main!Q155,"")</f>
        <v>macamcathlaine@yahoo.com</v>
      </c>
      <c r="M154" s="410">
        <f>VALUE(IF(Main!S155&gt;0,Main!S155,""))</f>
        <v>9166633005</v>
      </c>
      <c r="N154" s="261" t="str">
        <f>Main!T155</f>
        <v/>
      </c>
      <c r="O154" s="258" t="str">
        <f>IF(Main!AO155&gt;0,Main!AO155,"")</f>
        <v>120 Pio St. Marulas, Valenzuela</v>
      </c>
      <c r="P154" s="258" t="str">
        <f>IF(Main!AP155&gt;0,Main!AP155,"")</f>
        <v/>
      </c>
      <c r="Q154" s="258" t="str">
        <f>IF(Main!AR155&gt;0,Main!AR155,"")</f>
        <v>Single</v>
      </c>
      <c r="R154" s="259" t="str">
        <f>IF(Main!AQ155&gt;0,Main!AQ155,"")</f>
        <v>Female</v>
      </c>
      <c r="S154" s="259" t="str">
        <f>IF(Main!BD155&gt;0,Main!BD155,"")</f>
        <v>34-1517344-8</v>
      </c>
      <c r="T154" s="259" t="str">
        <f>IF(Main!AX155&gt;0,Main!AX155,"")</f>
        <v>315-254-414</v>
      </c>
      <c r="U154" s="259" t="str">
        <f>IF(Main!BH155&gt;0,Main!BH155,"")</f>
        <v>02-050666554-0</v>
      </c>
      <c r="V154" s="268" t="str">
        <f>IF(Main!BF155&gt;0,Main!BF155,"")</f>
        <v/>
      </c>
      <c r="W154" s="263">
        <f>IF(Main!BS155&gt;0,Main!BS155,"")</f>
        <v>42088</v>
      </c>
      <c r="X154" s="263">
        <f>IF(Main!BT155&gt;0,Main!BT155,"")</f>
        <v>42088</v>
      </c>
      <c r="Y154" s="263">
        <f>IF(Main!BU155&gt;0,Main!BU155,"")</f>
        <v>42088</v>
      </c>
      <c r="Z154" s="263">
        <f>IF(Main!AS155&gt;0,Main!AS155,"")</f>
        <v>42102</v>
      </c>
      <c r="AA154" s="263" t="str">
        <f>IF(Main!BJ155&gt;0,Main!BJ155,"")</f>
        <v/>
      </c>
      <c r="AB154" s="263">
        <f>IF(Main!BC155&gt;0,Main!BC155,"")</f>
        <v>42102</v>
      </c>
      <c r="AC154" s="263">
        <f>IF(Main!AW155&gt;0,Main!AW155,"")</f>
        <v>42102</v>
      </c>
      <c r="AD154" s="263">
        <f>IF(Main!BG155&gt;0,Main!BG155,"")</f>
        <v>42102</v>
      </c>
      <c r="AE154" s="263" t="str">
        <f>IF(Main!BE155&gt;0,Main!BE155,"")</f>
        <v/>
      </c>
      <c r="AF154" s="263">
        <f>IF(Main!BM155&gt;0,Main!BM155,"")</f>
        <v>42102</v>
      </c>
      <c r="AG154" s="263" t="str">
        <f>IF(Main!BN155&gt;0,Main!BN155,"")</f>
        <v/>
      </c>
      <c r="AH154" s="263">
        <f>IF(Main!BO155&gt;0,Main!BO155,"")</f>
        <v>42102</v>
      </c>
      <c r="AI154" s="263" t="str">
        <f>IF(Main!BR155&gt;0,Main!BR155,"")</f>
        <v/>
      </c>
      <c r="AJ154" s="263">
        <f>IF(Main!BQ155&gt;0,Main!BQ155,"")</f>
        <v>42102</v>
      </c>
      <c r="AK154" s="263">
        <f>IF(Main!AV155&gt;0,Main!AV155,"")</f>
        <v>42088</v>
      </c>
      <c r="AL154" s="263">
        <f>IF(Main!AU155&gt;0,Main!AU155,"")</f>
        <v>42107</v>
      </c>
      <c r="AM154" s="263">
        <f>IF(Main!AT155&gt;0,Main!AT155,"")</f>
        <v>42102</v>
      </c>
      <c r="AN154" s="259" t="str">
        <f>Main!BW155</f>
        <v xml:space="preserve">MDR 4/8/2015, </v>
      </c>
    </row>
    <row r="155" spans="1:40" x14ac:dyDescent="0.25">
      <c r="A155" s="258">
        <f>Main!C156</f>
        <v>1082372</v>
      </c>
      <c r="B155" s="259" t="str">
        <f>Main!D156</f>
        <v>Mañgaliag, Reychelle Castillo</v>
      </c>
      <c r="C155" s="259" t="str">
        <f>Main!AH156</f>
        <v>Probationary</v>
      </c>
      <c r="D155" s="260">
        <f>Main!B156</f>
        <v>42086</v>
      </c>
      <c r="E155" s="260" t="str">
        <f>IF(Main!AI156&lt;1,"",Main!AI156)</f>
        <v>Jobstreet</v>
      </c>
      <c r="F155" s="260" t="str">
        <f>IF(Main!AJ156&lt;1,"",Main!AJ156)</f>
        <v/>
      </c>
      <c r="G155" s="260" t="str">
        <f>IF(Main!AK156&lt;1,"",Main!AK156)</f>
        <v/>
      </c>
      <c r="H155" s="259" t="str">
        <f>Main!Y156</f>
        <v>Senior Recruiter</v>
      </c>
      <c r="I155" s="259" t="str">
        <f>Main!Z156</f>
        <v>Level 1</v>
      </c>
      <c r="J155" s="259">
        <f>IF(Main!A156&lt;1,"",Main!A156)</f>
        <v>189</v>
      </c>
      <c r="K155" s="260">
        <f>IF(Main!AN156&gt;0,Main!AN156,"")</f>
        <v>31638</v>
      </c>
      <c r="L155" s="258" t="str">
        <f>IF(Main!Q156&gt;0,Main!Q156,"")</f>
        <v>ladyreign14@gmail.com</v>
      </c>
      <c r="M155" s="410">
        <f>VALUE(IF(Main!S156&gt;0,Main!S156,""))</f>
        <v>9179514319</v>
      </c>
      <c r="N155" s="261" t="str">
        <f>Main!T156</f>
        <v/>
      </c>
      <c r="O155" s="258" t="str">
        <f>IF(Main!AO156&gt;0,Main!AO156,"")</f>
        <v>12  Mt. Rainier St. Filinvest Homes 1 Batasan Hills, Quezon City</v>
      </c>
      <c r="P155" s="258" t="str">
        <f>IF(Main!AP156&gt;0,Main!AP156,"")</f>
        <v>12  Mt. Rainier St. Filinvest Homes 1 Batasan Hills, Quezon City</v>
      </c>
      <c r="Q155" s="258" t="str">
        <f>IF(Main!AR156&gt;0,Main!AR156,"")</f>
        <v>Single</v>
      </c>
      <c r="R155" s="259" t="str">
        <f>IF(Main!AQ156&gt;0,Main!AQ156,"")</f>
        <v>Female</v>
      </c>
      <c r="S155" s="259" t="str">
        <f>IF(Main!BD156&gt;0,Main!BD156,"")</f>
        <v>34-1300652-0</v>
      </c>
      <c r="T155" s="259" t="str">
        <f>IF(Main!AX156&gt;0,Main!AX156,"")</f>
        <v>265-724-810</v>
      </c>
      <c r="U155" s="259" t="str">
        <f>IF(Main!BH156&gt;0,Main!BH156,"")</f>
        <v>01-050619177-2</v>
      </c>
      <c r="V155" s="268" t="str">
        <f>IF(Main!BF156&gt;0,Main!BF156,"")</f>
        <v>1210-3574-3919</v>
      </c>
      <c r="W155" s="263">
        <f>IF(Main!BS156&gt;0,Main!BS156,"")</f>
        <v>42088</v>
      </c>
      <c r="X155" s="263">
        <f>IF(Main!BT156&gt;0,Main!BT156,"")</f>
        <v>42088</v>
      </c>
      <c r="Y155" s="263">
        <f>IF(Main!BU156&gt;0,Main!BU156,"")</f>
        <v>42088</v>
      </c>
      <c r="Z155" s="263">
        <f>IF(Main!AS156&gt;0,Main!AS156,"")</f>
        <v>42090</v>
      </c>
      <c r="AA155" s="263">
        <f>IF(Main!BJ156&gt;0,Main!BJ156,"")</f>
        <v>42090</v>
      </c>
      <c r="AB155" s="263">
        <f>IF(Main!BC156&gt;0,Main!BC156,"")</f>
        <v>42090</v>
      </c>
      <c r="AC155" s="263">
        <f>IF(Main!AW156&gt;0,Main!AW156,"")</f>
        <v>42087</v>
      </c>
      <c r="AD155" s="263">
        <f>IF(Main!BG156&gt;0,Main!BG156,"")</f>
        <v>42090</v>
      </c>
      <c r="AE155" s="263">
        <f>IF(Main!BE156&gt;0,Main!BE156,"")</f>
        <v>42090</v>
      </c>
      <c r="AF155" s="263">
        <f>IF(Main!BM156&gt;0,Main!BM156,"")</f>
        <v>42090</v>
      </c>
      <c r="AG155" s="263" t="str">
        <f>IF(Main!BN156&gt;0,Main!BN156,"")</f>
        <v/>
      </c>
      <c r="AH155" s="263" t="str">
        <f>IF(Main!BO156&gt;0,Main!BO156,"")</f>
        <v/>
      </c>
      <c r="AI155" s="263" t="str">
        <f>IF(Main!BR156&gt;0,Main!BR156,"")</f>
        <v/>
      </c>
      <c r="AJ155" s="263">
        <f>IF(Main!BQ156&gt;0,Main!BQ156,"")</f>
        <v>42090</v>
      </c>
      <c r="AK155" s="263">
        <f>IF(Main!AV156&gt;0,Main!AV156,"")</f>
        <v>42088</v>
      </c>
      <c r="AL155" s="263">
        <f>IF(Main!AU156&gt;0,Main!AU156,"")</f>
        <v>42084</v>
      </c>
      <c r="AM155" s="263">
        <f>IF(Main!AT156&gt;0,Main!AT156,"")</f>
        <v>42084</v>
      </c>
      <c r="AN155" s="259" t="str">
        <f>Main!BW156</f>
        <v xml:space="preserve">2305 3/21/2015, MDR 3/27/2015, </v>
      </c>
    </row>
    <row r="156" spans="1:40" x14ac:dyDescent="0.25">
      <c r="A156" s="258">
        <f>Main!C157</f>
        <v>1082373</v>
      </c>
      <c r="B156" s="259" t="str">
        <f>Main!D157</f>
        <v>Pascasio, Sherwin Romel Francisco</v>
      </c>
      <c r="C156" s="259" t="str">
        <f>Main!AH157</f>
        <v>Probationary</v>
      </c>
      <c r="D156" s="260">
        <f>Main!B157</f>
        <v>42086</v>
      </c>
      <c r="E156" s="260" t="str">
        <f>IF(Main!AI157&lt;1,"",Main!AI157)</f>
        <v>Jobstreet</v>
      </c>
      <c r="F156" s="260" t="str">
        <f>IF(Main!AJ157&lt;1,"",Main!AJ157)</f>
        <v/>
      </c>
      <c r="G156" s="260" t="str">
        <f>IF(Main!AK157&lt;1,"",Main!AK157)</f>
        <v/>
      </c>
      <c r="H156" s="259" t="str">
        <f>Main!Y157</f>
        <v>Senior Recruiter</v>
      </c>
      <c r="I156" s="259" t="str">
        <f>Main!Z157</f>
        <v>Level 1</v>
      </c>
      <c r="J156" s="259">
        <f>IF(Main!A157&lt;1,"",Main!A157)</f>
        <v>189</v>
      </c>
      <c r="K156" s="260">
        <f>IF(Main!AN157&gt;0,Main!AN157,"")</f>
        <v>33639</v>
      </c>
      <c r="L156" s="258" t="str">
        <f>IF(Main!Q157&gt;0,Main!Q157,"")</f>
        <v>sfpascasio@gmail.com</v>
      </c>
      <c r="M156" s="410">
        <f>VALUE(IF(Main!S157&gt;0,Main!S157,""))</f>
        <v>9771924290</v>
      </c>
      <c r="N156" s="261" t="str">
        <f>Main!T157</f>
        <v/>
      </c>
      <c r="O156" s="258" t="str">
        <f>IF(Main!AO157&gt;0,Main!AO157,"")</f>
        <v>B5 L9 Tulip St. Lupang Biyaya, West Fairview, Quezon City</v>
      </c>
      <c r="P156" s="258" t="str">
        <f>IF(Main!AP157&gt;0,Main!AP157,"")</f>
        <v>B5 L9 Tulip St. Lupang Biyaya, West Fairview, Quezon City</v>
      </c>
      <c r="Q156" s="258" t="str">
        <f>IF(Main!AR157&gt;0,Main!AR157,"")</f>
        <v>Single</v>
      </c>
      <c r="R156" s="259" t="str">
        <f>IF(Main!AQ157&gt;0,Main!AQ157,"")</f>
        <v>Male</v>
      </c>
      <c r="S156" s="259" t="str">
        <f>IF(Main!BD157&gt;0,Main!BD157,"")</f>
        <v/>
      </c>
      <c r="T156" s="259" t="str">
        <f>IF(Main!AX157&gt;0,Main!AX157,"")</f>
        <v/>
      </c>
      <c r="U156" s="259" t="str">
        <f>IF(Main!BH157&gt;0,Main!BH157,"")</f>
        <v>03-050964239-3</v>
      </c>
      <c r="V156" s="268" t="str">
        <f>IF(Main!BF157&gt;0,Main!BF157,"")</f>
        <v/>
      </c>
      <c r="W156" s="263">
        <f>IF(Main!BS157&gt;0,Main!BS157,"")</f>
        <v>42088</v>
      </c>
      <c r="X156" s="263">
        <f>IF(Main!BT157&gt;0,Main!BT157,"")</f>
        <v>42088</v>
      </c>
      <c r="Y156" s="263">
        <f>IF(Main!BU157&gt;0,Main!BU157,"")</f>
        <v>42088</v>
      </c>
      <c r="Z156" s="263">
        <f>IF(Main!AS157&gt;0,Main!AS157,"")</f>
        <v>42090</v>
      </c>
      <c r="AA156" s="263" t="str">
        <f>IF(Main!BJ157&gt;0,Main!BJ157,"")</f>
        <v/>
      </c>
      <c r="AB156" s="263" t="str">
        <f>IF(Main!BC157&gt;0,Main!BC157,"")</f>
        <v/>
      </c>
      <c r="AC156" s="263" t="str">
        <f>IF(Main!AW157&gt;0,Main!AW157,"")</f>
        <v/>
      </c>
      <c r="AD156" s="263">
        <f>IF(Main!BG157&gt;0,Main!BG157,"")</f>
        <v>42090</v>
      </c>
      <c r="AE156" s="263" t="str">
        <f>IF(Main!BE157&gt;0,Main!BE157,"")</f>
        <v/>
      </c>
      <c r="AF156" s="263">
        <f>IF(Main!BM157&gt;0,Main!BM157,"")</f>
        <v>42090</v>
      </c>
      <c r="AG156" s="263" t="str">
        <f>IF(Main!BN157&gt;0,Main!BN157,"")</f>
        <v/>
      </c>
      <c r="AH156" s="263" t="str">
        <f>IF(Main!BO157&gt;0,Main!BO157,"")</f>
        <v/>
      </c>
      <c r="AI156" s="263">
        <f>IF(Main!BR157&gt;0,Main!BR157,"")</f>
        <v>42090</v>
      </c>
      <c r="AJ156" s="263">
        <f>IF(Main!BQ157&gt;0,Main!BQ157,"")</f>
        <v>42090</v>
      </c>
      <c r="AK156" s="263">
        <f>IF(Main!AV157&gt;0,Main!AV157,"")</f>
        <v>42088</v>
      </c>
      <c r="AL156" s="263">
        <f>IF(Main!AU157&gt;0,Main!AU157,"")</f>
        <v>42084</v>
      </c>
      <c r="AM156" s="263">
        <f>IF(Main!AT157&gt;0,Main!AT157,"")</f>
        <v>42084</v>
      </c>
      <c r="AN156" s="259" t="str">
        <f>Main!BW157</f>
        <v xml:space="preserve">2305 (for processing) 3/27/2015, MDR 3/27/2015, </v>
      </c>
    </row>
    <row r="157" spans="1:40" x14ac:dyDescent="0.25">
      <c r="A157" s="258">
        <f>Main!C158</f>
        <v>1082374</v>
      </c>
      <c r="B157" s="259" t="str">
        <f>Main!D158</f>
        <v>Oliver, Janet Palmes</v>
      </c>
      <c r="C157" s="259" t="str">
        <f>Main!AH158</f>
        <v>Probationary</v>
      </c>
      <c r="D157" s="260">
        <f>Main!B158</f>
        <v>42086</v>
      </c>
      <c r="E157" s="260" t="str">
        <f>IF(Main!AI158&lt;1,"",Main!AI158)</f>
        <v>K-Search</v>
      </c>
      <c r="F157" s="260" t="str">
        <f>IF(Main!AJ158&lt;1,"",Main!AJ158)</f>
        <v/>
      </c>
      <c r="G157" s="260" t="str">
        <f>IF(Main!AK158&lt;1,"",Main!AK158)</f>
        <v/>
      </c>
      <c r="H157" s="259" t="str">
        <f>Main!Y158</f>
        <v>Senior Recruiter</v>
      </c>
      <c r="I157" s="259" t="str">
        <f>Main!Z158</f>
        <v>Level 2</v>
      </c>
      <c r="J157" s="259">
        <f>IF(Main!A158&lt;1,"",Main!A158)</f>
        <v>189</v>
      </c>
      <c r="K157" s="260">
        <f>IF(Main!AN158&gt;0,Main!AN158,"")</f>
        <v>31536</v>
      </c>
      <c r="L157" s="258" t="str">
        <f>IF(Main!Q158&gt;0,Main!Q158,"")</f>
        <v/>
      </c>
      <c r="M157" s="410">
        <f>VALUE(IF(Main!S158&gt;0,Main!S158,""))</f>
        <v>9178718056</v>
      </c>
      <c r="N157" s="261" t="str">
        <f>Main!T158</f>
        <v/>
      </c>
      <c r="O157" s="258" t="str">
        <f>IF(Main!AO158&gt;0,Main!AO158,"")</f>
        <v>Milagrosa St Daang Amaya I Tanza Cavite</v>
      </c>
      <c r="P157" s="258" t="str">
        <f>IF(Main!AP158&gt;0,Main!AP158,"")</f>
        <v>Blk 1 Lot 9 Galapmai Village Muzon San Jose Del Monte Bulacan</v>
      </c>
      <c r="Q157" s="258" t="str">
        <f>IF(Main!AR158&gt;0,Main!AR158,"")</f>
        <v>Single</v>
      </c>
      <c r="R157" s="259" t="str">
        <f>IF(Main!AQ158&gt;0,Main!AQ158,"")</f>
        <v>Female</v>
      </c>
      <c r="S157" s="259" t="str">
        <f>IF(Main!BD158&gt;0,Main!BD158,"")</f>
        <v>34-1862498-1</v>
      </c>
      <c r="T157" s="259" t="str">
        <f>IF(Main!AX158&gt;0,Main!AX158,"")</f>
        <v>286-418-043</v>
      </c>
      <c r="U157" s="259" t="str">
        <f>IF(Main!BH158&gt;0,Main!BH158,"")</f>
        <v>01-050829778-0</v>
      </c>
      <c r="V157" s="268" t="str">
        <f>IF(Main!BF158&gt;0,Main!BF158,"")</f>
        <v>1210-2834-6823</v>
      </c>
      <c r="W157" s="263">
        <f>IF(Main!BS158&gt;0,Main!BS158,"")</f>
        <v>42088</v>
      </c>
      <c r="X157" s="263">
        <f>IF(Main!BT158&gt;0,Main!BT158,"")</f>
        <v>42088</v>
      </c>
      <c r="Y157" s="263">
        <f>IF(Main!BU158&gt;0,Main!BU158,"")</f>
        <v>42088</v>
      </c>
      <c r="Z157" s="263">
        <f>IF(Main!AS158&gt;0,Main!AS158,"")</f>
        <v>42118</v>
      </c>
      <c r="AA157" s="263">
        <f>IF(Main!BJ158&gt;0,Main!BJ158,"")</f>
        <v>42102</v>
      </c>
      <c r="AB157" s="263">
        <f>IF(Main!BC158&gt;0,Main!BC158,"")</f>
        <v>42102</v>
      </c>
      <c r="AC157" s="263">
        <f>IF(Main!AW158&gt;0,Main!AW158,"")</f>
        <v>42102</v>
      </c>
      <c r="AD157" s="263">
        <f>IF(Main!BG158&gt;0,Main!BG158,"")</f>
        <v>42090</v>
      </c>
      <c r="AE157" s="263">
        <f>IF(Main!BE158&gt;0,Main!BE158,"")</f>
        <v>42090</v>
      </c>
      <c r="AF157" s="263">
        <f>IF(Main!BM158&gt;0,Main!BM158,"")</f>
        <v>42090</v>
      </c>
      <c r="AG157" s="263" t="str">
        <f>IF(Main!BN158&gt;0,Main!BN158,"")</f>
        <v/>
      </c>
      <c r="AH157" s="263" t="str">
        <f>IF(Main!BO158&gt;0,Main!BO158,"")</f>
        <v/>
      </c>
      <c r="AI157" s="263" t="str">
        <f>IF(Main!BR158&gt;0,Main!BR158,"")</f>
        <v/>
      </c>
      <c r="AJ157" s="263">
        <f>IF(Main!BQ158&gt;0,Main!BQ158,"")</f>
        <v>42090</v>
      </c>
      <c r="AK157" s="263">
        <f>IF(Main!AV158&gt;0,Main!AV158,"")</f>
        <v>42088</v>
      </c>
      <c r="AL157" s="263">
        <f>IF(Main!AU158&gt;0,Main!AU158,"")</f>
        <v>42084</v>
      </c>
      <c r="AM157" s="263">
        <f>IF(Main!AT158&gt;0,Main!AT158,"")</f>
        <v>42084</v>
      </c>
      <c r="AN157" s="259" t="str">
        <f>Main!BW158</f>
        <v xml:space="preserve">1905 4/8/2015, 2305 4/8/2015, MDR 4/8/2015, </v>
      </c>
    </row>
    <row r="158" spans="1:40" x14ac:dyDescent="0.25">
      <c r="A158" s="258">
        <f>Main!C159</f>
        <v>1082375</v>
      </c>
      <c r="B158" s="259" t="str">
        <f>Main!D159</f>
        <v>Rosal, Carlo Nathaniel Lagarto</v>
      </c>
      <c r="C158" s="259" t="str">
        <f>Main!AH159</f>
        <v>Probationary</v>
      </c>
      <c r="D158" s="260">
        <f>Main!B159</f>
        <v>42086</v>
      </c>
      <c r="E158" s="260" t="str">
        <f>IF(Main!AI159&lt;1,"",Main!AI159)</f>
        <v>Jobstreet</v>
      </c>
      <c r="F158" s="260" t="str">
        <f>IF(Main!AJ159&lt;1,"",Main!AJ159)</f>
        <v/>
      </c>
      <c r="G158" s="260" t="str">
        <f>IF(Main!AK159&lt;1,"",Main!AK159)</f>
        <v/>
      </c>
      <c r="H158" s="259" t="str">
        <f>Main!Y159</f>
        <v>Senior Recruiter</v>
      </c>
      <c r="I158" s="259" t="str">
        <f>Main!Z159</f>
        <v>Level 2</v>
      </c>
      <c r="J158" s="259">
        <f>IF(Main!A159&lt;1,"",Main!A159)</f>
        <v>189</v>
      </c>
      <c r="K158" s="260">
        <f>IF(Main!AN159&gt;0,Main!AN159,"")</f>
        <v>33700</v>
      </c>
      <c r="L158" s="258" t="str">
        <f>IF(Main!Q159&gt;0,Main!Q159,"")</f>
        <v>nathaniel040692@hotmail.com</v>
      </c>
      <c r="M158" s="410">
        <f>VALUE(IF(Main!S159&gt;0,Main!S159,""))</f>
        <v>9092749704</v>
      </c>
      <c r="N158" s="261" t="str">
        <f>Main!T159</f>
        <v/>
      </c>
      <c r="O158" s="258" t="str">
        <f>IF(Main!AO159&gt;0,Main!AO159,"")</f>
        <v>2377 Antipolo St. Guadalupe Nuevo, Makati</v>
      </c>
      <c r="P158" s="258" t="str">
        <f>IF(Main!AP159&gt;0,Main!AP159,"")</f>
        <v>Blk 7 Lot 21 Purok Pagaida-et, Phase VI-A Brgy Handumanan, Bacolod</v>
      </c>
      <c r="Q158" s="258" t="str">
        <f>IF(Main!AR159&gt;0,Main!AR159,"")</f>
        <v>Single</v>
      </c>
      <c r="R158" s="259" t="str">
        <f>IF(Main!AQ159&gt;0,Main!AQ159,"")</f>
        <v>Male</v>
      </c>
      <c r="S158" s="259" t="str">
        <f>IF(Main!BD159&gt;0,Main!BD159,"")</f>
        <v>07-2803147-4</v>
      </c>
      <c r="T158" s="259" t="str">
        <f>IF(Main!AX159&gt;0,Main!AX159,"")</f>
        <v>430-983-457</v>
      </c>
      <c r="U158" s="259" t="str">
        <f>IF(Main!BH159&gt;0,Main!BH159,"")</f>
        <v>11-050586891-9</v>
      </c>
      <c r="V158" s="268" t="str">
        <f>IF(Main!BF159&gt;0,Main!BF159,"")</f>
        <v>1210-7880-7591</v>
      </c>
      <c r="W158" s="263">
        <f>IF(Main!BS159&gt;0,Main!BS159,"")</f>
        <v>42088</v>
      </c>
      <c r="X158" s="263">
        <f>IF(Main!BT159&gt;0,Main!BT159,"")</f>
        <v>42088</v>
      </c>
      <c r="Y158" s="263">
        <f>IF(Main!BU159&gt;0,Main!BU159,"")</f>
        <v>42088</v>
      </c>
      <c r="Z158" s="263">
        <f>IF(Main!AS159&gt;0,Main!AS159,"")</f>
        <v>42090</v>
      </c>
      <c r="AA158" s="263">
        <f>IF(Main!BJ159&gt;0,Main!BJ159,"")</f>
        <v>42090</v>
      </c>
      <c r="AB158" s="263">
        <f>IF(Main!BC159&gt;0,Main!BC159,"")</f>
        <v>42102</v>
      </c>
      <c r="AC158" s="263">
        <f>IF(Main!AW159&gt;0,Main!AW159,"")</f>
        <v>42090</v>
      </c>
      <c r="AD158" s="263">
        <f>IF(Main!BG159&gt;0,Main!BG159,"")</f>
        <v>42090</v>
      </c>
      <c r="AE158" s="263">
        <f>IF(Main!BE159&gt;0,Main!BE159,"")</f>
        <v>42102</v>
      </c>
      <c r="AF158" s="263">
        <f>IF(Main!BM159&gt;0,Main!BM159,"")</f>
        <v>42104</v>
      </c>
      <c r="AG158" s="263" t="str">
        <f>IF(Main!BN159&gt;0,Main!BN159,"")</f>
        <v/>
      </c>
      <c r="AH158" s="263" t="str">
        <f>IF(Main!BO159&gt;0,Main!BO159,"")</f>
        <v/>
      </c>
      <c r="AI158" s="263" t="str">
        <f>IF(Main!BR159&gt;0,Main!BR159,"")</f>
        <v/>
      </c>
      <c r="AJ158" s="263" t="str">
        <f>IF(Main!BQ159&gt;0,Main!BQ159,"")</f>
        <v/>
      </c>
      <c r="AK158" s="263">
        <f>IF(Main!AV159&gt;0,Main!AV159,"")</f>
        <v>42088</v>
      </c>
      <c r="AL158" s="263">
        <f>IF(Main!AU159&gt;0,Main!AU159,"")</f>
        <v>42084</v>
      </c>
      <c r="AM158" s="263">
        <f>IF(Main!AT159&gt;0,Main!AT159,"")</f>
        <v>42084</v>
      </c>
      <c r="AN158" s="259" t="str">
        <f>Main!BW159</f>
        <v xml:space="preserve">2305 3/21/2015, MDR 3/27/2015, </v>
      </c>
    </row>
    <row r="159" spans="1:40" x14ac:dyDescent="0.25">
      <c r="A159" s="258">
        <f>Main!C160</f>
        <v>1082376</v>
      </c>
      <c r="B159" s="259" t="str">
        <f>Main!D160</f>
        <v>Siquian, Paula Camille Quiazon</v>
      </c>
      <c r="C159" s="259" t="str">
        <f>Main!AH160</f>
        <v>Probationary</v>
      </c>
      <c r="D159" s="260">
        <f>Main!B160</f>
        <v>42087</v>
      </c>
      <c r="E159" s="260" t="str">
        <f>IF(Main!AI160&lt;1,"",Main!AI160)</f>
        <v>Jobstreet</v>
      </c>
      <c r="F159" s="260" t="str">
        <f>IF(Main!AJ160&lt;1,"",Main!AJ160)</f>
        <v/>
      </c>
      <c r="G159" s="260" t="str">
        <f>IF(Main!AK160&lt;1,"",Main!AK160)</f>
        <v/>
      </c>
      <c r="H159" s="259" t="str">
        <f>Main!Y160</f>
        <v>Internal Recruiter</v>
      </c>
      <c r="I159" s="259" t="str">
        <f>Main!Z160</f>
        <v>Level 2</v>
      </c>
      <c r="J159" s="259">
        <f>IF(Main!A160&lt;1,"",Main!A160)</f>
        <v>189</v>
      </c>
      <c r="K159" s="260">
        <f>IF(Main!AN160&gt;0,Main!AN160,"")</f>
        <v>32563</v>
      </c>
      <c r="L159" s="258" t="str">
        <f>IF(Main!Q160&gt;0,Main!Q160,"")</f>
        <v>camillesiquian@gmail.com</v>
      </c>
      <c r="M159" s="410">
        <f>VALUE(IF(Main!S160&gt;0,Main!S160,""))</f>
        <v>9178031624</v>
      </c>
      <c r="N159" s="261" t="str">
        <f>Main!T160</f>
        <v/>
      </c>
      <c r="O159" s="258" t="str">
        <f>IF(Main!AO160&gt;0,Main!AO160,"")</f>
        <v>23 Peru St. Phase 1, Greenheights Subd. Concepcion Uno Marikina</v>
      </c>
      <c r="P159" s="258" t="str">
        <f>IF(Main!AP160&gt;0,Main!AP160,"")</f>
        <v>23 Peru St. Phase 1, Greenheights Subd. Concepcion Uno Marikina</v>
      </c>
      <c r="Q159" s="258" t="str">
        <f>IF(Main!AR160&gt;0,Main!AR160,"")</f>
        <v>Single</v>
      </c>
      <c r="R159" s="259" t="str">
        <f>IF(Main!AQ160&gt;0,Main!AQ160,"")</f>
        <v>Female</v>
      </c>
      <c r="S159" s="259" t="str">
        <f>IF(Main!BD160&gt;0,Main!BD160,"")</f>
        <v>34-1894979-2</v>
      </c>
      <c r="T159" s="259" t="str">
        <f>IF(Main!AX160&gt;0,Main!AX160,"")</f>
        <v>400-407-783</v>
      </c>
      <c r="U159" s="259" t="str">
        <f>IF(Main!BH160&gt;0,Main!BH160,"")</f>
        <v>01-051050177-8</v>
      </c>
      <c r="V159" s="268" t="str">
        <f>IF(Main!BF160&gt;0,Main!BF160,"")</f>
        <v>1211-4066-1194</v>
      </c>
      <c r="W159" s="263">
        <f>IF(Main!BS160&gt;0,Main!BS160,"")</f>
        <v>42087</v>
      </c>
      <c r="X159" s="263">
        <f>IF(Main!BT160&gt;0,Main!BT160,"")</f>
        <v>42087</v>
      </c>
      <c r="Y159" s="263">
        <f>IF(Main!BU160&gt;0,Main!BU160,"")</f>
        <v>42087</v>
      </c>
      <c r="Z159" s="263">
        <f>IF(Main!AS160&gt;0,Main!AS160,"")</f>
        <v>42087</v>
      </c>
      <c r="AA159" s="263">
        <f>IF(Main!BJ160&gt;0,Main!BJ160,"")</f>
        <v>42087</v>
      </c>
      <c r="AB159" s="263">
        <f>IF(Main!BC160&gt;0,Main!BC160,"")</f>
        <v>42090</v>
      </c>
      <c r="AC159" s="263">
        <f>IF(Main!AW160&gt;0,Main!AW160,"")</f>
        <v>42088</v>
      </c>
      <c r="AD159" s="263">
        <f>IF(Main!BG160&gt;0,Main!BG160,"")</f>
        <v>42090</v>
      </c>
      <c r="AE159" s="263">
        <f>IF(Main!BE160&gt;0,Main!BE160,"")</f>
        <v>42090</v>
      </c>
      <c r="AF159" s="263">
        <f>IF(Main!BM160&gt;0,Main!BM160,"")</f>
        <v>42087</v>
      </c>
      <c r="AG159" s="263" t="str">
        <f>IF(Main!BN160&gt;0,Main!BN160,"")</f>
        <v/>
      </c>
      <c r="AH159" s="263" t="str">
        <f>IF(Main!BO160&gt;0,Main!BO160,"")</f>
        <v/>
      </c>
      <c r="AI159" s="263">
        <f>IF(Main!BR160&gt;0,Main!BR160,"")</f>
        <v>42087</v>
      </c>
      <c r="AJ159" s="263" t="str">
        <f>IF(Main!BQ160&gt;0,Main!BQ160,"")</f>
        <v/>
      </c>
      <c r="AK159" s="263">
        <f>IF(Main!AV160&gt;0,Main!AV160,"")</f>
        <v>42087</v>
      </c>
      <c r="AL159" s="263">
        <f>IF(Main!AU160&gt;0,Main!AU160,"")</f>
        <v>42087</v>
      </c>
      <c r="AM159" s="263">
        <f>IF(Main!AT160&gt;0,Main!AT160,"")</f>
        <v>42087</v>
      </c>
      <c r="AN159" s="259" t="str">
        <f>Main!BW160</f>
        <v xml:space="preserve">1905 (for processing) 3/25/2015, 2305 (for processing) 4/22/2015, MDR 3/27/2015, </v>
      </c>
    </row>
    <row r="160" spans="1:40" x14ac:dyDescent="0.25">
      <c r="A160" s="258">
        <f>Main!C161</f>
        <v>1082377</v>
      </c>
      <c r="B160" s="259" t="str">
        <f>Main!D161</f>
        <v>Rodriguez, Joshua</v>
      </c>
      <c r="C160" s="259" t="str">
        <f>Main!AH161</f>
        <v>Probationary</v>
      </c>
      <c r="D160" s="260">
        <f>Main!B161</f>
        <v>42087</v>
      </c>
      <c r="E160" s="260" t="str">
        <f>IF(Main!AI161&lt;1,"",Main!AI161)</f>
        <v/>
      </c>
      <c r="F160" s="260" t="str">
        <f>IF(Main!AJ161&lt;1,"",Main!AJ161)</f>
        <v/>
      </c>
      <c r="G160" s="260" t="str">
        <f>IF(Main!AK161&lt;1,"",Main!AK161)</f>
        <v/>
      </c>
      <c r="H160" s="259"/>
      <c r="I160" s="259"/>
      <c r="J160" s="259">
        <f>IF(Main!A161&lt;1,"",Main!A161)</f>
        <v>189</v>
      </c>
      <c r="K160" s="260" t="str">
        <f>IF(Main!AN161&gt;0,Main!AN161,"")</f>
        <v/>
      </c>
      <c r="L160" s="258" t="str">
        <f>IF(Main!Q161&gt;0,Main!Q161,"")</f>
        <v/>
      </c>
      <c r="M160" s="410"/>
      <c r="N160" s="261" t="str">
        <f>Main!T161</f>
        <v/>
      </c>
      <c r="O160" s="258" t="str">
        <f>IF(Main!AO161&gt;0,Main!AO161,"")</f>
        <v/>
      </c>
      <c r="P160" s="258" t="str">
        <f>IF(Main!AP161&gt;0,Main!AP161,"")</f>
        <v/>
      </c>
      <c r="Q160" s="258" t="str">
        <f>IF(Main!AR161&gt;0,Main!AR161,"")</f>
        <v/>
      </c>
      <c r="R160" s="259" t="str">
        <f>IF(Main!AQ161&gt;0,Main!AQ161,"")</f>
        <v/>
      </c>
      <c r="S160" s="259" t="str">
        <f>IF(Main!BD161&gt;0,Main!BD161,"")</f>
        <v/>
      </c>
      <c r="T160" s="259" t="str">
        <f>IF(Main!AX161&gt;0,Main!AX161,"")</f>
        <v/>
      </c>
      <c r="U160" s="259" t="str">
        <f>IF(Main!BH161&gt;0,Main!BH161,"")</f>
        <v/>
      </c>
      <c r="V160" s="268" t="str">
        <f>IF(Main!BF161&gt;0,Main!BF161,"")</f>
        <v/>
      </c>
      <c r="W160" s="263" t="str">
        <f>IF(Main!BS161&gt;0,Main!BS161,"")</f>
        <v/>
      </c>
      <c r="X160" s="263" t="str">
        <f>IF(Main!BT161&gt;0,Main!BT161,"")</f>
        <v/>
      </c>
      <c r="Y160" s="263" t="str">
        <f>IF(Main!BU161&gt;0,Main!BU161,"")</f>
        <v/>
      </c>
      <c r="Z160" s="263" t="str">
        <f>IF(Main!AS161&gt;0,Main!AS161,"")</f>
        <v/>
      </c>
      <c r="AA160" s="263" t="str">
        <f>IF(Main!BJ161&gt;0,Main!BJ161,"")</f>
        <v/>
      </c>
      <c r="AB160" s="263" t="str">
        <f>IF(Main!BC161&gt;0,Main!BC161,"")</f>
        <v/>
      </c>
      <c r="AC160" s="263" t="str">
        <f>IF(Main!AW161&gt;0,Main!AW161,"")</f>
        <v/>
      </c>
      <c r="AD160" s="263" t="str">
        <f>IF(Main!BG161&gt;0,Main!BG161,"")</f>
        <v/>
      </c>
      <c r="AE160" s="263" t="str">
        <f>IF(Main!BE161&gt;0,Main!BE161,"")</f>
        <v/>
      </c>
      <c r="AF160" s="263" t="str">
        <f>IF(Main!BM161&gt;0,Main!BM161,"")</f>
        <v/>
      </c>
      <c r="AG160" s="263" t="str">
        <f>IF(Main!BN161&gt;0,Main!BN161,"")</f>
        <v/>
      </c>
      <c r="AH160" s="263" t="str">
        <f>IF(Main!BO161&gt;0,Main!BO161,"")</f>
        <v/>
      </c>
      <c r="AI160" s="263" t="str">
        <f>IF(Main!BR161&gt;0,Main!BR161,"")</f>
        <v/>
      </c>
      <c r="AJ160" s="263" t="str">
        <f>IF(Main!BQ161&gt;0,Main!BQ161,"")</f>
        <v/>
      </c>
      <c r="AK160" s="263" t="str">
        <f>IF(Main!AV161&gt;0,Main!AV161,"")</f>
        <v/>
      </c>
      <c r="AL160" s="263" t="str">
        <f>IF(Main!AU161&gt;0,Main!AU161,"")</f>
        <v/>
      </c>
      <c r="AM160" s="263" t="str">
        <f>IF(Main!AT161&gt;0,Main!AT161,"")</f>
        <v/>
      </c>
      <c r="AN160" s="259" t="str">
        <f>Main!BW161</f>
        <v/>
      </c>
    </row>
    <row r="161" spans="1:40" x14ac:dyDescent="0.25">
      <c r="A161" s="258">
        <f>Main!C162</f>
        <v>1082378</v>
      </c>
      <c r="B161" s="259" t="str">
        <f>Main!D162</f>
        <v>Dimero, Gracie Angeli Gonzales</v>
      </c>
      <c r="C161" s="259" t="str">
        <f>Main!AH162</f>
        <v>Probationary</v>
      </c>
      <c r="D161" s="260">
        <f>Main!B162</f>
        <v>42093</v>
      </c>
      <c r="E161" s="260" t="str">
        <f>IF(Main!AI162&lt;1,"",Main!AI162)</f>
        <v>Jobstreet</v>
      </c>
      <c r="F161" s="260" t="str">
        <f>IF(Main!AJ162&lt;1,"",Main!AJ162)</f>
        <v/>
      </c>
      <c r="G161" s="260" t="str">
        <f>IF(Main!AK162&lt;1,"",Main!AK162)</f>
        <v/>
      </c>
      <c r="H161" s="259" t="str">
        <f>Main!Y162</f>
        <v>Senior Recruiter</v>
      </c>
      <c r="I161" s="259" t="str">
        <f>Main!Z162</f>
        <v>Level 1</v>
      </c>
      <c r="J161" s="259">
        <f>IF(Main!A162&lt;1,"",Main!A162)</f>
        <v>190</v>
      </c>
      <c r="K161" s="260">
        <f>IF(Main!AN162&gt;0,Main!AN162,"")</f>
        <v>32781</v>
      </c>
      <c r="L161" s="258" t="str">
        <f>IF(Main!Q162&gt;0,Main!Q162,"")</f>
        <v>gracieangeliedimero@gmail.com</v>
      </c>
      <c r="M161" s="410">
        <f>VALUE(IF(Main!S162&gt;0,Main!S162,""))</f>
        <v>9368935707</v>
      </c>
      <c r="N161" s="261" t="str">
        <f>Main!T162</f>
        <v/>
      </c>
      <c r="O161" s="258" t="str">
        <f>IF(Main!AO162&gt;0,Main!AO162,"")</f>
        <v>75 J Pineda St. Brgy Pag-IBIG sa Nayon, Balintawak, Quezon City</v>
      </c>
      <c r="P161" s="258" t="str">
        <f>IF(Main!AP162&gt;0,Main!AP162,"")</f>
        <v>75 J Pineda St. Brgy Pag-IBIG sa Nayon, Balintawak, Quezon City</v>
      </c>
      <c r="Q161" s="258" t="str">
        <f>IF(Main!AR162&gt;0,Main!AR162,"")</f>
        <v>Single</v>
      </c>
      <c r="R161" s="259" t="str">
        <f>IF(Main!AQ162&gt;0,Main!AQ162,"")</f>
        <v>Female</v>
      </c>
      <c r="S161" s="259" t="str">
        <f>IF(Main!BD162&gt;0,Main!BD162,"")</f>
        <v>34-1862682-4</v>
      </c>
      <c r="T161" s="259" t="str">
        <f>IF(Main!AX162&gt;0,Main!AX162,"")</f>
        <v/>
      </c>
      <c r="U161" s="259" t="str">
        <f>IF(Main!BH162&gt;0,Main!BH162,"")</f>
        <v/>
      </c>
      <c r="V161" s="268" t="str">
        <f>IF(Main!BF162&gt;0,Main!BF162,"")</f>
        <v/>
      </c>
      <c r="W161" s="263">
        <f>IF(Main!BS162&gt;0,Main!BS162,"")</f>
        <v>42093</v>
      </c>
      <c r="X161" s="263">
        <f>IF(Main!BT162&gt;0,Main!BT162,"")</f>
        <v>42093</v>
      </c>
      <c r="Y161" s="263">
        <f>IF(Main!BU162&gt;0,Main!BU162,"")</f>
        <v>42093</v>
      </c>
      <c r="Z161" s="263">
        <f>IF(Main!AS162&gt;0,Main!AS162,"")</f>
        <v>42139</v>
      </c>
      <c r="AA161" s="263" t="str">
        <f>IF(Main!BJ162&gt;0,Main!BJ162,"")</f>
        <v/>
      </c>
      <c r="AB161" s="263">
        <f>IF(Main!BC162&gt;0,Main!BC162,"")</f>
        <v>42139</v>
      </c>
      <c r="AC161" s="263" t="str">
        <f>IF(Main!AW162&gt;0,Main!AW162,"")</f>
        <v/>
      </c>
      <c r="AD161" s="263" t="str">
        <f>IF(Main!BG162&gt;0,Main!BG162,"")</f>
        <v/>
      </c>
      <c r="AE161" s="263" t="str">
        <f>IF(Main!BE162&gt;0,Main!BE162,"")</f>
        <v/>
      </c>
      <c r="AF161" s="263">
        <f>IF(Main!BM162&gt;0,Main!BM162,"")</f>
        <v>42139</v>
      </c>
      <c r="AG161" s="263" t="str">
        <f>IF(Main!BN162&gt;0,Main!BN162,"")</f>
        <v/>
      </c>
      <c r="AH161" s="263" t="str">
        <f>IF(Main!BO162&gt;0,Main!BO162,"")</f>
        <v/>
      </c>
      <c r="AI161" s="263" t="str">
        <f>IF(Main!BR162&gt;0,Main!BR162,"")</f>
        <v/>
      </c>
      <c r="AJ161" s="263" t="str">
        <f>IF(Main!BQ162&gt;0,Main!BQ162,"")</f>
        <v/>
      </c>
      <c r="AK161" s="263" t="str">
        <f>IF(Main!AV162&gt;0,Main!AV162,"")</f>
        <v/>
      </c>
      <c r="AL161" s="263">
        <f>IF(Main!AU162&gt;0,Main!AU162,"")</f>
        <v>42091</v>
      </c>
      <c r="AM161" s="263">
        <f>IF(Main!AT162&gt;0,Main!AT162,"")</f>
        <v>42139</v>
      </c>
      <c r="AN161" s="259" t="str">
        <f>Main!BW162</f>
        <v/>
      </c>
    </row>
    <row r="162" spans="1:40" x14ac:dyDescent="0.25">
      <c r="A162" s="258">
        <f>Main!C163</f>
        <v>1082379</v>
      </c>
      <c r="B162" s="259" t="str">
        <f>Main!D163</f>
        <v>Ngaseo, April Ruth Bobis</v>
      </c>
      <c r="C162" s="259" t="str">
        <f>Main!AH163</f>
        <v>Probationary</v>
      </c>
      <c r="D162" s="260">
        <f>Main!B163</f>
        <v>42093</v>
      </c>
      <c r="E162" s="260" t="str">
        <f>IF(Main!AI163&lt;1,"",Main!AI163)</f>
        <v>Jobstreet</v>
      </c>
      <c r="F162" s="260" t="str">
        <f>IF(Main!AJ163&lt;1,"",Main!AJ163)</f>
        <v/>
      </c>
      <c r="G162" s="260" t="str">
        <f>IF(Main!AK163&lt;1,"",Main!AK163)</f>
        <v/>
      </c>
      <c r="H162" s="259" t="str">
        <f>Main!Y163</f>
        <v>Senior Recruiter</v>
      </c>
      <c r="I162" s="259" t="str">
        <f>Main!Z163</f>
        <v>Level 1</v>
      </c>
      <c r="J162" s="259">
        <f>IF(Main!A163&lt;1,"",Main!A163)</f>
        <v>190</v>
      </c>
      <c r="K162" s="260">
        <f>IF(Main!AN163&gt;0,Main!AN163,"")</f>
        <v>32612</v>
      </c>
      <c r="L162" s="258" t="str">
        <f>IF(Main!Q163&gt;0,Main!Q163,"")</f>
        <v>aprilruth@lawyer.com</v>
      </c>
      <c r="M162" s="410">
        <f>VALUE(IF(Main!S163&gt;0,Main!S163,""))</f>
        <v>9277121918</v>
      </c>
      <c r="N162" s="261" t="str">
        <f>Main!T163</f>
        <v/>
      </c>
      <c r="O162" s="258" t="str">
        <f>IF(Main!AO163&gt;0,Main!AO163,"")</f>
        <v/>
      </c>
      <c r="P162" s="258" t="str">
        <f>IF(Main!AP163&gt;0,Main!AP163,"")</f>
        <v/>
      </c>
      <c r="Q162" s="258" t="str">
        <f>IF(Main!AR163&gt;0,Main!AR163,"")</f>
        <v/>
      </c>
      <c r="R162" s="259" t="str">
        <f>IF(Main!AQ163&gt;0,Main!AQ163,"")</f>
        <v/>
      </c>
      <c r="S162" s="259" t="str">
        <f>IF(Main!BD163&gt;0,Main!BD163,"")</f>
        <v/>
      </c>
      <c r="T162" s="259" t="str">
        <f>IF(Main!AX163&gt;0,Main!AX163,"")</f>
        <v/>
      </c>
      <c r="U162" s="259" t="str">
        <f>IF(Main!BH163&gt;0,Main!BH163,"")</f>
        <v/>
      </c>
      <c r="V162" s="268" t="str">
        <f>IF(Main!BF163&gt;0,Main!BF163,"")</f>
        <v/>
      </c>
      <c r="W162" s="263">
        <f>IF(Main!BS163&gt;0,Main!BS163,"")</f>
        <v>42093</v>
      </c>
      <c r="X162" s="263">
        <f>IF(Main!BT163&gt;0,Main!BT163,"")</f>
        <v>42093</v>
      </c>
      <c r="Y162" s="263">
        <f>IF(Main!BU163&gt;0,Main!BU163,"")</f>
        <v>42093</v>
      </c>
      <c r="Z162" s="263" t="str">
        <f>IF(Main!AS163&gt;0,Main!AS163,"")</f>
        <v/>
      </c>
      <c r="AA162" s="263" t="str">
        <f>IF(Main!BJ163&gt;0,Main!BJ163,"")</f>
        <v/>
      </c>
      <c r="AB162" s="263" t="str">
        <f>IF(Main!BC163&gt;0,Main!BC163,"")</f>
        <v/>
      </c>
      <c r="AC162" s="263" t="str">
        <f>IF(Main!AW163&gt;0,Main!AW163,"")</f>
        <v/>
      </c>
      <c r="AD162" s="263" t="str">
        <f>IF(Main!BG163&gt;0,Main!BG163,"")</f>
        <v/>
      </c>
      <c r="AE162" s="263" t="str">
        <f>IF(Main!BE163&gt;0,Main!BE163,"")</f>
        <v/>
      </c>
      <c r="AF162" s="263" t="str">
        <f>IF(Main!BM163&gt;0,Main!BM163,"")</f>
        <v/>
      </c>
      <c r="AG162" s="263" t="str">
        <f>IF(Main!BN163&gt;0,Main!BN163,"")</f>
        <v/>
      </c>
      <c r="AH162" s="263" t="str">
        <f>IF(Main!BO163&gt;0,Main!BO163,"")</f>
        <v/>
      </c>
      <c r="AI162" s="263" t="str">
        <f>IF(Main!BR163&gt;0,Main!BR163,"")</f>
        <v/>
      </c>
      <c r="AJ162" s="263" t="str">
        <f>IF(Main!BQ163&gt;0,Main!BQ163,"")</f>
        <v/>
      </c>
      <c r="AK162" s="263" t="str">
        <f>IF(Main!AV163&gt;0,Main!AV163,"")</f>
        <v/>
      </c>
      <c r="AL162" s="263">
        <f>IF(Main!AU163&gt;0,Main!AU163,"")</f>
        <v>42091</v>
      </c>
      <c r="AM162" s="263" t="str">
        <f>IF(Main!AT163&gt;0,Main!AT163,"")</f>
        <v/>
      </c>
      <c r="AN162" s="259" t="str">
        <f>Main!BW163</f>
        <v/>
      </c>
    </row>
    <row r="163" spans="1:40" x14ac:dyDescent="0.25">
      <c r="A163" s="258">
        <f>Main!C164</f>
        <v>1082380</v>
      </c>
      <c r="B163" s="259" t="str">
        <f>Main!D164</f>
        <v>Rodriguez, Christopher Davocol</v>
      </c>
      <c r="C163" s="259" t="str">
        <f>Main!AH164</f>
        <v>Probationary</v>
      </c>
      <c r="D163" s="260">
        <f>Main!B164</f>
        <v>42093</v>
      </c>
      <c r="E163" s="260" t="str">
        <f>IF(Main!AI164&lt;1,"",Main!AI164)</f>
        <v>Jobstreet</v>
      </c>
      <c r="F163" s="260" t="str">
        <f>IF(Main!AJ164&lt;1,"",Main!AJ164)</f>
        <v/>
      </c>
      <c r="G163" s="260" t="str">
        <f>IF(Main!AK164&lt;1,"",Main!AK164)</f>
        <v/>
      </c>
      <c r="H163" s="259" t="str">
        <f>Main!Y164</f>
        <v>Senior Recruiter</v>
      </c>
      <c r="I163" s="259" t="str">
        <f>Main!Z164</f>
        <v>Level 2</v>
      </c>
      <c r="J163" s="259">
        <f>IF(Main!A164&lt;1,"",Main!A164)</f>
        <v>190</v>
      </c>
      <c r="K163" s="260">
        <f>IF(Main!AN164&gt;0,Main!AN164,"")</f>
        <v>31447</v>
      </c>
      <c r="L163" s="258" t="str">
        <f>IF(Main!Q164&gt;0,Main!Q164,"")</f>
        <v>heylookitscj@gmail.com</v>
      </c>
      <c r="M163" s="410">
        <f>VALUE(IF(Main!S164&gt;0,Main!S164,""))</f>
        <v>9174863263</v>
      </c>
      <c r="N163" s="261" t="str">
        <f>Main!T164</f>
        <v/>
      </c>
      <c r="O163" s="258" t="str">
        <f>IF(Main!AO164&gt;0,Main!AO164,"")</f>
        <v>22 F. Manalo ext. San Juan, Metro Manila</v>
      </c>
      <c r="P163" s="258" t="str">
        <f>IF(Main!AP164&gt;0,Main!AP164,"")</f>
        <v>22 F. Manalo ext. San Juan, Metro Manila</v>
      </c>
      <c r="Q163" s="258" t="str">
        <f>IF(Main!AR164&gt;0,Main!AR164,"")</f>
        <v/>
      </c>
      <c r="R163" s="259" t="str">
        <f>IF(Main!AQ164&gt;0,Main!AQ164,"")</f>
        <v>Male</v>
      </c>
      <c r="S163" s="259" t="str">
        <f>IF(Main!BD164&gt;0,Main!BD164,"")</f>
        <v>33-9881465-9</v>
      </c>
      <c r="T163" s="259" t="str">
        <f>IF(Main!AX164&gt;0,Main!AX164,"")</f>
        <v/>
      </c>
      <c r="U163" s="259" t="str">
        <f>IF(Main!BH164&gt;0,Main!BH164,"")</f>
        <v>02-05113360-9</v>
      </c>
      <c r="V163" s="268" t="str">
        <f>IF(Main!BF164&gt;0,Main!BF164,"")</f>
        <v/>
      </c>
      <c r="W163" s="263">
        <f>IF(Main!BS164&gt;0,Main!BS164,"")</f>
        <v>42093</v>
      </c>
      <c r="X163" s="263">
        <f>IF(Main!BT164&gt;0,Main!BT164,"")</f>
        <v>42093</v>
      </c>
      <c r="Y163" s="263">
        <f>IF(Main!BU164&gt;0,Main!BU164,"")</f>
        <v>42093</v>
      </c>
      <c r="Z163" s="263">
        <f>IF(Main!AS164&gt;0,Main!AS164,"")</f>
        <v>42118</v>
      </c>
      <c r="AA163" s="263" t="str">
        <f>IF(Main!BJ164&gt;0,Main!BJ164,"")</f>
        <v/>
      </c>
      <c r="AB163" s="263">
        <f>IF(Main!BC164&gt;0,Main!BC164,"")</f>
        <v>42124</v>
      </c>
      <c r="AC163" s="263" t="str">
        <f>IF(Main!AW164&gt;0,Main!AW164,"")</f>
        <v/>
      </c>
      <c r="AD163" s="263">
        <f>IF(Main!BG164&gt;0,Main!BG164,"")</f>
        <v>42118</v>
      </c>
      <c r="AE163" s="263" t="str">
        <f>IF(Main!BE164&gt;0,Main!BE164,"")</f>
        <v/>
      </c>
      <c r="AF163" s="263" t="str">
        <f>IF(Main!BM164&gt;0,Main!BM164,"")</f>
        <v/>
      </c>
      <c r="AG163" s="263" t="str">
        <f>IF(Main!BN164&gt;0,Main!BN164,"")</f>
        <v/>
      </c>
      <c r="AH163" s="263" t="str">
        <f>IF(Main!BO164&gt;0,Main!BO164,"")</f>
        <v/>
      </c>
      <c r="AI163" s="263" t="str">
        <f>IF(Main!BR164&gt;0,Main!BR164,"")</f>
        <v/>
      </c>
      <c r="AJ163" s="263" t="str">
        <f>IF(Main!BQ164&gt;0,Main!BQ164,"")</f>
        <v/>
      </c>
      <c r="AK163" s="263" t="str">
        <f>IF(Main!AV164&gt;0,Main!AV164,"")</f>
        <v/>
      </c>
      <c r="AL163" s="263">
        <f>IF(Main!AU164&gt;0,Main!AU164,"")</f>
        <v>42091</v>
      </c>
      <c r="AM163" s="263">
        <f>IF(Main!AT164&gt;0,Main!AT164,"")</f>
        <v>42091</v>
      </c>
      <c r="AN163" s="259" t="str">
        <f>Main!BW164</f>
        <v xml:space="preserve">2305 (for processing) 4/24/2015, </v>
      </c>
    </row>
    <row r="164" spans="1:40" x14ac:dyDescent="0.25">
      <c r="A164" s="258">
        <f>Main!C165</f>
        <v>1082381</v>
      </c>
      <c r="B164" s="259" t="str">
        <f>Main!D165</f>
        <v>Arroyo, Mariz Rivera</v>
      </c>
      <c r="C164" s="259" t="str">
        <f>Main!AH165</f>
        <v>Probationary</v>
      </c>
      <c r="D164" s="260">
        <f>Main!B165</f>
        <v>42093</v>
      </c>
      <c r="E164" s="260" t="str">
        <f>IF(Main!AI165&lt;1,"",Main!AI165)</f>
        <v>Jobstreet</v>
      </c>
      <c r="F164" s="260" t="str">
        <f>IF(Main!AJ165&lt;1,"",Main!AJ165)</f>
        <v/>
      </c>
      <c r="G164" s="260" t="str">
        <f>IF(Main!AK165&lt;1,"",Main!AK165)</f>
        <v/>
      </c>
      <c r="H164" s="259" t="str">
        <f>Main!Y165</f>
        <v>Senior Recruiter</v>
      </c>
      <c r="I164" s="259" t="str">
        <f>Main!Z165</f>
        <v>Level 2</v>
      </c>
      <c r="J164" s="259">
        <f>IF(Main!A165&lt;1,"",Main!A165)</f>
        <v>190</v>
      </c>
      <c r="K164" s="260">
        <f>IF(Main!AN165&gt;0,Main!AN165,"")</f>
        <v>33553</v>
      </c>
      <c r="L164" s="258" t="str">
        <f>IF(Main!Q165&gt;0,Main!Q165,"")</f>
        <v>arroyo_mariz@ymail.com</v>
      </c>
      <c r="M164" s="410">
        <f>VALUE(IF(Main!S165&gt;0,Main!S165,""))</f>
        <v>9184611452</v>
      </c>
      <c r="N164" s="261" t="str">
        <f>Main!T165</f>
        <v/>
      </c>
      <c r="O164" s="258" t="str">
        <f>IF(Main!AO165&gt;0,Main!AO165,"")</f>
        <v>L 30 Blk 3 Bluebonnet St. Ph. 6 Greenland Exec. Subd. Cainta Rizal, 1900</v>
      </c>
      <c r="P164" s="258" t="str">
        <f>IF(Main!AP165&gt;0,Main!AP165,"")</f>
        <v>L 30 Blk 3 Bluebonnet St. Ph. 6 Greenland Exec. Subd. Cainta Rizal, 1900</v>
      </c>
      <c r="Q164" s="258" t="str">
        <f>IF(Main!AR165&gt;0,Main!AR165,"")</f>
        <v>Single</v>
      </c>
      <c r="R164" s="259" t="str">
        <f>IF(Main!AQ165&gt;0,Main!AQ165,"")</f>
        <v>Female</v>
      </c>
      <c r="S164" s="259" t="str">
        <f>IF(Main!BD165&gt;0,Main!BD165,"")</f>
        <v>34-3247905-7</v>
      </c>
      <c r="T164" s="259" t="str">
        <f>IF(Main!AX165&gt;0,Main!AX165,"")</f>
        <v>311-675-995</v>
      </c>
      <c r="U164" s="259" t="str">
        <f>IF(Main!BH165&gt;0,Main!BH165,"")</f>
        <v>01-051509798-3</v>
      </c>
      <c r="V164" s="268" t="str">
        <f>IF(Main!BF165&gt;0,Main!BF165,"")</f>
        <v>1210-6623-4227</v>
      </c>
      <c r="W164" s="263">
        <f>IF(Main!BS165&gt;0,Main!BS165,"")</f>
        <v>42093</v>
      </c>
      <c r="X164" s="263">
        <f>IF(Main!BT165&gt;0,Main!BT165,"")</f>
        <v>42093</v>
      </c>
      <c r="Y164" s="263">
        <f>IF(Main!BU165&gt;0,Main!BU165,"")</f>
        <v>42093</v>
      </c>
      <c r="Z164" s="263">
        <f>IF(Main!AS165&gt;0,Main!AS165,"")</f>
        <v>42118</v>
      </c>
      <c r="AA164" s="263">
        <f>IF(Main!BJ165&gt;0,Main!BJ165,"")</f>
        <v>42118</v>
      </c>
      <c r="AB164" s="263">
        <f>IF(Main!BC165&gt;0,Main!BC165,"")</f>
        <v>42094</v>
      </c>
      <c r="AC164" s="263">
        <f>IF(Main!AW165&gt;0,Main!AW165,"")</f>
        <v>42094</v>
      </c>
      <c r="AD164" s="263">
        <f>IF(Main!BG165&gt;0,Main!BG165,"")</f>
        <v>42094</v>
      </c>
      <c r="AE164" s="263">
        <f>IF(Main!BE165&gt;0,Main!BE165,"")</f>
        <v>42118</v>
      </c>
      <c r="AF164" s="263">
        <f>IF(Main!BM165&gt;0,Main!BM165,"")</f>
        <v>42094</v>
      </c>
      <c r="AG164" s="263" t="str">
        <f>IF(Main!BN165&gt;0,Main!BN165,"")</f>
        <v/>
      </c>
      <c r="AH164" s="263" t="str">
        <f>IF(Main!BO165&gt;0,Main!BO165,"")</f>
        <v/>
      </c>
      <c r="AI164" s="263" t="str">
        <f>IF(Main!BR165&gt;0,Main!BR165,"")</f>
        <v/>
      </c>
      <c r="AJ164" s="263">
        <f>IF(Main!BQ165&gt;0,Main!BQ165,"")</f>
        <v>42094</v>
      </c>
      <c r="AK164" s="263">
        <f>IF(Main!AV165&gt;0,Main!AV165,"")</f>
        <v>42130</v>
      </c>
      <c r="AL164" s="263">
        <f>IF(Main!AU165&gt;0,Main!AU165,"")</f>
        <v>42118</v>
      </c>
      <c r="AM164" s="263">
        <f>IF(Main!AT165&gt;0,Main!AT165,"")</f>
        <v>42118</v>
      </c>
      <c r="AN164" s="259" t="str">
        <f>Main!BW165</f>
        <v xml:space="preserve">1905 (for processing) 5/6/2015, 2305 (for processing) 4/24/2015, </v>
      </c>
    </row>
    <row r="165" spans="1:40" x14ac:dyDescent="0.25">
      <c r="A165" s="258">
        <f>Main!C166</f>
        <v>1082382</v>
      </c>
      <c r="B165" s="259" t="str">
        <f>Main!D166</f>
        <v>Raymundo, Caroline Cortez</v>
      </c>
      <c r="C165" s="259" t="str">
        <f>Main!AH166</f>
        <v>Probationary</v>
      </c>
      <c r="D165" s="260">
        <f>Main!B166</f>
        <v>42093</v>
      </c>
      <c r="E165" s="260" t="str">
        <f>IF(Main!AI166&lt;1,"",Main!AI166)</f>
        <v>Jobfair</v>
      </c>
      <c r="F165" s="260" t="str">
        <f>IF(Main!AJ166&lt;1,"",Main!AJ166)</f>
        <v/>
      </c>
      <c r="G165" s="260" t="str">
        <f>IF(Main!AK166&lt;1,"",Main!AK166)</f>
        <v/>
      </c>
      <c r="H165" s="259" t="str">
        <f>Main!Y166</f>
        <v>Senior Recruiter</v>
      </c>
      <c r="I165" s="259" t="str">
        <f>Main!Z166</f>
        <v>Level 1</v>
      </c>
      <c r="J165" s="259">
        <f>IF(Main!A166&lt;1,"",Main!A166)</f>
        <v>190</v>
      </c>
      <c r="K165" s="260">
        <f>IF(Main!AN166&gt;0,Main!AN166,"")</f>
        <v>30576</v>
      </c>
      <c r="L165" s="258" t="str">
        <f>IF(Main!Q166&gt;0,Main!Q166,"")</f>
        <v>carolineraymundo@ymail.com</v>
      </c>
      <c r="M165" s="410">
        <f>VALUE(IF(Main!S166&gt;0,Main!S166,""))</f>
        <v>9267566900</v>
      </c>
      <c r="N165" s="261" t="str">
        <f>Main!T166</f>
        <v/>
      </c>
      <c r="O165" s="258" t="str">
        <f>IF(Main!AO166&gt;0,Main!AO166,"")</f>
        <v>#83 Purok I Buntong Palay Silangan, San Mateo Rizal</v>
      </c>
      <c r="P165" s="258" t="str">
        <f>IF(Main!AP166&gt;0,Main!AP166,"")</f>
        <v>#83 Purok I Buntong Palay Silangan, San Mateo Rizal</v>
      </c>
      <c r="Q165" s="258" t="str">
        <f>IF(Main!AR166&gt;0,Main!AR166,"")</f>
        <v>Single</v>
      </c>
      <c r="R165" s="259" t="str">
        <f>IF(Main!AQ166&gt;0,Main!AQ166,"")</f>
        <v>Female</v>
      </c>
      <c r="S165" s="259" t="str">
        <f>IF(Main!BD166&gt;0,Main!BD166,"")</f>
        <v/>
      </c>
      <c r="T165" s="259" t="str">
        <f>IF(Main!AX166&gt;0,Main!AX166,"")</f>
        <v/>
      </c>
      <c r="U165" s="259" t="str">
        <f>IF(Main!BH166&gt;0,Main!BH166,"")</f>
        <v>01-050342731-7</v>
      </c>
      <c r="V165" s="268" t="str">
        <f>IF(Main!BF166&gt;0,Main!BF166,"")</f>
        <v>1211-0911-1101</v>
      </c>
      <c r="W165" s="263">
        <f>IF(Main!BS166&gt;0,Main!BS166,"")</f>
        <v>42093</v>
      </c>
      <c r="X165" s="263">
        <f>IF(Main!BT166&gt;0,Main!BT166,"")</f>
        <v>42093</v>
      </c>
      <c r="Y165" s="263">
        <f>IF(Main!BU166&gt;0,Main!BU166,"")</f>
        <v>42093</v>
      </c>
      <c r="Z165" s="263">
        <f>IF(Main!AS166&gt;0,Main!AS166,"")</f>
        <v>42109</v>
      </c>
      <c r="AA165" s="263" t="str">
        <f>IF(Main!BJ166&gt;0,Main!BJ166,"")</f>
        <v/>
      </c>
      <c r="AB165" s="263" t="str">
        <f>IF(Main!BC166&gt;0,Main!BC166,"")</f>
        <v/>
      </c>
      <c r="AC165" s="263" t="str">
        <f>IF(Main!AW166&gt;0,Main!AW166,"")</f>
        <v/>
      </c>
      <c r="AD165" s="263">
        <f>IF(Main!BG166&gt;0,Main!BG166,"")</f>
        <v>42109</v>
      </c>
      <c r="AE165" s="263">
        <f>IF(Main!BE166&gt;0,Main!BE166,"")</f>
        <v>42109</v>
      </c>
      <c r="AF165" s="263">
        <f>IF(Main!BM166&gt;0,Main!BM166,"")</f>
        <v>42109</v>
      </c>
      <c r="AG165" s="263" t="str">
        <f>IF(Main!BN166&gt;0,Main!BN166,"")</f>
        <v/>
      </c>
      <c r="AH165" s="263" t="str">
        <f>IF(Main!BO166&gt;0,Main!BO166,"")</f>
        <v/>
      </c>
      <c r="AI165" s="263" t="str">
        <f>IF(Main!BR166&gt;0,Main!BR166,"")</f>
        <v/>
      </c>
      <c r="AJ165" s="263" t="str">
        <f>IF(Main!BQ166&gt;0,Main!BQ166,"")</f>
        <v/>
      </c>
      <c r="AK165" s="263">
        <f>IF(Main!AV166&gt;0,Main!AV166,"")</f>
        <v>42109</v>
      </c>
      <c r="AL165" s="263">
        <f>IF(Main!AU166&gt;0,Main!AU166,"")</f>
        <v>42109</v>
      </c>
      <c r="AM165" s="263">
        <f>IF(Main!AT166&gt;0,Main!AT166,"")</f>
        <v>42109</v>
      </c>
      <c r="AN165" s="259" t="str">
        <f>Main!BW166</f>
        <v xml:space="preserve">MDR 4/15/2015, </v>
      </c>
    </row>
    <row r="166" spans="1:40" x14ac:dyDescent="0.25">
      <c r="A166" s="258">
        <f>Main!C167</f>
        <v>1082383</v>
      </c>
      <c r="B166" s="259" t="str">
        <f>Main!D167</f>
        <v>Yaptangco, Cecelia Angelie Grace Lira</v>
      </c>
      <c r="C166" s="259" t="str">
        <f>Main!AH167</f>
        <v>Probationary</v>
      </c>
      <c r="D166" s="260">
        <f>Main!B167</f>
        <v>42093</v>
      </c>
      <c r="E166" s="260" t="str">
        <f>IF(Main!AI167&lt;1,"",Main!AI167)</f>
        <v>Jobstreet</v>
      </c>
      <c r="F166" s="260" t="str">
        <f>IF(Main!AJ167&lt;1,"",Main!AJ167)</f>
        <v/>
      </c>
      <c r="G166" s="260" t="str">
        <f>IF(Main!AK167&lt;1,"",Main!AK167)</f>
        <v/>
      </c>
      <c r="H166" s="259" t="str">
        <f>Main!Y167</f>
        <v>Senior Recruiter</v>
      </c>
      <c r="I166" s="259" t="str">
        <f>Main!Z167</f>
        <v>Level 1</v>
      </c>
      <c r="J166" s="259">
        <f>IF(Main!A167&lt;1,"",Main!A167)</f>
        <v>190</v>
      </c>
      <c r="K166" s="260">
        <f>IF(Main!AN167&gt;0,Main!AN167,"")</f>
        <v>32396</v>
      </c>
      <c r="L166" s="258" t="str">
        <f>IF(Main!Q167&gt;0,Main!Q167,"")</f>
        <v>angelieyaptangco@y.c.</v>
      </c>
      <c r="M166" s="410">
        <f>VALUE(IF(Main!S167&gt;0,Main!S167,""))</f>
        <v>9157452198</v>
      </c>
      <c r="N166" s="261" t="str">
        <f>Main!T167</f>
        <v/>
      </c>
      <c r="O166" s="258" t="str">
        <f>IF(Main!AO167&gt;0,Main!AO167,"")</f>
        <v>59 Rosal St P-3, Silverio Compound Brgy. San Isidro, Parañaque</v>
      </c>
      <c r="P166" s="258" t="str">
        <f>IF(Main!AP167&gt;0,Main!AP167,"")</f>
        <v/>
      </c>
      <c r="Q166" s="258" t="str">
        <f>IF(Main!AR167&gt;0,Main!AR167,"")</f>
        <v/>
      </c>
      <c r="R166" s="259" t="str">
        <f>IF(Main!AQ167&gt;0,Main!AQ167,"")</f>
        <v/>
      </c>
      <c r="S166" s="259" t="str">
        <f>IF(Main!BD167&gt;0,Main!BD167,"")</f>
        <v/>
      </c>
      <c r="T166" s="259" t="str">
        <f>IF(Main!AX167&gt;0,Main!AX167,"")</f>
        <v/>
      </c>
      <c r="U166" s="259" t="str">
        <f>IF(Main!BH167&gt;0,Main!BH167,"")</f>
        <v/>
      </c>
      <c r="V166" s="268" t="str">
        <f>IF(Main!BF167&gt;0,Main!BF167,"")</f>
        <v/>
      </c>
      <c r="W166" s="263">
        <f>IF(Main!BS167&gt;0,Main!BS167,"")</f>
        <v>42093</v>
      </c>
      <c r="X166" s="263">
        <f>IF(Main!BT167&gt;0,Main!BT167,"")</f>
        <v>42093</v>
      </c>
      <c r="Y166" s="263">
        <f>IF(Main!BU167&gt;0,Main!BU167,"")</f>
        <v>42093</v>
      </c>
      <c r="Z166" s="263" t="str">
        <f>IF(Main!AS167&gt;0,Main!AS167,"")</f>
        <v/>
      </c>
      <c r="AA166" s="263" t="str">
        <f>IF(Main!BJ167&gt;0,Main!BJ167,"")</f>
        <v/>
      </c>
      <c r="AB166" s="263" t="str">
        <f>IF(Main!BC167&gt;0,Main!BC167,"")</f>
        <v/>
      </c>
      <c r="AC166" s="263" t="str">
        <f>IF(Main!AW167&gt;0,Main!AW167,"")</f>
        <v/>
      </c>
      <c r="AD166" s="263" t="str">
        <f>IF(Main!BG167&gt;0,Main!BG167,"")</f>
        <v/>
      </c>
      <c r="AE166" s="263" t="str">
        <f>IF(Main!BE167&gt;0,Main!BE167,"")</f>
        <v/>
      </c>
      <c r="AF166" s="263" t="str">
        <f>IF(Main!BM167&gt;0,Main!BM167,"")</f>
        <v/>
      </c>
      <c r="AG166" s="263" t="str">
        <f>IF(Main!BN167&gt;0,Main!BN167,"")</f>
        <v/>
      </c>
      <c r="AH166" s="263" t="str">
        <f>IF(Main!BO167&gt;0,Main!BO167,"")</f>
        <v/>
      </c>
      <c r="AI166" s="263" t="str">
        <f>IF(Main!BR167&gt;0,Main!BR167,"")</f>
        <v/>
      </c>
      <c r="AJ166" s="263" t="str">
        <f>IF(Main!BQ167&gt;0,Main!BQ167,"")</f>
        <v/>
      </c>
      <c r="AK166" s="263" t="str">
        <f>IF(Main!AV167&gt;0,Main!AV167,"")</f>
        <v/>
      </c>
      <c r="AL166" s="263">
        <f>IF(Main!AU167&gt;0,Main!AU167,"")</f>
        <v>42091</v>
      </c>
      <c r="AM166" s="263" t="str">
        <f>IF(Main!AT167&gt;0,Main!AT167,"")</f>
        <v/>
      </c>
      <c r="AN166" s="259" t="str">
        <f>Main!BW167</f>
        <v/>
      </c>
    </row>
    <row r="167" spans="1:40" x14ac:dyDescent="0.25">
      <c r="A167" s="258">
        <f>Main!C168</f>
        <v>1082384</v>
      </c>
      <c r="B167" s="259" t="str">
        <f>Main!D168</f>
        <v>Legaspi, Romnick Barrera</v>
      </c>
      <c r="C167" s="259" t="str">
        <f>Main!AH168</f>
        <v>Probationary</v>
      </c>
      <c r="D167" s="260">
        <f>Main!B168</f>
        <v>42093</v>
      </c>
      <c r="E167" s="260" t="str">
        <f>IF(Main!AI168&lt;1,"",Main!AI168)</f>
        <v>Jobstreet</v>
      </c>
      <c r="F167" s="260" t="str">
        <f>IF(Main!AJ168&lt;1,"",Main!AJ168)</f>
        <v/>
      </c>
      <c r="G167" s="260" t="str">
        <f>IF(Main!AK168&lt;1,"",Main!AK168)</f>
        <v/>
      </c>
      <c r="H167" s="259" t="str">
        <f>Main!Y168</f>
        <v>Senior Recruiter</v>
      </c>
      <c r="I167" s="259" t="str">
        <f>Main!Z168</f>
        <v>Level 1</v>
      </c>
      <c r="J167" s="259">
        <f>IF(Main!A168&lt;1,"",Main!A168)</f>
        <v>190</v>
      </c>
      <c r="K167" s="260">
        <f>IF(Main!AN168&gt;0,Main!AN168,"")</f>
        <v>32329</v>
      </c>
      <c r="L167" s="258" t="str">
        <f>IF(Main!Q168&gt;0,Main!Q168,"")</f>
        <v>nhickrom@gmail.com</v>
      </c>
      <c r="M167" s="410">
        <f>VALUE(IF(Main!S168&gt;0,Main!S168,""))</f>
        <v>9274983234</v>
      </c>
      <c r="N167" s="261" t="str">
        <f>Main!T168</f>
        <v/>
      </c>
      <c r="O167" s="258" t="str">
        <f>IF(Main!AO168&gt;0,Main!AO168,"")</f>
        <v/>
      </c>
      <c r="P167" s="258" t="str">
        <f>IF(Main!AP168&gt;0,Main!AP168,"")</f>
        <v/>
      </c>
      <c r="Q167" s="258" t="str">
        <f>IF(Main!AR168&gt;0,Main!AR168,"")</f>
        <v/>
      </c>
      <c r="R167" s="259" t="str">
        <f>IF(Main!AQ168&gt;0,Main!AQ168,"")</f>
        <v/>
      </c>
      <c r="S167" s="259" t="str">
        <f>IF(Main!BD168&gt;0,Main!BD168,"")</f>
        <v/>
      </c>
      <c r="T167" s="259" t="str">
        <f>IF(Main!AX168&gt;0,Main!AX168,"")</f>
        <v/>
      </c>
      <c r="U167" s="259" t="str">
        <f>IF(Main!BH168&gt;0,Main!BH168,"")</f>
        <v/>
      </c>
      <c r="V167" s="268" t="str">
        <f>IF(Main!BF168&gt;0,Main!BF168,"")</f>
        <v/>
      </c>
      <c r="W167" s="263">
        <f>IF(Main!BS168&gt;0,Main!BS168,"")</f>
        <v>42093</v>
      </c>
      <c r="X167" s="263">
        <f>IF(Main!BT168&gt;0,Main!BT168,"")</f>
        <v>42093</v>
      </c>
      <c r="Y167" s="263">
        <f>IF(Main!BU168&gt;0,Main!BU168,"")</f>
        <v>42093</v>
      </c>
      <c r="Z167" s="263" t="str">
        <f>IF(Main!AS168&gt;0,Main!AS168,"")</f>
        <v/>
      </c>
      <c r="AA167" s="263" t="str">
        <f>IF(Main!BJ168&gt;0,Main!BJ168,"")</f>
        <v/>
      </c>
      <c r="AB167" s="263" t="str">
        <f>IF(Main!BC168&gt;0,Main!BC168,"")</f>
        <v/>
      </c>
      <c r="AC167" s="263" t="str">
        <f>IF(Main!AW168&gt;0,Main!AW168,"")</f>
        <v/>
      </c>
      <c r="AD167" s="263" t="str">
        <f>IF(Main!BG168&gt;0,Main!BG168,"")</f>
        <v/>
      </c>
      <c r="AE167" s="263" t="str">
        <f>IF(Main!BE168&gt;0,Main!BE168,"")</f>
        <v/>
      </c>
      <c r="AF167" s="263" t="str">
        <f>IF(Main!BM168&gt;0,Main!BM168,"")</f>
        <v/>
      </c>
      <c r="AG167" s="263" t="str">
        <f>IF(Main!BN168&gt;0,Main!BN168,"")</f>
        <v/>
      </c>
      <c r="AH167" s="263" t="str">
        <f>IF(Main!BO168&gt;0,Main!BO168,"")</f>
        <v/>
      </c>
      <c r="AI167" s="263" t="str">
        <f>IF(Main!BR168&gt;0,Main!BR168,"")</f>
        <v/>
      </c>
      <c r="AJ167" s="263" t="str">
        <f>IF(Main!BQ168&gt;0,Main!BQ168,"")</f>
        <v/>
      </c>
      <c r="AK167" s="263" t="str">
        <f>IF(Main!AV168&gt;0,Main!AV168,"")</f>
        <v/>
      </c>
      <c r="AL167" s="263" t="str">
        <f>IF(Main!AU168&gt;0,Main!AU168,"")</f>
        <v/>
      </c>
      <c r="AM167" s="263" t="str">
        <f>IF(Main!AT168&gt;0,Main!AT168,"")</f>
        <v/>
      </c>
      <c r="AN167" s="259" t="str">
        <f>Main!BW168</f>
        <v/>
      </c>
    </row>
    <row r="168" spans="1:40" x14ac:dyDescent="0.25">
      <c r="A168" s="258">
        <f>Main!C169</f>
        <v>1082385</v>
      </c>
      <c r="B168" s="259" t="str">
        <f>Main!D169</f>
        <v>Viloria, Elmo Morre</v>
      </c>
      <c r="C168" s="259" t="str">
        <f>Main!AH169</f>
        <v>Probationary</v>
      </c>
      <c r="D168" s="260">
        <f>Main!B169</f>
        <v>42093</v>
      </c>
      <c r="E168" s="260" t="str">
        <f>IF(Main!AI169&lt;1,"",Main!AI169)</f>
        <v>Jobfair</v>
      </c>
      <c r="F168" s="260" t="str">
        <f>IF(Main!AJ169&lt;1,"",Main!AJ169)</f>
        <v/>
      </c>
      <c r="G168" s="260" t="str">
        <f>IF(Main!AK169&lt;1,"",Main!AK169)</f>
        <v/>
      </c>
      <c r="H168" s="259" t="str">
        <f>Main!Y169</f>
        <v>Senior Recruiter</v>
      </c>
      <c r="I168" s="259" t="str">
        <f>Main!Z169</f>
        <v>Level 2</v>
      </c>
      <c r="J168" s="259">
        <f>IF(Main!A169&lt;1,"",Main!A169)</f>
        <v>190</v>
      </c>
      <c r="K168" s="260">
        <f>IF(Main!AN169&gt;0,Main!AN169,"")</f>
        <v>30093</v>
      </c>
      <c r="L168" s="258" t="str">
        <f>IF(Main!Q169&gt;0,Main!Q169,"")</f>
        <v>spectralpoetry@yahoo.com</v>
      </c>
      <c r="M168" s="410">
        <f>VALUE(IF(Main!S169&gt;0,Main!S169,""))</f>
        <v>9155371079</v>
      </c>
      <c r="N168" s="261" t="str">
        <f>Main!T169</f>
        <v/>
      </c>
      <c r="O168" s="258" t="str">
        <f>IF(Main!AO169&gt;0,Main!AO169,"")</f>
        <v/>
      </c>
      <c r="P168" s="258" t="str">
        <f>IF(Main!AP169&gt;0,Main!AP169,"")</f>
        <v/>
      </c>
      <c r="Q168" s="258" t="str">
        <f>IF(Main!AR169&gt;0,Main!AR169,"")</f>
        <v/>
      </c>
      <c r="R168" s="259" t="str">
        <f>IF(Main!AQ169&gt;0,Main!AQ169,"")</f>
        <v/>
      </c>
      <c r="S168" s="259" t="str">
        <f>IF(Main!BD169&gt;0,Main!BD169,"")</f>
        <v>33-8998570-4</v>
      </c>
      <c r="T168" s="259" t="str">
        <f>IF(Main!AX169&gt;0,Main!AX169,"")</f>
        <v/>
      </c>
      <c r="U168" s="259" t="str">
        <f>IF(Main!BH169&gt;0,Main!BH169,"")</f>
        <v>03-050463580-1</v>
      </c>
      <c r="V168" s="268" t="str">
        <f>IF(Main!BF169&gt;0,Main!BF169,"")</f>
        <v/>
      </c>
      <c r="W168" s="263">
        <f>IF(Main!BS169&gt;0,Main!BS169,"")</f>
        <v>42093</v>
      </c>
      <c r="X168" s="263">
        <f>IF(Main!BT169&gt;0,Main!BT169,"")</f>
        <v>42093</v>
      </c>
      <c r="Y168" s="263">
        <f>IF(Main!BU169&gt;0,Main!BU169,"")</f>
        <v>42093</v>
      </c>
      <c r="Z168" s="263" t="str">
        <f>IF(Main!AS169&gt;0,Main!AS169,"")</f>
        <v/>
      </c>
      <c r="AA168" s="263" t="str">
        <f>IF(Main!BJ169&gt;0,Main!BJ169,"")</f>
        <v/>
      </c>
      <c r="AB168" s="263">
        <f>IF(Main!BC169&gt;0,Main!BC169,"")</f>
        <v>42125</v>
      </c>
      <c r="AC168" s="263" t="str">
        <f>IF(Main!AW169&gt;0,Main!AW169,"")</f>
        <v/>
      </c>
      <c r="AD168" s="263">
        <f>IF(Main!BG169&gt;0,Main!BG169,"")</f>
        <v>42125</v>
      </c>
      <c r="AE168" s="263" t="str">
        <f>IF(Main!BE169&gt;0,Main!BE169,"")</f>
        <v/>
      </c>
      <c r="AF168" s="263" t="str">
        <f>IF(Main!BM169&gt;0,Main!BM169,"")</f>
        <v/>
      </c>
      <c r="AG168" s="263" t="str">
        <f>IF(Main!BN169&gt;0,Main!BN169,"")</f>
        <v/>
      </c>
      <c r="AH168" s="263" t="str">
        <f>IF(Main!BO169&gt;0,Main!BO169,"")</f>
        <v/>
      </c>
      <c r="AI168" s="263" t="str">
        <f>IF(Main!BR169&gt;0,Main!BR169,"")</f>
        <v/>
      </c>
      <c r="AJ168" s="263" t="str">
        <f>IF(Main!BQ169&gt;0,Main!BQ169,"")</f>
        <v/>
      </c>
      <c r="AK168" s="263" t="str">
        <f>IF(Main!AV169&gt;0,Main!AV169,"")</f>
        <v/>
      </c>
      <c r="AL168" s="263">
        <f>IF(Main!AU169&gt;0,Main!AU169,"")</f>
        <v>42091</v>
      </c>
      <c r="AM168" s="263">
        <f>IF(Main!AT169&gt;0,Main!AT169,"")</f>
        <v>42091</v>
      </c>
      <c r="AN168" s="259" t="str">
        <f>Main!BW169</f>
        <v/>
      </c>
    </row>
    <row r="169" spans="1:40" x14ac:dyDescent="0.25">
      <c r="A169" s="258">
        <f>Main!C170</f>
        <v>1082386</v>
      </c>
      <c r="B169" s="259" t="str">
        <f>Main!D170</f>
        <v>Barangan, Earl Jerosh San Juan</v>
      </c>
      <c r="C169" s="259" t="str">
        <f>Main!AH170</f>
        <v>Probationary</v>
      </c>
      <c r="D169" s="260">
        <f>Main!B170</f>
        <v>42093</v>
      </c>
      <c r="E169" s="260" t="str">
        <f>IF(Main!AI170&lt;1,"",Main!AI170)</f>
        <v>ARP</v>
      </c>
      <c r="F169" s="260" t="str">
        <f>IF(Main!AJ170&lt;1,"",Main!AJ170)</f>
        <v/>
      </c>
      <c r="G169" s="260" t="str">
        <f>IF(Main!AK170&lt;1,"",Main!AK170)</f>
        <v/>
      </c>
      <c r="H169" s="259" t="str">
        <f>Main!Y170</f>
        <v>Senior Recruiter</v>
      </c>
      <c r="I169" s="259" t="str">
        <f>Main!Z170</f>
        <v>Level 2</v>
      </c>
      <c r="J169" s="259">
        <f>IF(Main!A170&lt;1,"",Main!A170)</f>
        <v>190</v>
      </c>
      <c r="K169" s="260">
        <f>IF(Main!AN170&gt;0,Main!AN170,"")</f>
        <v>32163</v>
      </c>
      <c r="L169" s="258" t="str">
        <f>IF(Main!Q170&gt;0,Main!Q170,"")</f>
        <v>ejeroshbarangan@yahoo.com</v>
      </c>
      <c r="M169" s="410">
        <f>VALUE(IF(Main!S170&gt;0,Main!S170,""))</f>
        <v>9155705123</v>
      </c>
      <c r="N169" s="261" t="str">
        <f>Main!T170</f>
        <v/>
      </c>
      <c r="O169" s="258" t="str">
        <f>IF(Main!AO170&gt;0,Main!AO170,"")</f>
        <v/>
      </c>
      <c r="P169" s="258" t="str">
        <f>IF(Main!AP170&gt;0,Main!AP170,"")</f>
        <v/>
      </c>
      <c r="Q169" s="258" t="str">
        <f>IF(Main!AR170&gt;0,Main!AR170,"")</f>
        <v/>
      </c>
      <c r="R169" s="259" t="str">
        <f>IF(Main!AQ170&gt;0,Main!AQ170,"")</f>
        <v/>
      </c>
      <c r="S169" s="259" t="str">
        <f>IF(Main!BD170&gt;0,Main!BD170,"")</f>
        <v/>
      </c>
      <c r="T169" s="259" t="str">
        <f>IF(Main!AX170&gt;0,Main!AX170,"")</f>
        <v/>
      </c>
      <c r="U169" s="259" t="str">
        <f>IF(Main!BH170&gt;0,Main!BH170,"")</f>
        <v/>
      </c>
      <c r="V169" s="268" t="str">
        <f>IF(Main!BF170&gt;0,Main!BF170,"")</f>
        <v/>
      </c>
      <c r="W169" s="263">
        <f>IF(Main!BS170&gt;0,Main!BS170,"")</f>
        <v>42093</v>
      </c>
      <c r="X169" s="263">
        <f>IF(Main!BT170&gt;0,Main!BT170,"")</f>
        <v>42093</v>
      </c>
      <c r="Y169" s="263">
        <f>IF(Main!BU170&gt;0,Main!BU170,"")</f>
        <v>42093</v>
      </c>
      <c r="Z169" s="263" t="str">
        <f>IF(Main!AS170&gt;0,Main!AS170,"")</f>
        <v/>
      </c>
      <c r="AA169" s="263">
        <f>IF(Main!BJ170&gt;0,Main!BJ170,"")</f>
        <v>42102</v>
      </c>
      <c r="AB169" s="263" t="str">
        <f>IF(Main!BC170&gt;0,Main!BC170,"")</f>
        <v/>
      </c>
      <c r="AC169" s="263" t="str">
        <f>IF(Main!AW170&gt;0,Main!AW170,"")</f>
        <v/>
      </c>
      <c r="AD169" s="263" t="str">
        <f>IF(Main!BG170&gt;0,Main!BG170,"")</f>
        <v/>
      </c>
      <c r="AE169" s="263" t="str">
        <f>IF(Main!BE170&gt;0,Main!BE170,"")</f>
        <v/>
      </c>
      <c r="AF169" s="263">
        <f>IF(Main!BM170&gt;0,Main!BM170,"")</f>
        <v>42102</v>
      </c>
      <c r="AG169" s="263" t="str">
        <f>IF(Main!BN170&gt;0,Main!BN170,"")</f>
        <v/>
      </c>
      <c r="AH169" s="263" t="str">
        <f>IF(Main!BO170&gt;0,Main!BO170,"")</f>
        <v/>
      </c>
      <c r="AI169" s="263" t="str">
        <f>IF(Main!BR170&gt;0,Main!BR170,"")</f>
        <v/>
      </c>
      <c r="AJ169" s="263">
        <f>IF(Main!BQ170&gt;0,Main!BQ170,"")</f>
        <v>42102</v>
      </c>
      <c r="AK169" s="263" t="str">
        <f>IF(Main!AV170&gt;0,Main!AV170,"")</f>
        <v/>
      </c>
      <c r="AL169" s="263" t="str">
        <f>IF(Main!AU170&gt;0,Main!AU170,"")</f>
        <v/>
      </c>
      <c r="AM169" s="263" t="str">
        <f>IF(Main!AT170&gt;0,Main!AT170,"")</f>
        <v/>
      </c>
      <c r="AN169" s="259" t="str">
        <f>Main!BW170</f>
        <v/>
      </c>
    </row>
    <row r="170" spans="1:40" x14ac:dyDescent="0.25">
      <c r="A170" s="258">
        <f>Main!C171</f>
        <v>1082387</v>
      </c>
      <c r="B170" s="259" t="str">
        <f>Main!D171</f>
        <v>David, Rhose Ann Francisco</v>
      </c>
      <c r="C170" s="259" t="str">
        <f>Main!AH171</f>
        <v>Probationary</v>
      </c>
      <c r="D170" s="260">
        <f>Main!B171</f>
        <v>42093</v>
      </c>
      <c r="E170" s="260" t="str">
        <f>IF(Main!AI171&lt;1,"",Main!AI171)</f>
        <v>Jobstreet</v>
      </c>
      <c r="F170" s="260" t="str">
        <f>IF(Main!AJ171&lt;1,"",Main!AJ171)</f>
        <v/>
      </c>
      <c r="G170" s="260" t="str">
        <f>IF(Main!AK171&lt;1,"",Main!AK171)</f>
        <v/>
      </c>
      <c r="H170" s="259" t="str">
        <f>Main!Y171</f>
        <v>Senior Recruiter</v>
      </c>
      <c r="I170" s="259" t="str">
        <f>Main!Z171</f>
        <v>Level 2</v>
      </c>
      <c r="J170" s="259">
        <f>IF(Main!A171&lt;1,"",Main!A171)</f>
        <v>190</v>
      </c>
      <c r="K170" s="260">
        <f>IF(Main!AN171&gt;0,Main!AN171,"")</f>
        <v>33770</v>
      </c>
      <c r="L170" s="258" t="str">
        <f>IF(Main!Q171&gt;0,Main!Q171,"")</f>
        <v>rannedavid@gmail.com</v>
      </c>
      <c r="M170" s="410">
        <f>VALUE(IF(Main!S171&gt;0,Main!S171,""))</f>
        <v>9269088478</v>
      </c>
      <c r="N170" s="261" t="str">
        <f>Main!T171</f>
        <v/>
      </c>
      <c r="O170" s="258" t="str">
        <f>IF(Main!AO171&gt;0,Main!AO171,"")</f>
        <v/>
      </c>
      <c r="P170" s="258" t="str">
        <f>IF(Main!AP171&gt;0,Main!AP171,"")</f>
        <v/>
      </c>
      <c r="Q170" s="258" t="str">
        <f>IF(Main!AR171&gt;0,Main!AR171,"")</f>
        <v/>
      </c>
      <c r="R170" s="259" t="str">
        <f>IF(Main!AQ171&gt;0,Main!AQ171,"")</f>
        <v/>
      </c>
      <c r="S170" s="259" t="str">
        <f>IF(Main!BD171&gt;0,Main!BD171,"")</f>
        <v>34-2319602-2</v>
      </c>
      <c r="T170" s="259" t="str">
        <f>IF(Main!AX171&gt;0,Main!AX171,"")</f>
        <v>309-251-079</v>
      </c>
      <c r="U170" s="259" t="str">
        <f>IF(Main!BH171&gt;0,Main!BH171,"")</f>
        <v>01-051277809-6</v>
      </c>
      <c r="V170" s="268" t="str">
        <f>IF(Main!BF171&gt;0,Main!BF171,"")</f>
        <v/>
      </c>
      <c r="W170" s="263">
        <f>IF(Main!BS171&gt;0,Main!BS171,"")</f>
        <v>42093</v>
      </c>
      <c r="X170" s="263">
        <f>IF(Main!BT171&gt;0,Main!BT171,"")</f>
        <v>42093</v>
      </c>
      <c r="Y170" s="263">
        <f>IF(Main!BU171&gt;0,Main!BU171,"")</f>
        <v>42093</v>
      </c>
      <c r="Z170" s="263" t="str">
        <f>IF(Main!AS171&gt;0,Main!AS171,"")</f>
        <v/>
      </c>
      <c r="AA170" s="263" t="str">
        <f>IF(Main!BJ171&gt;0,Main!BJ171,"")</f>
        <v/>
      </c>
      <c r="AB170" s="263">
        <f>IF(Main!BC171&gt;0,Main!BC171,"")</f>
        <v>42118</v>
      </c>
      <c r="AC170" s="263">
        <f>IF(Main!AW171&gt;0,Main!AW171,"")</f>
        <v>42118</v>
      </c>
      <c r="AD170" s="263">
        <f>IF(Main!BG171&gt;0,Main!BG171,"")</f>
        <v>42118</v>
      </c>
      <c r="AE170" s="263" t="str">
        <f>IF(Main!BE171&gt;0,Main!BE171,"")</f>
        <v/>
      </c>
      <c r="AF170" s="263">
        <f>IF(Main!BM171&gt;0,Main!BM171,"")</f>
        <v>42118</v>
      </c>
      <c r="AG170" s="263" t="str">
        <f>IF(Main!BN171&gt;0,Main!BN171,"")</f>
        <v/>
      </c>
      <c r="AH170" s="263" t="str">
        <f>IF(Main!BO171&gt;0,Main!BO171,"")</f>
        <v/>
      </c>
      <c r="AI170" s="263">
        <f>IF(Main!BR171&gt;0,Main!BR171,"")</f>
        <v>42118</v>
      </c>
      <c r="AJ170" s="263">
        <f>IF(Main!BQ171&gt;0,Main!BQ171,"")</f>
        <v>42118</v>
      </c>
      <c r="AK170" s="263" t="str">
        <f>IF(Main!AV171&gt;0,Main!AV171,"")</f>
        <v/>
      </c>
      <c r="AL170" s="263">
        <f>IF(Main!AU171&gt;0,Main!AU171,"")</f>
        <v>42091</v>
      </c>
      <c r="AM170" s="263">
        <f>IF(Main!AT171&gt;0,Main!AT171,"")</f>
        <v>42091</v>
      </c>
      <c r="AN170" s="259" t="str">
        <f>Main!BW171</f>
        <v/>
      </c>
    </row>
    <row r="171" spans="1:40" x14ac:dyDescent="0.25">
      <c r="A171" s="258">
        <f>Main!C172</f>
        <v>1082388</v>
      </c>
      <c r="B171" s="259" t="str">
        <f>Main!D172</f>
        <v>Paredes, Delailah Reynelsa Malte</v>
      </c>
      <c r="C171" s="259" t="str">
        <f>Main!AH172</f>
        <v>Probationary</v>
      </c>
      <c r="D171" s="260">
        <f>Main!B172</f>
        <v>42093</v>
      </c>
      <c r="E171" s="260" t="str">
        <f>IF(Main!AI172&lt;1,"",Main!AI172)</f>
        <v>Jobstreet</v>
      </c>
      <c r="F171" s="260" t="str">
        <f>IF(Main!AJ172&lt;1,"",Main!AJ172)</f>
        <v/>
      </c>
      <c r="G171" s="260" t="str">
        <f>IF(Main!AK172&lt;1,"",Main!AK172)</f>
        <v/>
      </c>
      <c r="H171" s="259" t="str">
        <f>Main!Y172</f>
        <v>Senior Recruiter</v>
      </c>
      <c r="I171" s="259" t="str">
        <f>Main!Z172</f>
        <v>Level 2</v>
      </c>
      <c r="J171" s="259">
        <f>IF(Main!A172&lt;1,"",Main!A172)</f>
        <v>190</v>
      </c>
      <c r="K171" s="260">
        <f>IF(Main!AN172&gt;0,Main!AN172,"")</f>
        <v>32768</v>
      </c>
      <c r="L171" s="258" t="str">
        <f>IF(Main!Q172&gt;0,Main!Q172,"")</f>
        <v>drmparedes@yahoo.com</v>
      </c>
      <c r="M171" s="410">
        <f>VALUE(IF(Main!S172&gt;0,Main!S172,""))</f>
        <v>9156128212</v>
      </c>
      <c r="N171" s="261" t="str">
        <f>Main!T172</f>
        <v/>
      </c>
      <c r="O171" s="258" t="str">
        <f>IF(Main!AO172&gt;0,Main!AO172,"")</f>
        <v>66 Interior 1 Kabalitang St. Krus na Ligas, Quezon City</v>
      </c>
      <c r="P171" s="258" t="str">
        <f>IF(Main!AP172&gt;0,Main!AP172,"")</f>
        <v>142 Blk 11 Lot 20 Phase 1 VRG Subd. Tacloban City Leyte</v>
      </c>
      <c r="Q171" s="258" t="str">
        <f>IF(Main!AR172&gt;0,Main!AR172,"")</f>
        <v>Single</v>
      </c>
      <c r="R171" s="259" t="str">
        <f>IF(Main!AQ172&gt;0,Main!AQ172,"")</f>
        <v>Female</v>
      </c>
      <c r="S171" s="259" t="str">
        <f>IF(Main!BD172&gt;0,Main!BD172,"")</f>
        <v>34-2930909-1</v>
      </c>
      <c r="T171" s="259" t="str">
        <f>IF(Main!AX172&gt;0,Main!AX172,"")</f>
        <v>311-912-467</v>
      </c>
      <c r="U171" s="259" t="str">
        <f>IF(Main!BH172&gt;0,Main!BH172,"")</f>
        <v>01-051369493-3</v>
      </c>
      <c r="V171" s="268" t="str">
        <f>IF(Main!BF172&gt;0,Main!BF172,"")</f>
        <v>1210-7768-3457</v>
      </c>
      <c r="W171" s="263">
        <f>IF(Main!BS172&gt;0,Main!BS172,"")</f>
        <v>42093</v>
      </c>
      <c r="X171" s="263">
        <f>IF(Main!BT172&gt;0,Main!BT172,"")</f>
        <v>42093</v>
      </c>
      <c r="Y171" s="263">
        <f>IF(Main!BU172&gt;0,Main!BU172,"")</f>
        <v>42093</v>
      </c>
      <c r="Z171" s="263">
        <f>IF(Main!AS172&gt;0,Main!AS172,"")</f>
        <v>42116</v>
      </c>
      <c r="AA171" s="263">
        <f>IF(Main!BJ172&gt;0,Main!BJ172,"")</f>
        <v>42116</v>
      </c>
      <c r="AB171" s="263">
        <f>IF(Main!BC172&gt;0,Main!BC172,"")</f>
        <v>42116</v>
      </c>
      <c r="AC171" s="263">
        <f>IF(Main!AW172&gt;0,Main!AW172,"")</f>
        <v>42124</v>
      </c>
      <c r="AD171" s="263">
        <f>IF(Main!BG172&gt;0,Main!BG172,"")</f>
        <v>42116</v>
      </c>
      <c r="AE171" s="263">
        <f>IF(Main!BE172&gt;0,Main!BE172,"")</f>
        <v>42116</v>
      </c>
      <c r="AF171" s="263">
        <f>IF(Main!BM172&gt;0,Main!BM172,"")</f>
        <v>42116</v>
      </c>
      <c r="AG171" s="263" t="str">
        <f>IF(Main!BN172&gt;0,Main!BN172,"")</f>
        <v/>
      </c>
      <c r="AH171" s="263" t="str">
        <f>IF(Main!BO172&gt;0,Main!BO172,"")</f>
        <v/>
      </c>
      <c r="AI171" s="263">
        <f>IF(Main!BR172&gt;0,Main!BR172,"")</f>
        <v>42116</v>
      </c>
      <c r="AJ171" s="263">
        <f>IF(Main!BQ172&gt;0,Main!BQ172,"")</f>
        <v>42116</v>
      </c>
      <c r="AK171" s="263">
        <f>IF(Main!AV172&gt;0,Main!AV172,"")</f>
        <v>42124</v>
      </c>
      <c r="AL171" s="263">
        <f>IF(Main!AU172&gt;0,Main!AU172,"")</f>
        <v>42124</v>
      </c>
      <c r="AM171" s="263">
        <f>IF(Main!AT172&gt;0,Main!AT172,"")</f>
        <v>42116</v>
      </c>
      <c r="AN171" s="259" t="str">
        <f>Main!BW172</f>
        <v xml:space="preserve">1905 (for processing) 4/30/2015, 2305 (for processing) 4/22/2015, </v>
      </c>
    </row>
    <row r="172" spans="1:40" x14ac:dyDescent="0.25">
      <c r="A172" s="258">
        <f>Main!C173</f>
        <v>1082389</v>
      </c>
      <c r="B172" s="259" t="str">
        <f>Main!D173</f>
        <v>Montialto, Regine Buban</v>
      </c>
      <c r="C172" s="259" t="str">
        <f>Main!AH173</f>
        <v>Probationary</v>
      </c>
      <c r="D172" s="260">
        <f>Main!B173</f>
        <v>42093</v>
      </c>
      <c r="E172" s="260" t="str">
        <f>IF(Main!AI173&lt;1,"",Main!AI173)</f>
        <v>Jobstreet</v>
      </c>
      <c r="F172" s="260" t="str">
        <f>IF(Main!AJ173&lt;1,"",Main!AJ173)</f>
        <v/>
      </c>
      <c r="G172" s="260" t="str">
        <f>IF(Main!AK173&lt;1,"",Main!AK173)</f>
        <v/>
      </c>
      <c r="H172" s="259" t="str">
        <f>Main!Y173</f>
        <v>Senior Recruiter</v>
      </c>
      <c r="I172" s="259" t="str">
        <f>Main!Z173</f>
        <v>Level 1</v>
      </c>
      <c r="J172" s="259">
        <f>IF(Main!A173&lt;1,"",Main!A173)</f>
        <v>190</v>
      </c>
      <c r="K172" s="260">
        <f>IF(Main!AN173&gt;0,Main!AN173,"")</f>
        <v>33386</v>
      </c>
      <c r="L172" s="258" t="str">
        <f>IF(Main!Q173&gt;0,Main!Q173,"")</f>
        <v>pamfhudge1522@yahoo.com</v>
      </c>
      <c r="M172" s="410">
        <f>VALUE(IF(Main!S173&gt;0,Main!S173,""))</f>
        <v>9356009281</v>
      </c>
      <c r="N172" s="261" t="str">
        <f>Main!T173</f>
        <v/>
      </c>
      <c r="O172" s="258" t="str">
        <f>IF(Main!AO173&gt;0,Main!AO173,"")</f>
        <v/>
      </c>
      <c r="P172" s="258" t="str">
        <f>IF(Main!AP173&gt;0,Main!AP173,"")</f>
        <v/>
      </c>
      <c r="Q172" s="258" t="str">
        <f>IF(Main!AR173&gt;0,Main!AR173,"")</f>
        <v/>
      </c>
      <c r="R172" s="259" t="str">
        <f>IF(Main!AQ173&gt;0,Main!AQ173,"")</f>
        <v/>
      </c>
      <c r="S172" s="259" t="str">
        <f>IF(Main!BD173&gt;0,Main!BD173,"")</f>
        <v/>
      </c>
      <c r="T172" s="259" t="str">
        <f>IF(Main!AX173&gt;0,Main!AX173,"")</f>
        <v/>
      </c>
      <c r="U172" s="259" t="str">
        <f>IF(Main!BH173&gt;0,Main!BH173,"")</f>
        <v/>
      </c>
      <c r="V172" s="268" t="str">
        <f>IF(Main!BF173&gt;0,Main!BF173,"")</f>
        <v/>
      </c>
      <c r="W172" s="263">
        <f>IF(Main!BS173&gt;0,Main!BS173,"")</f>
        <v>42093</v>
      </c>
      <c r="X172" s="263">
        <f>IF(Main!BT173&gt;0,Main!BT173,"")</f>
        <v>42093</v>
      </c>
      <c r="Y172" s="263">
        <f>IF(Main!BU173&gt;0,Main!BU173,"")</f>
        <v>42093</v>
      </c>
      <c r="Z172" s="263" t="str">
        <f>IF(Main!AS173&gt;0,Main!AS173,"")</f>
        <v/>
      </c>
      <c r="AA172" s="263" t="str">
        <f>IF(Main!BJ173&gt;0,Main!BJ173,"")</f>
        <v/>
      </c>
      <c r="AB172" s="263" t="str">
        <f>IF(Main!BC173&gt;0,Main!BC173,"")</f>
        <v/>
      </c>
      <c r="AC172" s="263" t="str">
        <f>IF(Main!AW173&gt;0,Main!AW173,"")</f>
        <v/>
      </c>
      <c r="AD172" s="263" t="str">
        <f>IF(Main!BG173&gt;0,Main!BG173,"")</f>
        <v/>
      </c>
      <c r="AE172" s="263" t="str">
        <f>IF(Main!BE173&gt;0,Main!BE173,"")</f>
        <v/>
      </c>
      <c r="AF172" s="263" t="str">
        <f>IF(Main!BM173&gt;0,Main!BM173,"")</f>
        <v/>
      </c>
      <c r="AG172" s="263" t="str">
        <f>IF(Main!BN173&gt;0,Main!BN173,"")</f>
        <v/>
      </c>
      <c r="AH172" s="263" t="str">
        <f>IF(Main!BO173&gt;0,Main!BO173,"")</f>
        <v/>
      </c>
      <c r="AI172" s="263" t="str">
        <f>IF(Main!BR173&gt;0,Main!BR173,"")</f>
        <v/>
      </c>
      <c r="AJ172" s="263" t="str">
        <f>IF(Main!BQ173&gt;0,Main!BQ173,"")</f>
        <v/>
      </c>
      <c r="AK172" s="263" t="str">
        <f>IF(Main!AV173&gt;0,Main!AV173,"")</f>
        <v/>
      </c>
      <c r="AL172" s="263">
        <f>IF(Main!AU173&gt;0,Main!AU173,"")</f>
        <v>42091</v>
      </c>
      <c r="AM172" s="263">
        <f>IF(Main!AT173&gt;0,Main!AT173,"")</f>
        <v>42091</v>
      </c>
      <c r="AN172" s="259" t="str">
        <f>Main!BW173</f>
        <v/>
      </c>
    </row>
    <row r="173" spans="1:40" x14ac:dyDescent="0.25">
      <c r="A173" s="258">
        <f>Main!C174</f>
        <v>1082390</v>
      </c>
      <c r="B173" s="259" t="str">
        <f>Main!D174</f>
        <v xml:space="preserve">Gingco, Gerome </v>
      </c>
      <c r="C173" s="259" t="str">
        <f>Main!AH174</f>
        <v>Probationary</v>
      </c>
      <c r="D173" s="260">
        <f>Main!B174</f>
        <v>42093</v>
      </c>
      <c r="E173" s="260" t="str">
        <f>IF(Main!AI174&lt;1,"",Main!AI174)</f>
        <v>Jobstreet</v>
      </c>
      <c r="F173" s="260" t="str">
        <f>IF(Main!AJ174&lt;1,"",Main!AJ174)</f>
        <v/>
      </c>
      <c r="G173" s="260" t="str">
        <f>IF(Main!AK174&lt;1,"",Main!AK174)</f>
        <v/>
      </c>
      <c r="H173" s="259" t="str">
        <f>Main!Y174</f>
        <v>Senior Recruiter</v>
      </c>
      <c r="I173" s="259" t="str">
        <f>Main!Z174</f>
        <v>Level 1</v>
      </c>
      <c r="J173" s="259">
        <f>IF(Main!A174&lt;1,"",Main!A174)</f>
        <v>190</v>
      </c>
      <c r="K173" s="260" t="str">
        <f>IF(Main!AN174&gt;0,Main!AN174,"")</f>
        <v/>
      </c>
      <c r="L173" s="258" t="str">
        <f>IF(Main!Q174&gt;0,Main!Q174,"")</f>
        <v/>
      </c>
      <c r="M173" s="410">
        <f>VALUE(IF(Main!S174&gt;0,Main!S174,""))</f>
        <v>9055691529</v>
      </c>
      <c r="N173" s="261" t="str">
        <f>Main!T174</f>
        <v/>
      </c>
      <c r="O173" s="258" t="str">
        <f>IF(Main!AO174&gt;0,Main!AO174,"")</f>
        <v>04 Old Cabugao St. Sauyo Road., Novaliches Quezon City</v>
      </c>
      <c r="P173" s="258" t="str">
        <f>IF(Main!AP174&gt;0,Main!AP174,"")</f>
        <v>04 Old Cabugao St. Sauyo Road., Novaliches Quezon City</v>
      </c>
      <c r="Q173" s="258" t="str">
        <f>IF(Main!AR174&gt;0,Main!AR174,"")</f>
        <v>Single</v>
      </c>
      <c r="R173" s="259" t="str">
        <f>IF(Main!AQ174&gt;0,Main!AQ174,"")</f>
        <v>Male</v>
      </c>
      <c r="S173" s="259" t="str">
        <f>IF(Main!BD174&gt;0,Main!BD174,"")</f>
        <v>34-1027594-3</v>
      </c>
      <c r="T173" s="259" t="str">
        <f>IF(Main!AX174&gt;0,Main!AX174,"")</f>
        <v>293-064-651</v>
      </c>
      <c r="U173" s="259" t="str">
        <f>IF(Main!BH174&gt;0,Main!BH174,"")</f>
        <v>03-050526175-1</v>
      </c>
      <c r="V173" s="268" t="str">
        <f>IF(Main!BF174&gt;0,Main!BF174,"")</f>
        <v>1210-1080-2500</v>
      </c>
      <c r="W173" s="263" t="str">
        <f>IF(Main!BS174&gt;0,Main!BS174,"")</f>
        <v/>
      </c>
      <c r="X173" s="263" t="str">
        <f>IF(Main!BT174&gt;0,Main!BT174,"")</f>
        <v/>
      </c>
      <c r="Y173" s="263">
        <f>IF(Main!BU174&gt;0,Main!BU174,"")</f>
        <v>42104</v>
      </c>
      <c r="Z173" s="263">
        <f>IF(Main!AS174&gt;0,Main!AS174,"")</f>
        <v>42101</v>
      </c>
      <c r="AA173" s="263">
        <f>IF(Main!BJ174&gt;0,Main!BJ174,"")</f>
        <v>42101</v>
      </c>
      <c r="AB173" s="263">
        <f>IF(Main!BC174&gt;0,Main!BC174,"")</f>
        <v>42101</v>
      </c>
      <c r="AC173" s="263">
        <f>IF(Main!AW174&gt;0,Main!AW174,"")</f>
        <v>42101</v>
      </c>
      <c r="AD173" s="263">
        <f>IF(Main!BG174&gt;0,Main!BG174,"")</f>
        <v>42101</v>
      </c>
      <c r="AE173" s="263">
        <f>IF(Main!BE174&gt;0,Main!BE174,"")</f>
        <v>42110</v>
      </c>
      <c r="AF173" s="263">
        <f>IF(Main!BM174&gt;0,Main!BM174,"")</f>
        <v>42101</v>
      </c>
      <c r="AG173" s="263" t="str">
        <f>IF(Main!BN174&gt;0,Main!BN174,"")</f>
        <v/>
      </c>
      <c r="AH173" s="263" t="str">
        <f>IF(Main!BO174&gt;0,Main!BO174,"")</f>
        <v/>
      </c>
      <c r="AI173" s="263" t="str">
        <f>IF(Main!BR174&gt;0,Main!BR174,"")</f>
        <v/>
      </c>
      <c r="AJ173" s="263">
        <f>IF(Main!BQ174&gt;0,Main!BQ174,"")</f>
        <v>42101</v>
      </c>
      <c r="AK173" s="263">
        <f>IF(Main!AV174&gt;0,Main!AV174,"")</f>
        <v>42107</v>
      </c>
      <c r="AL173" s="263">
        <f>IF(Main!AU174&gt;0,Main!AU174,"")</f>
        <v>42091</v>
      </c>
      <c r="AM173" s="263">
        <f>IF(Main!AT174&gt;0,Main!AT174,"")</f>
        <v>42091</v>
      </c>
      <c r="AN173" s="259" t="str">
        <f>Main!BW174</f>
        <v xml:space="preserve">1905 4/7/2015, 2305 4/7/2015, MDR 4/7/2015, </v>
      </c>
    </row>
    <row r="174" spans="1:40" x14ac:dyDescent="0.25">
      <c r="A174" s="258">
        <f>Main!C175</f>
        <v>1082391</v>
      </c>
      <c r="B174" s="259" t="str">
        <f>Main!D175</f>
        <v>Santidad, Ladylee Pujeda</v>
      </c>
      <c r="C174" s="259" t="str">
        <f>Main!AH175</f>
        <v>Probationary</v>
      </c>
      <c r="D174" s="260">
        <f>Main!B175</f>
        <v>42093</v>
      </c>
      <c r="E174" s="260" t="str">
        <f>IF(Main!AI175&lt;1,"",Main!AI175)</f>
        <v>Jobfair</v>
      </c>
      <c r="F174" s="260" t="str">
        <f>IF(Main!AJ175&lt;1,"",Main!AJ175)</f>
        <v/>
      </c>
      <c r="G174" s="260" t="str">
        <f>IF(Main!AK175&lt;1,"",Main!AK175)</f>
        <v/>
      </c>
      <c r="H174" s="259" t="str">
        <f>Main!Y175</f>
        <v>Senior Recruiter</v>
      </c>
      <c r="I174" s="259" t="str">
        <f>Main!Z175</f>
        <v>Level 1</v>
      </c>
      <c r="J174" s="259">
        <f>IF(Main!A175&lt;1,"",Main!A175)</f>
        <v>190</v>
      </c>
      <c r="K174" s="260">
        <f>IF(Main!AN175&gt;0,Main!AN175,"")</f>
        <v>33046</v>
      </c>
      <c r="L174" s="258" t="str">
        <f>IF(Main!Q175&gt;0,Main!Q175,"")</f>
        <v>lilysantidad@yahoo.com</v>
      </c>
      <c r="M174" s="410">
        <f>VALUE(IF(Main!S175&gt;0,Main!S175,""))</f>
        <v>9352680977</v>
      </c>
      <c r="N174" s="261" t="str">
        <f>Main!T175</f>
        <v/>
      </c>
      <c r="O174" s="258" t="str">
        <f>IF(Main!AO175&gt;0,Main!AO175,"")</f>
        <v>398 Sta. Rita St. Sav VI, Parañaque</v>
      </c>
      <c r="P174" s="258" t="str">
        <f>IF(Main!AP175&gt;0,Main!AP175,"")</f>
        <v/>
      </c>
      <c r="Q174" s="258" t="str">
        <f>IF(Main!AR175&gt;0,Main!AR175,"")</f>
        <v>Single</v>
      </c>
      <c r="R174" s="259" t="str">
        <f>IF(Main!AQ175&gt;0,Main!AQ175,"")</f>
        <v>Female</v>
      </c>
      <c r="S174" s="259" t="str">
        <f>IF(Main!BD175&gt;0,Main!BD175,"")</f>
        <v>34-3744884-7</v>
      </c>
      <c r="T174" s="259" t="str">
        <f>IF(Main!AX175&gt;0,Main!AX175,"")</f>
        <v/>
      </c>
      <c r="U174" s="259" t="str">
        <f>IF(Main!BH175&gt;0,Main!BH175,"")</f>
        <v/>
      </c>
      <c r="V174" s="268" t="str">
        <f>IF(Main!BF175&gt;0,Main!BF175,"")</f>
        <v/>
      </c>
      <c r="W174" s="263">
        <f>IF(Main!BS175&gt;0,Main!BS175,"")</f>
        <v>42093</v>
      </c>
      <c r="X174" s="263">
        <f>IF(Main!BT175&gt;0,Main!BT175,"")</f>
        <v>42093</v>
      </c>
      <c r="Y174" s="263">
        <f>IF(Main!BU175&gt;0,Main!BU175,"")</f>
        <v>42093</v>
      </c>
      <c r="Z174" s="263">
        <f>IF(Main!AS175&gt;0,Main!AS175,"")</f>
        <v>42091</v>
      </c>
      <c r="AA174" s="263">
        <f>IF(Main!BJ175&gt;0,Main!BJ175,"")</f>
        <v>42094</v>
      </c>
      <c r="AB174" s="263">
        <f>IF(Main!BC175&gt;0,Main!BC175,"")</f>
        <v>42094</v>
      </c>
      <c r="AC174" s="263" t="str">
        <f>IF(Main!AW175&gt;0,Main!AW175,"")</f>
        <v/>
      </c>
      <c r="AD174" s="263" t="str">
        <f>IF(Main!BG175&gt;0,Main!BG175,"")</f>
        <v/>
      </c>
      <c r="AE174" s="263" t="str">
        <f>IF(Main!BE175&gt;0,Main!BE175,"")</f>
        <v/>
      </c>
      <c r="AF174" s="263">
        <f>IF(Main!BM175&gt;0,Main!BM175,"")</f>
        <v>42094</v>
      </c>
      <c r="AG174" s="263" t="str">
        <f>IF(Main!BN175&gt;0,Main!BN175,"")</f>
        <v/>
      </c>
      <c r="AH174" s="263" t="str">
        <f>IF(Main!BO175&gt;0,Main!BO175,"")</f>
        <v/>
      </c>
      <c r="AI174" s="263" t="str">
        <f>IF(Main!BR175&gt;0,Main!BR175,"")</f>
        <v/>
      </c>
      <c r="AJ174" s="263">
        <f>IF(Main!BQ175&gt;0,Main!BQ175,"")</f>
        <v>42094</v>
      </c>
      <c r="AK174" s="263" t="str">
        <f>IF(Main!AV175&gt;0,Main!AV175,"")</f>
        <v/>
      </c>
      <c r="AL174" s="263">
        <f>IF(Main!AU175&gt;0,Main!AU175,"")</f>
        <v>42091</v>
      </c>
      <c r="AM174" s="263">
        <f>IF(Main!AT175&gt;0,Main!AT175,"")</f>
        <v>42091</v>
      </c>
      <c r="AN174" s="259" t="str">
        <f>Main!BW175</f>
        <v/>
      </c>
    </row>
    <row r="175" spans="1:40" x14ac:dyDescent="0.25">
      <c r="A175" s="258">
        <f>Main!C176</f>
        <v>1082392</v>
      </c>
      <c r="B175" s="259" t="str">
        <f>Main!D176</f>
        <v>Mendoza, Andrea Sea Viviene Solaña</v>
      </c>
      <c r="C175" s="259" t="str">
        <f>Main!AH176</f>
        <v>Probationary</v>
      </c>
      <c r="D175" s="260">
        <f>Main!B176</f>
        <v>42093</v>
      </c>
      <c r="E175" s="260" t="str">
        <f>IF(Main!AI176&lt;1,"",Main!AI176)</f>
        <v>Jobstreet</v>
      </c>
      <c r="F175" s="260" t="str">
        <f>IF(Main!AJ176&lt;1,"",Main!AJ176)</f>
        <v/>
      </c>
      <c r="G175" s="260" t="str">
        <f>IF(Main!AK176&lt;1,"",Main!AK176)</f>
        <v/>
      </c>
      <c r="H175" s="259" t="str">
        <f>Main!Y176</f>
        <v>Recuitment Coordinator</v>
      </c>
      <c r="I175" s="259" t="str">
        <f>Main!Z176</f>
        <v>N/A</v>
      </c>
      <c r="J175" s="259">
        <f>IF(Main!A176&lt;1,"",Main!A176)</f>
        <v>190</v>
      </c>
      <c r="K175" s="260">
        <f>IF(Main!AN176&gt;0,Main!AN176,"")</f>
        <v>33574</v>
      </c>
      <c r="L175" s="258" t="str">
        <f>IF(Main!Q176&gt;0,Main!Q176,"")</f>
        <v>andreaseaviviene@gmail.com</v>
      </c>
      <c r="M175" s="410">
        <f>VALUE(IF(Main!S176&gt;0,Main!S176,""))</f>
        <v>9156483330</v>
      </c>
      <c r="N175" s="261" t="str">
        <f>Main!T176</f>
        <v/>
      </c>
      <c r="O175" s="258" t="str">
        <f>IF(Main!AO176&gt;0,Main!AO176,"")</f>
        <v>Blk 32 Lt 1 Kindness St. Goodwill Homes I Novaliches Quezon City</v>
      </c>
      <c r="P175" s="258" t="str">
        <f>IF(Main!AP176&gt;0,Main!AP176,"")</f>
        <v/>
      </c>
      <c r="Q175" s="258" t="str">
        <f>IF(Main!AR176&gt;0,Main!AR176,"")</f>
        <v>Single</v>
      </c>
      <c r="R175" s="259" t="str">
        <f>IF(Main!AQ176&gt;0,Main!AQ176,"")</f>
        <v>Female</v>
      </c>
      <c r="S175" s="259" t="str">
        <f>IF(Main!BD176&gt;0,Main!BD176,"")</f>
        <v>34-3107863-7</v>
      </c>
      <c r="T175" s="259" t="str">
        <f>IF(Main!AX176&gt;0,Main!AX176,"")</f>
        <v>315-361-292</v>
      </c>
      <c r="U175" s="259" t="str">
        <f>IF(Main!BH176&gt;0,Main!BH176,"")</f>
        <v>02-050995788-7</v>
      </c>
      <c r="V175" s="268" t="str">
        <f>IF(Main!BF176&gt;0,Main!BF176,"")</f>
        <v>1210-9052-6433</v>
      </c>
      <c r="W175" s="263">
        <f>IF(Main!BS176&gt;0,Main!BS176,"")</f>
        <v>42093</v>
      </c>
      <c r="X175" s="263">
        <f>IF(Main!BT176&gt;0,Main!BT176,"")</f>
        <v>42093</v>
      </c>
      <c r="Y175" s="263">
        <f>IF(Main!BU176&gt;0,Main!BU176,"")</f>
        <v>42093</v>
      </c>
      <c r="Z175" s="263">
        <f>IF(Main!AS176&gt;0,Main!AS176,"")</f>
        <v>42094</v>
      </c>
      <c r="AA175" s="263">
        <f>IF(Main!BJ176&gt;0,Main!BJ176,"")</f>
        <v>42118</v>
      </c>
      <c r="AB175" s="263">
        <f>IF(Main!BC176&gt;0,Main!BC176,"")</f>
        <v>42094</v>
      </c>
      <c r="AC175" s="263">
        <f>IF(Main!AW176&gt;0,Main!AW176,"")</f>
        <v>42094</v>
      </c>
      <c r="AD175" s="263">
        <f>IF(Main!BG176&gt;0,Main!BG176,"")</f>
        <v>42094</v>
      </c>
      <c r="AE175" s="263">
        <f>IF(Main!BE176&gt;0,Main!BE176,"")</f>
        <v>42094</v>
      </c>
      <c r="AF175" s="263">
        <f>IF(Main!BM176&gt;0,Main!BM176,"")</f>
        <v>42094</v>
      </c>
      <c r="AG175" s="263" t="str">
        <f>IF(Main!BN176&gt;0,Main!BN176,"")</f>
        <v/>
      </c>
      <c r="AH175" s="263" t="str">
        <f>IF(Main!BO176&gt;0,Main!BO176,"")</f>
        <v/>
      </c>
      <c r="AI175" s="263" t="str">
        <f>IF(Main!BR176&gt;0,Main!BR176,"")</f>
        <v/>
      </c>
      <c r="AJ175" s="263" t="str">
        <f>IF(Main!BQ176&gt;0,Main!BQ176,"")</f>
        <v/>
      </c>
      <c r="AK175" s="263">
        <f>IF(Main!AV176&gt;0,Main!AV176,"")</f>
        <v>42094</v>
      </c>
      <c r="AL175" s="263">
        <f>IF(Main!AU176&gt;0,Main!AU176,"")</f>
        <v>42094</v>
      </c>
      <c r="AM175" s="263">
        <f>IF(Main!AT176&gt;0,Main!AT176,"")</f>
        <v>42094</v>
      </c>
      <c r="AN175" s="259" t="str">
        <f>Main!BW176</f>
        <v xml:space="preserve">1905 (for processing) 3/31/2015, 2305 (for processing) 4/13/2015, </v>
      </c>
    </row>
    <row r="176" spans="1:40" x14ac:dyDescent="0.25">
      <c r="A176" s="258">
        <f>Main!C177</f>
        <v>1082393</v>
      </c>
      <c r="B176" s="259" t="str">
        <f>Main!D177</f>
        <v>Singh, Anant</v>
      </c>
      <c r="C176" s="259" t="str">
        <f>Main!AH177</f>
        <v>Probationary</v>
      </c>
      <c r="D176" s="260"/>
      <c r="E176" s="260" t="str">
        <f>IF(Main!AI177&lt;1,"",Main!AI177)</f>
        <v/>
      </c>
      <c r="F176" s="260" t="str">
        <f>IF(Main!AJ177&lt;1,"",Main!AJ177)</f>
        <v/>
      </c>
      <c r="G176" s="260" t="str">
        <f>IF(Main!AK177&lt;1,"",Main!AK177)</f>
        <v/>
      </c>
      <c r="H176" s="259" t="str">
        <f>Main!Y177</f>
        <v>Vice President</v>
      </c>
      <c r="I176" s="259" t="str">
        <f>Main!Z177</f>
        <v>N/A</v>
      </c>
      <c r="J176" s="259">
        <f>IF(Main!A177&lt;1,"",Main!A177)</f>
        <v>190</v>
      </c>
      <c r="K176" s="260" t="str">
        <f>IF(Main!AN177&gt;0,Main!AN177,"")</f>
        <v/>
      </c>
      <c r="L176" s="258" t="str">
        <f>IF(Main!Q177&gt;0,Main!Q177,"")</f>
        <v/>
      </c>
      <c r="M176" s="410"/>
      <c r="N176" s="261" t="str">
        <f>Main!T177</f>
        <v/>
      </c>
      <c r="O176" s="258" t="str">
        <f>IF(Main!AO177&gt;0,Main!AO177,"")</f>
        <v/>
      </c>
      <c r="P176" s="258" t="str">
        <f>IF(Main!AP177&gt;0,Main!AP177,"")</f>
        <v/>
      </c>
      <c r="Q176" s="258" t="str">
        <f>IF(Main!AR177&gt;0,Main!AR177,"")</f>
        <v/>
      </c>
      <c r="R176" s="259" t="str">
        <f>IF(Main!AQ177&gt;0,Main!AQ177,"")</f>
        <v/>
      </c>
      <c r="S176" s="259" t="str">
        <f>IF(Main!BD177&gt;0,Main!BD177,"")</f>
        <v/>
      </c>
      <c r="T176" s="259" t="str">
        <f>IF(Main!AX177&gt;0,Main!AX177,"")</f>
        <v/>
      </c>
      <c r="U176" s="259" t="str">
        <f>IF(Main!BH177&gt;0,Main!BH177,"")</f>
        <v/>
      </c>
      <c r="V176" s="268" t="str">
        <f>IF(Main!BF177&gt;0,Main!BF177,"")</f>
        <v/>
      </c>
      <c r="W176" s="263" t="str">
        <f>IF(Main!BS177&gt;0,Main!BS177,"")</f>
        <v/>
      </c>
      <c r="X176" s="263" t="str">
        <f>IF(Main!BT177&gt;0,Main!BT177,"")</f>
        <v/>
      </c>
      <c r="Y176" s="263" t="str">
        <f>IF(Main!BU177&gt;0,Main!BU177,"")</f>
        <v/>
      </c>
      <c r="Z176" s="263" t="str">
        <f>IF(Main!AS177&gt;0,Main!AS177,"")</f>
        <v/>
      </c>
      <c r="AA176" s="263" t="str">
        <f>IF(Main!BJ177&gt;0,Main!BJ177,"")</f>
        <v/>
      </c>
      <c r="AB176" s="263" t="str">
        <f>IF(Main!BC177&gt;0,Main!BC177,"")</f>
        <v/>
      </c>
      <c r="AC176" s="263" t="str">
        <f>IF(Main!AW177&gt;0,Main!AW177,"")</f>
        <v/>
      </c>
      <c r="AD176" s="263" t="str">
        <f>IF(Main!BG177&gt;0,Main!BG177,"")</f>
        <v/>
      </c>
      <c r="AE176" s="263" t="str">
        <f>IF(Main!BE177&gt;0,Main!BE177,"")</f>
        <v/>
      </c>
      <c r="AF176" s="263" t="str">
        <f>IF(Main!BM177&gt;0,Main!BM177,"")</f>
        <v/>
      </c>
      <c r="AG176" s="263" t="str">
        <f>IF(Main!BN177&gt;0,Main!BN177,"")</f>
        <v/>
      </c>
      <c r="AH176" s="263" t="str">
        <f>IF(Main!BO177&gt;0,Main!BO177,"")</f>
        <v/>
      </c>
      <c r="AI176" s="263" t="str">
        <f>IF(Main!BR177&gt;0,Main!BR177,"")</f>
        <v/>
      </c>
      <c r="AJ176" s="263" t="str">
        <f>IF(Main!BQ177&gt;0,Main!BQ177,"")</f>
        <v/>
      </c>
      <c r="AK176" s="263" t="str">
        <f>IF(Main!AV177&gt;0,Main!AV177,"")</f>
        <v/>
      </c>
      <c r="AL176" s="263" t="str">
        <f>IF(Main!AU177&gt;0,Main!AU177,"")</f>
        <v/>
      </c>
      <c r="AM176" s="263" t="str">
        <f>IF(Main!AT177&gt;0,Main!AT177,"")</f>
        <v/>
      </c>
      <c r="AN176" s="259" t="str">
        <f>Main!BW177</f>
        <v/>
      </c>
    </row>
    <row r="177" spans="1:40" x14ac:dyDescent="0.25">
      <c r="A177" s="258">
        <f>Main!C178</f>
        <v>1082394</v>
      </c>
      <c r="B177" s="259" t="str">
        <f>Main!D178</f>
        <v>Agpalo, Martin Paolo Aluiz</v>
      </c>
      <c r="C177" s="259" t="str">
        <f>Main!AH178</f>
        <v>Probationary</v>
      </c>
      <c r="D177" s="260">
        <f>Main!B178</f>
        <v>42100</v>
      </c>
      <c r="E177" s="260" t="str">
        <f>IF(Main!AI178&lt;1,"",Main!AI178)</f>
        <v>Jobstreet</v>
      </c>
      <c r="F177" s="260" t="str">
        <f>IF(Main!AJ178&lt;1,"",Main!AJ178)</f>
        <v/>
      </c>
      <c r="G177" s="260" t="str">
        <f>IF(Main!AK178&lt;1,"",Main!AK178)</f>
        <v/>
      </c>
      <c r="H177" s="259" t="str">
        <f>Main!Y178</f>
        <v>Senior Recruiter</v>
      </c>
      <c r="I177" s="259" t="str">
        <f>Main!Z178</f>
        <v>Level 2</v>
      </c>
      <c r="J177" s="259">
        <f>IF(Main!A178&lt;1,"",Main!A178)</f>
        <v>191</v>
      </c>
      <c r="K177" s="260">
        <f>IF(Main!AN178&gt;0,Main!AN178,"")</f>
        <v>31950</v>
      </c>
      <c r="L177" s="258" t="str">
        <f>IF(Main!Q178&gt;0,Main!Q178,"")</f>
        <v/>
      </c>
      <c r="M177" s="410">
        <f>VALUE(IF(Main!S178&gt;0,Main!S178,""))</f>
        <v>9065591460</v>
      </c>
      <c r="N177" s="261" t="str">
        <f>Main!T178</f>
        <v/>
      </c>
      <c r="O177" s="258" t="str">
        <f>IF(Main!AO178&gt;0,Main!AO178,"")</f>
        <v>2425 Pasig Line St. Sta. Ana, Manila</v>
      </c>
      <c r="P177" s="258" t="str">
        <f>IF(Main!AP178&gt;0,Main!AP178,"")</f>
        <v>2425 Pasig Line St. Sta. Ana, Manila</v>
      </c>
      <c r="Q177" s="258" t="str">
        <f>IF(Main!AR178&gt;0,Main!AR178,"")</f>
        <v>Single</v>
      </c>
      <c r="R177" s="259" t="str">
        <f>IF(Main!AQ178&gt;0,Main!AQ178,"")</f>
        <v>Male</v>
      </c>
      <c r="S177" s="259" t="str">
        <f>IF(Main!BD178&gt;0,Main!BD178,"")</f>
        <v>34-2117540-1</v>
      </c>
      <c r="T177" s="259" t="str">
        <f>IF(Main!AX178&gt;0,Main!AX178,"")</f>
        <v>308-912-391</v>
      </c>
      <c r="U177" s="259" t="str">
        <f>IF(Main!BH178&gt;0,Main!BH178,"")</f>
        <v>01-051033094-9</v>
      </c>
      <c r="V177" s="268" t="str">
        <f>IF(Main!BF178&gt;0,Main!BF178,"")</f>
        <v>1210-5101-8438</v>
      </c>
      <c r="W177" s="263">
        <f>IF(Main!BS178&gt;0,Main!BS178,"")</f>
        <v>42102</v>
      </c>
      <c r="X177" s="263">
        <f>IF(Main!BT178&gt;0,Main!BT178,"")</f>
        <v>42102</v>
      </c>
      <c r="Y177" s="263">
        <f>IF(Main!BU178&gt;0,Main!BU178,"")</f>
        <v>42102</v>
      </c>
      <c r="Z177" s="263">
        <f>IF(Main!AS178&gt;0,Main!AS178,"")</f>
        <v>42125</v>
      </c>
      <c r="AA177" s="263">
        <f>IF(Main!BJ178&gt;0,Main!BJ178,"")</f>
        <v>42125</v>
      </c>
      <c r="AB177" s="263">
        <f>IF(Main!BC178&gt;0,Main!BC178,"")</f>
        <v>42114</v>
      </c>
      <c r="AC177" s="263">
        <f>IF(Main!AW178&gt;0,Main!AW178,"")</f>
        <v>42114</v>
      </c>
      <c r="AD177" s="263">
        <f>IF(Main!BG178&gt;0,Main!BG178,"")</f>
        <v>42114</v>
      </c>
      <c r="AE177" s="263">
        <f>IF(Main!BE178&gt;0,Main!BE178,"")</f>
        <v>42114</v>
      </c>
      <c r="AF177" s="263">
        <f>IF(Main!BM178&gt;0,Main!BM178,"")</f>
        <v>42114</v>
      </c>
      <c r="AG177" s="263" t="str">
        <f>IF(Main!BN178&gt;0,Main!BN178,"")</f>
        <v/>
      </c>
      <c r="AH177" s="263" t="str">
        <f>IF(Main!BO178&gt;0,Main!BO178,"")</f>
        <v/>
      </c>
      <c r="AI177" s="263">
        <f>IF(Main!BR178&gt;0,Main!BR178,"")</f>
        <v>42125</v>
      </c>
      <c r="AJ177" s="263">
        <f>IF(Main!BQ178&gt;0,Main!BQ178,"")</f>
        <v>42114</v>
      </c>
      <c r="AK177" s="263">
        <f>IF(Main!AV178&gt;0,Main!AV178,"")</f>
        <v>42125</v>
      </c>
      <c r="AL177" s="263">
        <f>IF(Main!AU178&gt;0,Main!AU178,"")</f>
        <v>42125</v>
      </c>
      <c r="AM177" s="263">
        <f>IF(Main!AT178&gt;0,Main!AT178,"")</f>
        <v>42125</v>
      </c>
      <c r="AN177" s="259" t="str">
        <f>Main!BW178</f>
        <v xml:space="preserve">1905 4/20/2015, 2305 4/20/2015, </v>
      </c>
    </row>
    <row r="178" spans="1:40" x14ac:dyDescent="0.25">
      <c r="A178" s="258">
        <f>Main!C179</f>
        <v>1082395</v>
      </c>
      <c r="B178" s="259" t="str">
        <f>Main!D179</f>
        <v>Calzo, Jeremiah Santos</v>
      </c>
      <c r="C178" s="259" t="str">
        <f>Main!AH179</f>
        <v>Probationary</v>
      </c>
      <c r="D178" s="260">
        <f>Main!B179</f>
        <v>42100</v>
      </c>
      <c r="E178" s="260" t="str">
        <f>IF(Main!AI179&lt;1,"",Main!AI179)</f>
        <v>Jobstreet</v>
      </c>
      <c r="F178" s="260" t="str">
        <f>IF(Main!AJ179&lt;1,"",Main!AJ179)</f>
        <v/>
      </c>
      <c r="G178" s="260" t="str">
        <f>IF(Main!AK179&lt;1,"",Main!AK179)</f>
        <v/>
      </c>
      <c r="H178" s="259" t="str">
        <f>Main!Y179</f>
        <v>Senior Recruiter</v>
      </c>
      <c r="I178" s="259" t="str">
        <f>Main!Z179</f>
        <v>Level 1</v>
      </c>
      <c r="J178" s="259">
        <f>IF(Main!A179&lt;1,"",Main!A179)</f>
        <v>191</v>
      </c>
      <c r="K178" s="260">
        <f>IF(Main!AN179&gt;0,Main!AN179,"")</f>
        <v>34103</v>
      </c>
      <c r="L178" s="258" t="str">
        <f>IF(Main!Q179&gt;0,Main!Q179,"")</f>
        <v/>
      </c>
      <c r="M178" s="410">
        <f>VALUE(IF(Main!S179&gt;0,Main!S179,""))</f>
        <v>9753357696</v>
      </c>
      <c r="N178" s="261" t="str">
        <f>Main!T179</f>
        <v/>
      </c>
      <c r="O178" s="258" t="str">
        <f>IF(Main!AO179&gt;0,Main!AO179,"")</f>
        <v>865 B. St. Paul. Barracks II, Tala, Caloocan City</v>
      </c>
      <c r="P178" s="258" t="str">
        <f>IF(Main!AP179&gt;0,Main!AP179,"")</f>
        <v/>
      </c>
      <c r="Q178" s="258" t="str">
        <f>IF(Main!AR179&gt;0,Main!AR179,"")</f>
        <v>Single</v>
      </c>
      <c r="R178" s="259" t="str">
        <f>IF(Main!AQ179&gt;0,Main!AQ179,"")</f>
        <v>Female</v>
      </c>
      <c r="S178" s="259" t="str">
        <f>IF(Main!BD179&gt;0,Main!BD179,"")</f>
        <v>34-2743714-3</v>
      </c>
      <c r="T178" s="259" t="str">
        <f>IF(Main!AX179&gt;0,Main!AX179,"")</f>
        <v>319-051-622</v>
      </c>
      <c r="U178" s="259" t="str">
        <f>IF(Main!BH179&gt;0,Main!BH179,"")</f>
        <v>02-050774604-8</v>
      </c>
      <c r="V178" s="268" t="str">
        <f>IF(Main!BF179&gt;0,Main!BF179,"")</f>
        <v>1210-2125-2050</v>
      </c>
      <c r="W178" s="263">
        <f>IF(Main!BS179&gt;0,Main!BS179,"")</f>
        <v>42102</v>
      </c>
      <c r="X178" s="263">
        <f>IF(Main!BT179&gt;0,Main!BT179,"")</f>
        <v>42102</v>
      </c>
      <c r="Y178" s="263">
        <f>IF(Main!BU179&gt;0,Main!BU179,"")</f>
        <v>42102</v>
      </c>
      <c r="Z178" s="263">
        <f>IF(Main!AS179&gt;0,Main!AS179,"")</f>
        <v>42116</v>
      </c>
      <c r="AA178" s="263">
        <f>IF(Main!BJ179&gt;0,Main!BJ179,"")</f>
        <v>42116</v>
      </c>
      <c r="AB178" s="263">
        <f>IF(Main!BC179&gt;0,Main!BC179,"")</f>
        <v>42116</v>
      </c>
      <c r="AC178" s="263">
        <f>IF(Main!AW179&gt;0,Main!AW179,"")</f>
        <v>42116</v>
      </c>
      <c r="AD178" s="263">
        <f>IF(Main!BG179&gt;0,Main!BG179,"")</f>
        <v>42116</v>
      </c>
      <c r="AE178" s="263">
        <f>IF(Main!BE179&gt;0,Main!BE179,"")</f>
        <v>42116</v>
      </c>
      <c r="AF178" s="263" t="str">
        <f>IF(Main!BM179&gt;0,Main!BM179,"")</f>
        <v/>
      </c>
      <c r="AG178" s="263" t="str">
        <f>IF(Main!BN179&gt;0,Main!BN179,"")</f>
        <v/>
      </c>
      <c r="AH178" s="263" t="str">
        <f>IF(Main!BO179&gt;0,Main!BO179,"")</f>
        <v/>
      </c>
      <c r="AI178" s="263" t="str">
        <f>IF(Main!BR179&gt;0,Main!BR179,"")</f>
        <v/>
      </c>
      <c r="AJ178" s="263" t="str">
        <f>IF(Main!BQ179&gt;0,Main!BQ179,"")</f>
        <v/>
      </c>
      <c r="AK178" s="263" t="str">
        <f>IF(Main!AV179&gt;0,Main!AV179,"")</f>
        <v/>
      </c>
      <c r="AL178" s="263">
        <f>IF(Main!AU179&gt;0,Main!AU179,"")</f>
        <v>42116</v>
      </c>
      <c r="AM178" s="263">
        <f>IF(Main!AT179&gt;0,Main!AT179,"")</f>
        <v>42116</v>
      </c>
      <c r="AN178" s="259" t="str">
        <f>Main!BW179</f>
        <v xml:space="preserve">1905 (for processing) 4/22/2015, MDR 4/22/2015, </v>
      </c>
    </row>
    <row r="179" spans="1:40" x14ac:dyDescent="0.25">
      <c r="A179" s="258">
        <f>Main!C180</f>
        <v>1082396</v>
      </c>
      <c r="B179" s="259" t="str">
        <f>Main!D180</f>
        <v>Franco, Maria Eliza Joy Lingcallo</v>
      </c>
      <c r="C179" s="259" t="str">
        <f>Main!AH180</f>
        <v>Probationary</v>
      </c>
      <c r="D179" s="260">
        <f>Main!B180</f>
        <v>42100</v>
      </c>
      <c r="E179" s="260" t="str">
        <f>IF(Main!AI180&lt;1,"",Main!AI180)</f>
        <v>Jobstreet</v>
      </c>
      <c r="F179" s="260" t="str">
        <f>IF(Main!AJ180&lt;1,"",Main!AJ180)</f>
        <v/>
      </c>
      <c r="G179" s="260" t="str">
        <f>IF(Main!AK180&lt;1,"",Main!AK180)</f>
        <v/>
      </c>
      <c r="H179" s="259" t="str">
        <f>Main!Y180</f>
        <v>Senior Recruiter</v>
      </c>
      <c r="I179" s="259" t="str">
        <f>Main!Z180</f>
        <v>Level 1</v>
      </c>
      <c r="J179" s="259">
        <f>IF(Main!A180&lt;1,"",Main!A180)</f>
        <v>191</v>
      </c>
      <c r="K179" s="260">
        <f>IF(Main!AN180&gt;0,Main!AN180,"")</f>
        <v>33300</v>
      </c>
      <c r="L179" s="258" t="str">
        <f>IF(Main!Q180&gt;0,Main!Q180,"")</f>
        <v/>
      </c>
      <c r="M179" s="410">
        <f>VALUE(IF(Main!S180&gt;0,Main!S180,""))</f>
        <v>9469733104</v>
      </c>
      <c r="N179" s="261" t="str">
        <f>Main!T180</f>
        <v/>
      </c>
      <c r="O179" s="258" t="str">
        <f>IF(Main!AO180&gt;0,Main!AO180,"")</f>
        <v>246 Joseph St. Annex 41 Brgy. Sun Valley Parañaque City</v>
      </c>
      <c r="P179" s="258" t="str">
        <f>IF(Main!AP180&gt;0,Main!AP180,"")</f>
        <v>246 Joseph St. Annex 41 Brgy. Sun Valley Parañaque City</v>
      </c>
      <c r="Q179" s="258" t="str">
        <f>IF(Main!AR180&gt;0,Main!AR180,"")</f>
        <v>Single</v>
      </c>
      <c r="R179" s="259" t="str">
        <f>IF(Main!AQ180&gt;0,Main!AQ180,"")</f>
        <v>Female</v>
      </c>
      <c r="S179" s="259" t="str">
        <f>IF(Main!BD180&gt;0,Main!BD180,"")</f>
        <v>34-2806899-3</v>
      </c>
      <c r="T179" s="259" t="str">
        <f>IF(Main!AX180&gt;0,Main!AX180,"")</f>
        <v>313-192-740</v>
      </c>
      <c r="U179" s="259" t="str">
        <f>IF(Main!BH180&gt;0,Main!BH180,"")</f>
        <v>02-050949830-0</v>
      </c>
      <c r="V179" s="268" t="str">
        <f>IF(Main!BF180&gt;0,Main!BF180,"")</f>
        <v>1210-7744-6575</v>
      </c>
      <c r="W179" s="263">
        <f>IF(Main!BS180&gt;0,Main!BS180,"")</f>
        <v>42102</v>
      </c>
      <c r="X179" s="263">
        <f>IF(Main!BT180&gt;0,Main!BT180,"")</f>
        <v>42102</v>
      </c>
      <c r="Y179" s="263">
        <f>IF(Main!BU180&gt;0,Main!BU180,"")</f>
        <v>42102</v>
      </c>
      <c r="Z179" s="263">
        <f>IF(Main!AS180&gt;0,Main!AS180,"")</f>
        <v>42116</v>
      </c>
      <c r="AA179" s="263">
        <f>IF(Main!BJ180&gt;0,Main!BJ180,"")</f>
        <v>42123</v>
      </c>
      <c r="AB179" s="263">
        <f>IF(Main!BC180&gt;0,Main!BC180,"")</f>
        <v>42124</v>
      </c>
      <c r="AC179" s="263">
        <f>IF(Main!AW180&gt;0,Main!AW180,"")</f>
        <v>42125</v>
      </c>
      <c r="AD179" s="263">
        <f>IF(Main!BG180&gt;0,Main!BG180,"")</f>
        <v>42124</v>
      </c>
      <c r="AE179" s="263">
        <f>IF(Main!BE180&gt;0,Main!BE180,"")</f>
        <v>42124</v>
      </c>
      <c r="AF179" s="263">
        <f>IF(Main!BM180&gt;0,Main!BM180,"")</f>
        <v>42123</v>
      </c>
      <c r="AG179" s="263" t="str">
        <f>IF(Main!BN180&gt;0,Main!BN180,"")</f>
        <v/>
      </c>
      <c r="AH179" s="263" t="str">
        <f>IF(Main!BO180&gt;0,Main!BO180,"")</f>
        <v/>
      </c>
      <c r="AI179" s="263" t="str">
        <f>IF(Main!BR180&gt;0,Main!BR180,"")</f>
        <v/>
      </c>
      <c r="AJ179" s="263">
        <f>IF(Main!BQ180&gt;0,Main!BQ180,"")</f>
        <v>42116</v>
      </c>
      <c r="AK179" s="263">
        <f>IF(Main!AV180&gt;0,Main!AV180,"")</f>
        <v>42125</v>
      </c>
      <c r="AL179" s="263">
        <f>IF(Main!AU180&gt;0,Main!AU180,"")</f>
        <v>42116</v>
      </c>
      <c r="AM179" s="263">
        <f>IF(Main!AT180&gt;0,Main!AT180,"")</f>
        <v>42116</v>
      </c>
      <c r="AN179" s="259" t="str">
        <f>Main!BW180</f>
        <v xml:space="preserve">1905 (for processing) 5/1/2015, 2305 (for processing) 5/1/2015, MDR 4/30/2015, </v>
      </c>
    </row>
    <row r="180" spans="1:40" x14ac:dyDescent="0.25">
      <c r="A180" s="258">
        <f>Main!C181</f>
        <v>1082397</v>
      </c>
      <c r="B180" s="259" t="str">
        <f>Main!D181</f>
        <v>Lozano, Maica Angeli Maniago</v>
      </c>
      <c r="C180" s="259" t="str">
        <f>Main!AH181</f>
        <v>Probationary</v>
      </c>
      <c r="D180" s="260">
        <f>Main!B181</f>
        <v>42100</v>
      </c>
      <c r="E180" s="260" t="str">
        <f>IF(Main!AI181&lt;1,"",Main!AI181)</f>
        <v>Jobfair</v>
      </c>
      <c r="F180" s="260" t="str">
        <f>IF(Main!AJ181&lt;1,"",Main!AJ181)</f>
        <v/>
      </c>
      <c r="G180" s="260" t="str">
        <f>IF(Main!AK181&lt;1,"",Main!AK181)</f>
        <v/>
      </c>
      <c r="H180" s="259" t="str">
        <f>Main!Y181</f>
        <v>Senior Recruiter</v>
      </c>
      <c r="I180" s="259" t="str">
        <f>Main!Z181</f>
        <v>Level 1</v>
      </c>
      <c r="J180" s="259">
        <f>IF(Main!A181&lt;1,"",Main!A181)</f>
        <v>191</v>
      </c>
      <c r="K180" s="260">
        <f>IF(Main!AN181&gt;0,Main!AN181,"")</f>
        <v>33588</v>
      </c>
      <c r="L180" s="258" t="str">
        <f>IF(Main!Q181&gt;0,Main!Q181,"")</f>
        <v/>
      </c>
      <c r="M180" s="410">
        <f>VALUE(IF(Main!S181&gt;0,Main!S181,""))</f>
        <v>9274221608</v>
      </c>
      <c r="N180" s="261" t="str">
        <f>Main!T181</f>
        <v/>
      </c>
      <c r="O180" s="258" t="str">
        <f>IF(Main!AO181&gt;0,Main!AO181,"")</f>
        <v>58A. Chioco Vinson St. BF Homes Parañaque City</v>
      </c>
      <c r="P180" s="258" t="str">
        <f>IF(Main!AP181&gt;0,Main!AP181,"")</f>
        <v>58A. Chioco Vinson St. BF Homes Parañaque City</v>
      </c>
      <c r="Q180" s="258" t="str">
        <f>IF(Main!AR181&gt;0,Main!AR181,"")</f>
        <v>Single</v>
      </c>
      <c r="R180" s="259" t="str">
        <f>IF(Main!AQ181&gt;0,Main!AQ181,"")</f>
        <v>Female</v>
      </c>
      <c r="S180" s="259" t="str">
        <f>IF(Main!BD181&gt;0,Main!BD181,"")</f>
        <v>34-3197084-5</v>
      </c>
      <c r="T180" s="259" t="str">
        <f>IF(Main!AX181&gt;0,Main!AX181,"")</f>
        <v/>
      </c>
      <c r="U180" s="259" t="str">
        <f>IF(Main!BH181&gt;0,Main!BH181,"")</f>
        <v>01-051384390-4</v>
      </c>
      <c r="V180" s="268" t="str">
        <f>IF(Main!BF181&gt;0,Main!BF181,"")</f>
        <v>1210-3238-9939</v>
      </c>
      <c r="W180" s="263">
        <f>IF(Main!BS181&gt;0,Main!BS181,"")</f>
        <v>42102</v>
      </c>
      <c r="X180" s="263">
        <f>IF(Main!BT181&gt;0,Main!BT181,"")</f>
        <v>42102</v>
      </c>
      <c r="Y180" s="263">
        <f>IF(Main!BU181&gt;0,Main!BU181,"")</f>
        <v>42102</v>
      </c>
      <c r="Z180" s="263">
        <f>IF(Main!AS181&gt;0,Main!AS181,"")</f>
        <v>42116</v>
      </c>
      <c r="AA180" s="263">
        <f>IF(Main!BJ181&gt;0,Main!BJ181,"")</f>
        <v>42116</v>
      </c>
      <c r="AB180" s="263">
        <f>IF(Main!BC181&gt;0,Main!BC181,"")</f>
        <v>42130</v>
      </c>
      <c r="AC180" s="263" t="str">
        <f>IF(Main!AW181&gt;0,Main!AW181,"")</f>
        <v/>
      </c>
      <c r="AD180" s="263">
        <f>IF(Main!BG181&gt;0,Main!BG181,"")</f>
        <v>42116</v>
      </c>
      <c r="AE180" s="263">
        <f>IF(Main!BE181&gt;0,Main!BE181,"")</f>
        <v>42116</v>
      </c>
      <c r="AF180" s="263">
        <f>IF(Main!BM181&gt;0,Main!BM181,"")</f>
        <v>42116</v>
      </c>
      <c r="AG180" s="263" t="str">
        <f>IF(Main!BN181&gt;0,Main!BN181,"")</f>
        <v/>
      </c>
      <c r="AH180" s="263" t="str">
        <f>IF(Main!BO181&gt;0,Main!BO181,"")</f>
        <v/>
      </c>
      <c r="AI180" s="263" t="str">
        <f>IF(Main!BR181&gt;0,Main!BR181,"")</f>
        <v/>
      </c>
      <c r="AJ180" s="263" t="str">
        <f>IF(Main!BQ181&gt;0,Main!BQ181,"")</f>
        <v/>
      </c>
      <c r="AK180" s="263" t="str">
        <f>IF(Main!AV181&gt;0,Main!AV181,"")</f>
        <v/>
      </c>
      <c r="AL180" s="263" t="str">
        <f>IF(Main!AU181&gt;0,Main!AU181,"")</f>
        <v/>
      </c>
      <c r="AM180" s="263">
        <f>IF(Main!AT181&gt;0,Main!AT181,"")</f>
        <v>42116</v>
      </c>
      <c r="AN180" s="259" t="str">
        <f>Main!BW181</f>
        <v/>
      </c>
    </row>
    <row r="181" spans="1:40" x14ac:dyDescent="0.25">
      <c r="A181" s="258">
        <f>Main!C182</f>
        <v>1082398</v>
      </c>
      <c r="B181" s="259" t="str">
        <f>Main!D182</f>
        <v>Niolar, Joan April Altarejos</v>
      </c>
      <c r="C181" s="259" t="str">
        <f>Main!AH182</f>
        <v>Probationary</v>
      </c>
      <c r="D181" s="260">
        <f>Main!B182</f>
        <v>42100</v>
      </c>
      <c r="E181" s="260" t="str">
        <f>IF(Main!AI182&lt;1,"",Main!AI182)</f>
        <v>Jobstreet</v>
      </c>
      <c r="F181" s="260" t="str">
        <f>IF(Main!AJ182&lt;1,"",Main!AJ182)</f>
        <v/>
      </c>
      <c r="G181" s="260" t="str">
        <f>IF(Main!AK182&lt;1,"",Main!AK182)</f>
        <v/>
      </c>
      <c r="H181" s="259" t="str">
        <f>Main!Y182</f>
        <v>Senior Recruiter</v>
      </c>
      <c r="I181" s="259" t="str">
        <f>Main!Z182</f>
        <v>Level 2</v>
      </c>
      <c r="J181" s="259">
        <f>IF(Main!A182&lt;1,"",Main!A182)</f>
        <v>191</v>
      </c>
      <c r="K181" s="260">
        <f>IF(Main!AN182&gt;0,Main!AN182,"")</f>
        <v>31506</v>
      </c>
      <c r="L181" s="258" t="str">
        <f>IF(Main!Q182&gt;0,Main!Q182,"")</f>
        <v/>
      </c>
      <c r="M181" s="410">
        <f>VALUE(IF(Main!S182&gt;0,Main!S182,""))</f>
        <v>9154477281</v>
      </c>
      <c r="N181" s="261" t="str">
        <f>Main!T182</f>
        <v/>
      </c>
      <c r="O181" s="258" t="str">
        <f>IF(Main!AO182&gt;0,Main!AO182,"")</f>
        <v>13 25 Enero St. Zone 2 Signal Village Taguig City</v>
      </c>
      <c r="P181" s="258" t="str">
        <f>IF(Main!AP182&gt;0,Main!AP182,"")</f>
        <v>13 25 Enero St. Zone 2 Signal Village Taguig City</v>
      </c>
      <c r="Q181" s="258" t="str">
        <f>IF(Main!AR182&gt;0,Main!AR182,"")</f>
        <v>Married</v>
      </c>
      <c r="R181" s="259" t="str">
        <f>IF(Main!AQ182&gt;0,Main!AQ182,"")</f>
        <v>Female</v>
      </c>
      <c r="S181" s="259" t="str">
        <f>IF(Main!BD182&gt;0,Main!BD182,"")</f>
        <v>33-8493419-0</v>
      </c>
      <c r="T181" s="259" t="str">
        <f>IF(Main!AX182&gt;0,Main!AX182,"")</f>
        <v>306-559-827</v>
      </c>
      <c r="U181" s="259" t="str">
        <f>IF(Main!BH182&gt;0,Main!BH182,"")</f>
        <v>01-050329453-8</v>
      </c>
      <c r="V181" s="268" t="str">
        <f>IF(Main!BF182&gt;0,Main!BF182,"")</f>
        <v>1210-3236-6047</v>
      </c>
      <c r="W181" s="263">
        <f>IF(Main!BS182&gt;0,Main!BS182,"")</f>
        <v>42102</v>
      </c>
      <c r="X181" s="263">
        <f>IF(Main!BT182&gt;0,Main!BT182,"")</f>
        <v>42102</v>
      </c>
      <c r="Y181" s="263">
        <f>IF(Main!BU182&gt;0,Main!BU182,"")</f>
        <v>42102</v>
      </c>
      <c r="Z181" s="263">
        <f>IF(Main!AS182&gt;0,Main!AS182,"")</f>
        <v>42116</v>
      </c>
      <c r="AA181" s="263">
        <f>IF(Main!BJ182&gt;0,Main!BJ182,"")</f>
        <v>42116</v>
      </c>
      <c r="AB181" s="263">
        <f>IF(Main!BC182&gt;0,Main!BC182,"")</f>
        <v>42116</v>
      </c>
      <c r="AC181" s="263">
        <f>IF(Main!AW182&gt;0,Main!AW182,"")</f>
        <v>42116</v>
      </c>
      <c r="AD181" s="263">
        <f>IF(Main!BG182&gt;0,Main!BG182,"")</f>
        <v>42116</v>
      </c>
      <c r="AE181" s="263">
        <f>IF(Main!BE182&gt;0,Main!BE182,"")</f>
        <v>42116</v>
      </c>
      <c r="AF181" s="263">
        <f>IF(Main!BM182&gt;0,Main!BM182,"")</f>
        <v>42118</v>
      </c>
      <c r="AG181" s="263" t="str">
        <f>IF(Main!BN182&gt;0,Main!BN182,"")</f>
        <v/>
      </c>
      <c r="AH181" s="263" t="str">
        <f>IF(Main!BO182&gt;0,Main!BO182,"")</f>
        <v/>
      </c>
      <c r="AI181" s="263" t="str">
        <f>IF(Main!BR182&gt;0,Main!BR182,"")</f>
        <v/>
      </c>
      <c r="AJ181" s="263" t="str">
        <f>IF(Main!BQ182&gt;0,Main!BQ182,"")</f>
        <v/>
      </c>
      <c r="AK181" s="263" t="str">
        <f>IF(Main!AV182&gt;0,Main!AV182,"")</f>
        <v/>
      </c>
      <c r="AL181" s="263">
        <f>IF(Main!AU182&gt;0,Main!AU182,"")</f>
        <v>42123</v>
      </c>
      <c r="AM181" s="263" t="str">
        <f>IF(Main!AT182&gt;0,Main!AT182,"")</f>
        <v/>
      </c>
      <c r="AN181" s="259" t="str">
        <f>Main!BW182</f>
        <v xml:space="preserve">1905 (for processing) 4/22/2015, </v>
      </c>
    </row>
    <row r="182" spans="1:40" x14ac:dyDescent="0.25">
      <c r="A182" s="258">
        <f>Main!C183</f>
        <v>1082399</v>
      </c>
      <c r="B182" s="259" t="str">
        <f>Main!D183</f>
        <v>Seradoy, Abbie Jane Espiritu</v>
      </c>
      <c r="C182" s="259" t="str">
        <f>Main!AH183</f>
        <v>Probationary</v>
      </c>
      <c r="D182" s="260">
        <f>Main!B183</f>
        <v>42100</v>
      </c>
      <c r="E182" s="260" t="str">
        <f>IF(Main!AI183&lt;1,"",Main!AI183)</f>
        <v>ERP - Kimberly Lalwani</v>
      </c>
      <c r="F182" s="260" t="str">
        <f>IF(Main!AJ183&lt;1,"",Main!AJ183)</f>
        <v>Kimberly Lalwani</v>
      </c>
      <c r="G182" s="260" t="str">
        <f>IF(Main!AK183&lt;1,"",Main!AK183)</f>
        <v/>
      </c>
      <c r="H182" s="259" t="str">
        <f>Main!Y183</f>
        <v>Senior Recruiter</v>
      </c>
      <c r="I182" s="259" t="str">
        <f>Main!Z183</f>
        <v>Level 2</v>
      </c>
      <c r="J182" s="259">
        <f>IF(Main!A183&lt;1,"",Main!A183)</f>
        <v>191</v>
      </c>
      <c r="K182" s="260">
        <f>IF(Main!AN183&gt;0,Main!AN183,"")</f>
        <v>36039</v>
      </c>
      <c r="L182" s="258" t="str">
        <f>IF(Main!Q183&gt;0,Main!Q183,"")</f>
        <v/>
      </c>
      <c r="M182" s="410">
        <f>VALUE(IF(Main!S183&gt;0,Main!S183,""))</f>
        <v>9052372775</v>
      </c>
      <c r="N182" s="261" t="str">
        <f>Main!T183</f>
        <v/>
      </c>
      <c r="O182" s="258" t="str">
        <f>IF(Main!AO183&gt;0,Main!AO183,"")</f>
        <v/>
      </c>
      <c r="P182" s="258" t="str">
        <f>IF(Main!AP183&gt;0,Main!AP183,"")</f>
        <v/>
      </c>
      <c r="Q182" s="258" t="str">
        <f>IF(Main!AR183&gt;0,Main!AR183,"")</f>
        <v/>
      </c>
      <c r="R182" s="259" t="str">
        <f>IF(Main!AQ183&gt;0,Main!AQ183,"")</f>
        <v/>
      </c>
      <c r="S182" s="259" t="str">
        <f>IF(Main!BD183&gt;0,Main!BD183,"")</f>
        <v/>
      </c>
      <c r="T182" s="259" t="str">
        <f>IF(Main!AX183&gt;0,Main!AX183,"")</f>
        <v/>
      </c>
      <c r="U182" s="259" t="str">
        <f>IF(Main!BH183&gt;0,Main!BH183,"")</f>
        <v/>
      </c>
      <c r="V182" s="268" t="str">
        <f>IF(Main!BF183&gt;0,Main!BF183,"")</f>
        <v/>
      </c>
      <c r="W182" s="263" t="str">
        <f>IF(Main!BS183&gt;0,Main!BS183,"")</f>
        <v/>
      </c>
      <c r="X182" s="263" t="str">
        <f>IF(Main!BT183&gt;0,Main!BT183,"")</f>
        <v/>
      </c>
      <c r="Y182" s="263" t="str">
        <f>IF(Main!BU183&gt;0,Main!BU183,"")</f>
        <v/>
      </c>
      <c r="Z182" s="263" t="str">
        <f>IF(Main!AS183&gt;0,Main!AS183,"")</f>
        <v/>
      </c>
      <c r="AA182" s="263" t="str">
        <f>IF(Main!BJ183&gt;0,Main!BJ183,"")</f>
        <v/>
      </c>
      <c r="AB182" s="263" t="str">
        <f>IF(Main!BC183&gt;0,Main!BC183,"")</f>
        <v/>
      </c>
      <c r="AC182" s="263" t="str">
        <f>IF(Main!AW183&gt;0,Main!AW183,"")</f>
        <v/>
      </c>
      <c r="AD182" s="263" t="str">
        <f>IF(Main!BG183&gt;0,Main!BG183,"")</f>
        <v/>
      </c>
      <c r="AE182" s="263" t="str">
        <f>IF(Main!BE183&gt;0,Main!BE183,"")</f>
        <v/>
      </c>
      <c r="AF182" s="263" t="str">
        <f>IF(Main!BM183&gt;0,Main!BM183,"")</f>
        <v/>
      </c>
      <c r="AG182" s="263" t="str">
        <f>IF(Main!BN183&gt;0,Main!BN183,"")</f>
        <v/>
      </c>
      <c r="AH182" s="263" t="str">
        <f>IF(Main!BO183&gt;0,Main!BO183,"")</f>
        <v/>
      </c>
      <c r="AI182" s="263" t="str">
        <f>IF(Main!BR183&gt;0,Main!BR183,"")</f>
        <v/>
      </c>
      <c r="AJ182" s="263" t="str">
        <f>IF(Main!BQ183&gt;0,Main!BQ183,"")</f>
        <v/>
      </c>
      <c r="AK182" s="263" t="str">
        <f>IF(Main!AV183&gt;0,Main!AV183,"")</f>
        <v/>
      </c>
      <c r="AL182" s="263" t="str">
        <f>IF(Main!AU183&gt;0,Main!AU183,"")</f>
        <v/>
      </c>
      <c r="AM182" s="263" t="str">
        <f>IF(Main!AT183&gt;0,Main!AT183,"")</f>
        <v/>
      </c>
      <c r="AN182" s="259" t="str">
        <f>Main!BW183</f>
        <v/>
      </c>
    </row>
    <row r="183" spans="1:40" x14ac:dyDescent="0.25">
      <c r="A183" s="258">
        <f>Main!C184</f>
        <v>1082400</v>
      </c>
      <c r="B183" s="259" t="str">
        <f>Main!D184</f>
        <v>Sinoro, Rochelle Ann Roma</v>
      </c>
      <c r="C183" s="259" t="str">
        <f>Main!AH184</f>
        <v>Probationary</v>
      </c>
      <c r="D183" s="260">
        <f>Main!B184</f>
        <v>42100</v>
      </c>
      <c r="E183" s="260" t="str">
        <f>IF(Main!AI184&lt;1,"",Main!AI184)</f>
        <v>Jobstreet</v>
      </c>
      <c r="F183" s="260" t="str">
        <f>IF(Main!AJ184&lt;1,"",Main!AJ184)</f>
        <v/>
      </c>
      <c r="G183" s="260" t="str">
        <f>IF(Main!AK184&lt;1,"",Main!AK184)</f>
        <v/>
      </c>
      <c r="H183" s="259" t="str">
        <f>Main!Y184</f>
        <v>Senior Recruiter</v>
      </c>
      <c r="I183" s="259" t="str">
        <f>Main!Z184</f>
        <v>Level 2</v>
      </c>
      <c r="J183" s="259">
        <f>IF(Main!A184&lt;1,"",Main!A184)</f>
        <v>191</v>
      </c>
      <c r="K183" s="260">
        <f>IF(Main!AN184&gt;0,Main!AN184,"")</f>
        <v>31611</v>
      </c>
      <c r="L183" s="258" t="str">
        <f>IF(Main!Q184&gt;0,Main!Q184,"")</f>
        <v/>
      </c>
      <c r="M183" s="410">
        <f>VALUE(IF(Main!S184&gt;0,Main!S184,""))</f>
        <v>9184804473</v>
      </c>
      <c r="N183" s="261" t="str">
        <f>Main!T184</f>
        <v/>
      </c>
      <c r="O183" s="258" t="str">
        <f>IF(Main!AO184&gt;0,Main!AO184,"")</f>
        <v/>
      </c>
      <c r="P183" s="258" t="str">
        <f>IF(Main!AP184&gt;0,Main!AP184,"")</f>
        <v/>
      </c>
      <c r="Q183" s="258" t="str">
        <f>IF(Main!AR184&gt;0,Main!AR184,"")</f>
        <v/>
      </c>
      <c r="R183" s="259" t="str">
        <f>IF(Main!AQ184&gt;0,Main!AQ184,"")</f>
        <v/>
      </c>
      <c r="S183" s="259" t="str">
        <f>IF(Main!BD184&gt;0,Main!BD184,"")</f>
        <v/>
      </c>
      <c r="T183" s="259" t="str">
        <f>IF(Main!AX184&gt;0,Main!AX184,"")</f>
        <v/>
      </c>
      <c r="U183" s="259" t="str">
        <f>IF(Main!BH184&gt;0,Main!BH184,"")</f>
        <v/>
      </c>
      <c r="V183" s="268" t="str">
        <f>IF(Main!BF184&gt;0,Main!BF184,"")</f>
        <v/>
      </c>
      <c r="W183" s="263" t="str">
        <f>IF(Main!BS184&gt;0,Main!BS184,"")</f>
        <v/>
      </c>
      <c r="X183" s="263" t="str">
        <f>IF(Main!BT184&gt;0,Main!BT184,"")</f>
        <v/>
      </c>
      <c r="Y183" s="263" t="str">
        <f>IF(Main!BU184&gt;0,Main!BU184,"")</f>
        <v/>
      </c>
      <c r="Z183" s="263" t="str">
        <f>IF(Main!AS184&gt;0,Main!AS184,"")</f>
        <v/>
      </c>
      <c r="AA183" s="263" t="str">
        <f>IF(Main!BJ184&gt;0,Main!BJ184,"")</f>
        <v/>
      </c>
      <c r="AB183" s="263" t="str">
        <f>IF(Main!BC184&gt;0,Main!BC184,"")</f>
        <v/>
      </c>
      <c r="AC183" s="263" t="str">
        <f>IF(Main!AW184&gt;0,Main!AW184,"")</f>
        <v/>
      </c>
      <c r="AD183" s="263" t="str">
        <f>IF(Main!BG184&gt;0,Main!BG184,"")</f>
        <v/>
      </c>
      <c r="AE183" s="263" t="str">
        <f>IF(Main!BE184&gt;0,Main!BE184,"")</f>
        <v/>
      </c>
      <c r="AF183" s="263" t="str">
        <f>IF(Main!BM184&gt;0,Main!BM184,"")</f>
        <v/>
      </c>
      <c r="AG183" s="263" t="str">
        <f>IF(Main!BN184&gt;0,Main!BN184,"")</f>
        <v/>
      </c>
      <c r="AH183" s="263" t="str">
        <f>IF(Main!BO184&gt;0,Main!BO184,"")</f>
        <v/>
      </c>
      <c r="AI183" s="263" t="str">
        <f>IF(Main!BR184&gt;0,Main!BR184,"")</f>
        <v/>
      </c>
      <c r="AJ183" s="263" t="str">
        <f>IF(Main!BQ184&gt;0,Main!BQ184,"")</f>
        <v/>
      </c>
      <c r="AK183" s="263" t="str">
        <f>IF(Main!AV184&gt;0,Main!AV184,"")</f>
        <v/>
      </c>
      <c r="AL183" s="263" t="str">
        <f>IF(Main!AU184&gt;0,Main!AU184,"")</f>
        <v/>
      </c>
      <c r="AM183" s="263" t="str">
        <f>IF(Main!AT184&gt;0,Main!AT184,"")</f>
        <v/>
      </c>
      <c r="AN183" s="259" t="str">
        <f>Main!BW184</f>
        <v/>
      </c>
    </row>
    <row r="184" spans="1:40" x14ac:dyDescent="0.25">
      <c r="A184" s="258">
        <f>Main!C185</f>
        <v>1082401</v>
      </c>
      <c r="B184" s="259" t="str">
        <f>Main!D185</f>
        <v>Tiglao, Macy Francesca Legaspi</v>
      </c>
      <c r="C184" s="259" t="str">
        <f>Main!AH185</f>
        <v>Probationary</v>
      </c>
      <c r="D184" s="260">
        <f>Main!B185</f>
        <v>42100</v>
      </c>
      <c r="E184" s="260" t="str">
        <f>IF(Main!AI185&lt;1,"",Main!AI185)</f>
        <v>ERP - Joel Escobar</v>
      </c>
      <c r="F184" s="260" t="str">
        <f>IF(Main!AJ185&lt;1,"",Main!AJ185)</f>
        <v>Joel Escobar</v>
      </c>
      <c r="G184" s="260" t="str">
        <f>IF(Main!AK185&lt;1,"",Main!AK185)</f>
        <v/>
      </c>
      <c r="H184" s="259" t="str">
        <f>Main!Y185</f>
        <v>Senior Recruiter</v>
      </c>
      <c r="I184" s="259" t="str">
        <f>Main!Z185</f>
        <v>Level 2</v>
      </c>
      <c r="J184" s="259">
        <f>IF(Main!A185&lt;1,"",Main!A185)</f>
        <v>191</v>
      </c>
      <c r="K184" s="260">
        <f>IF(Main!AN185&gt;0,Main!AN185,"")</f>
        <v>31917</v>
      </c>
      <c r="L184" s="258" t="str">
        <f>IF(Main!Q185&gt;0,Main!Q185,"")</f>
        <v/>
      </c>
      <c r="M184" s="410">
        <f>VALUE(IF(Main!S185&gt;0,Main!S185,""))</f>
        <v>9276763544</v>
      </c>
      <c r="N184" s="261" t="str">
        <f>Main!T185</f>
        <v/>
      </c>
      <c r="O184" s="258" t="str">
        <f>IF(Main!AO185&gt;0,Main!AO185,"")</f>
        <v>749 Lakas St. Old Balara T. Sora Quezon City</v>
      </c>
      <c r="P184" s="258" t="str">
        <f>IF(Main!AP185&gt;0,Main!AP185,"")</f>
        <v>749 Lakas St. Old Balara T. Sora Quezon City</v>
      </c>
      <c r="Q184" s="258" t="str">
        <f>IF(Main!AR185&gt;0,Main!AR185,"")</f>
        <v>Single</v>
      </c>
      <c r="R184" s="259" t="str">
        <f>IF(Main!AQ185&gt;0,Main!AQ185,"")</f>
        <v>Female</v>
      </c>
      <c r="S184" s="259" t="str">
        <f>IF(Main!BD185&gt;0,Main!BD185,"")</f>
        <v>34-0523655-6</v>
      </c>
      <c r="T184" s="259" t="str">
        <f>IF(Main!AX185&gt;0,Main!AX185,"")</f>
        <v>266-388-536</v>
      </c>
      <c r="U184" s="259" t="str">
        <f>IF(Main!BH185&gt;0,Main!BH185,"")</f>
        <v>01-051021176-1</v>
      </c>
      <c r="V184" s="268" t="str">
        <f>IF(Main!BF185&gt;0,Main!BF185,"")</f>
        <v>1210-9658-6638</v>
      </c>
      <c r="W184" s="263">
        <f>IF(Main!BS185&gt;0,Main!BS185,"")</f>
        <v>42102</v>
      </c>
      <c r="X184" s="263">
        <f>IF(Main!BT185&gt;0,Main!BT185,"")</f>
        <v>42102</v>
      </c>
      <c r="Y184" s="263">
        <f>IF(Main!BU185&gt;0,Main!BU185,"")</f>
        <v>42102</v>
      </c>
      <c r="Z184" s="263">
        <f>IF(Main!AS185&gt;0,Main!AS185,"")</f>
        <v>42116</v>
      </c>
      <c r="AA184" s="263">
        <f>IF(Main!BJ185&gt;0,Main!BJ185,"")</f>
        <v>42116</v>
      </c>
      <c r="AB184" s="263">
        <f>IF(Main!BC185&gt;0,Main!BC185,"")</f>
        <v>42116</v>
      </c>
      <c r="AC184" s="263">
        <f>IF(Main!AW185&gt;0,Main!AW185,"")</f>
        <v>42116</v>
      </c>
      <c r="AD184" s="263">
        <f>IF(Main!BG185&gt;0,Main!BG185,"")</f>
        <v>42116</v>
      </c>
      <c r="AE184" s="263">
        <f>IF(Main!BE185&gt;0,Main!BE185,"")</f>
        <v>42116</v>
      </c>
      <c r="AF184" s="263">
        <f>IF(Main!BM185&gt;0,Main!BM185,"")</f>
        <v>42116</v>
      </c>
      <c r="AG184" s="263" t="str">
        <f>IF(Main!BN185&gt;0,Main!BN185,"")</f>
        <v/>
      </c>
      <c r="AH184" s="263" t="str">
        <f>IF(Main!BO185&gt;0,Main!BO185,"")</f>
        <v/>
      </c>
      <c r="AI184" s="263">
        <f>IF(Main!BR185&gt;0,Main!BR185,"")</f>
        <v>42116</v>
      </c>
      <c r="AJ184" s="263">
        <f>IF(Main!BQ185&gt;0,Main!BQ185,"")</f>
        <v>42116</v>
      </c>
      <c r="AK184" s="263">
        <f>IF(Main!AV185&gt;0,Main!AV185,"")</f>
        <v>42125</v>
      </c>
      <c r="AL184" s="263">
        <f>IF(Main!AU185&gt;0,Main!AU185,"")</f>
        <v>42116</v>
      </c>
      <c r="AM184" s="263">
        <f>IF(Main!AT185&gt;0,Main!AT185,"")</f>
        <v>42116</v>
      </c>
      <c r="AN184" s="259" t="str">
        <f>Main!BW185</f>
        <v xml:space="preserve">2305 (for processing) 5/1/2015, MDR 4/22/2015, </v>
      </c>
    </row>
    <row r="185" spans="1:40" x14ac:dyDescent="0.25">
      <c r="A185" s="258">
        <f>Main!C186</f>
        <v>1082402</v>
      </c>
      <c r="B185" s="259" t="str">
        <f>Main!D186</f>
        <v xml:space="preserve">Trangia, Lor Wil </v>
      </c>
      <c r="C185" s="259" t="str">
        <f>Main!AH186</f>
        <v>Probationary</v>
      </c>
      <c r="D185" s="260">
        <f>Main!B186</f>
        <v>42100</v>
      </c>
      <c r="E185" s="260" t="str">
        <f>IF(Main!AI186&lt;1,"",Main!AI186)</f>
        <v>Jobfair</v>
      </c>
      <c r="F185" s="260" t="str">
        <f>IF(Main!AJ186&lt;1,"",Main!AJ186)</f>
        <v/>
      </c>
      <c r="G185" s="260" t="str">
        <f>IF(Main!AK186&lt;1,"",Main!AK186)</f>
        <v/>
      </c>
      <c r="H185" s="259" t="str">
        <f>Main!Y186</f>
        <v>Senior Recruiter</v>
      </c>
      <c r="I185" s="259" t="str">
        <f>Main!Z186</f>
        <v>Level 2</v>
      </c>
      <c r="J185" s="259">
        <f>IF(Main!A186&lt;1,"",Main!A186)</f>
        <v>191</v>
      </c>
      <c r="K185" s="260">
        <f>IF(Main!AN186&gt;0,Main!AN186,"")</f>
        <v>33134</v>
      </c>
      <c r="L185" s="258" t="str">
        <f>IF(Main!Q186&gt;0,Main!Q186,"")</f>
        <v/>
      </c>
      <c r="M185" s="410">
        <f>VALUE(IF(Main!S186&gt;0,Main!S186,""))</f>
        <v>9287296968</v>
      </c>
      <c r="N185" s="261" t="str">
        <f>Main!T186</f>
        <v/>
      </c>
      <c r="O185" s="258" t="str">
        <f>IF(Main!AO186&gt;0,Main!AO186,"")</f>
        <v/>
      </c>
      <c r="P185" s="258" t="str">
        <f>IF(Main!AP186&gt;0,Main!AP186,"")</f>
        <v/>
      </c>
      <c r="Q185" s="258" t="str">
        <f>IF(Main!AR186&gt;0,Main!AR186,"")</f>
        <v/>
      </c>
      <c r="R185" s="259" t="str">
        <f>IF(Main!AQ186&gt;0,Main!AQ186,"")</f>
        <v/>
      </c>
      <c r="S185" s="259" t="str">
        <f>IF(Main!BD186&gt;0,Main!BD186,"")</f>
        <v/>
      </c>
      <c r="T185" s="259" t="str">
        <f>IF(Main!AX186&gt;0,Main!AX186,"")</f>
        <v/>
      </c>
      <c r="U185" s="259" t="str">
        <f>IF(Main!BH186&gt;0,Main!BH186,"")</f>
        <v/>
      </c>
      <c r="V185" s="268" t="str">
        <f>IF(Main!BF186&gt;0,Main!BF186,"")</f>
        <v/>
      </c>
      <c r="W185" s="263" t="str">
        <f>IF(Main!BS186&gt;0,Main!BS186,"")</f>
        <v/>
      </c>
      <c r="X185" s="263" t="str">
        <f>IF(Main!BT186&gt;0,Main!BT186,"")</f>
        <v/>
      </c>
      <c r="Y185" s="263" t="str">
        <f>IF(Main!BU186&gt;0,Main!BU186,"")</f>
        <v/>
      </c>
      <c r="Z185" s="263" t="str">
        <f>IF(Main!AS186&gt;0,Main!AS186,"")</f>
        <v/>
      </c>
      <c r="AA185" s="263" t="str">
        <f>IF(Main!BJ186&gt;0,Main!BJ186,"")</f>
        <v/>
      </c>
      <c r="AB185" s="263" t="str">
        <f>IF(Main!BC186&gt;0,Main!BC186,"")</f>
        <v/>
      </c>
      <c r="AC185" s="263" t="str">
        <f>IF(Main!AW186&gt;0,Main!AW186,"")</f>
        <v/>
      </c>
      <c r="AD185" s="263" t="str">
        <f>IF(Main!BG186&gt;0,Main!BG186,"")</f>
        <v/>
      </c>
      <c r="AE185" s="263" t="str">
        <f>IF(Main!BE186&gt;0,Main!BE186,"")</f>
        <v/>
      </c>
      <c r="AF185" s="263" t="str">
        <f>IF(Main!BM186&gt;0,Main!BM186,"")</f>
        <v/>
      </c>
      <c r="AG185" s="263" t="str">
        <f>IF(Main!BN186&gt;0,Main!BN186,"")</f>
        <v/>
      </c>
      <c r="AH185" s="263" t="str">
        <f>IF(Main!BO186&gt;0,Main!BO186,"")</f>
        <v/>
      </c>
      <c r="AI185" s="263" t="str">
        <f>IF(Main!BR186&gt;0,Main!BR186,"")</f>
        <v/>
      </c>
      <c r="AJ185" s="263" t="str">
        <f>IF(Main!BQ186&gt;0,Main!BQ186,"")</f>
        <v/>
      </c>
      <c r="AK185" s="263" t="str">
        <f>IF(Main!AV186&gt;0,Main!AV186,"")</f>
        <v/>
      </c>
      <c r="AL185" s="263" t="str">
        <f>IF(Main!AU186&gt;0,Main!AU186,"")</f>
        <v/>
      </c>
      <c r="AM185" s="263" t="str">
        <f>IF(Main!AT186&gt;0,Main!AT186,"")</f>
        <v/>
      </c>
      <c r="AN185" s="259" t="str">
        <f>Main!BW186</f>
        <v/>
      </c>
    </row>
    <row r="186" spans="1:40" x14ac:dyDescent="0.25">
      <c r="A186" s="258">
        <f>Main!C187</f>
        <v>1082403</v>
      </c>
      <c r="B186" s="259" t="str">
        <f>Main!D187</f>
        <v>Laboga, Rhodalein Ann</v>
      </c>
      <c r="C186" s="259" t="str">
        <f>Main!AH187</f>
        <v>Probationary</v>
      </c>
      <c r="D186" s="260">
        <f>Main!B187</f>
        <v>42101</v>
      </c>
      <c r="E186" s="260" t="str">
        <f>IF(Main!AI187&lt;1,"",Main!AI187)</f>
        <v/>
      </c>
      <c r="F186" s="260" t="str">
        <f>IF(Main!AJ187&lt;1,"",Main!AJ187)</f>
        <v/>
      </c>
      <c r="G186" s="260" t="str">
        <f>IF(Main!AK187&lt;1,"",Main!AK187)</f>
        <v/>
      </c>
      <c r="H186" s="259" t="str">
        <f>Main!Y187</f>
        <v>Restaurant Specialist</v>
      </c>
      <c r="I186" s="259" t="str">
        <f>Main!Z187</f>
        <v>Level 2</v>
      </c>
      <c r="J186" s="259">
        <f>IF(Main!A187&lt;1,"",Main!A187)</f>
        <v>191</v>
      </c>
      <c r="K186" s="260" t="str">
        <f>IF(Main!AN187&gt;0,Main!AN187,"")</f>
        <v/>
      </c>
      <c r="L186" s="258" t="str">
        <f>IF(Main!Q187&gt;0,Main!Q187,"")</f>
        <v/>
      </c>
      <c r="M186" s="410"/>
      <c r="N186" s="261" t="str">
        <f>Main!T187</f>
        <v/>
      </c>
      <c r="O186" s="258" t="str">
        <f>IF(Main!AO187&gt;0,Main!AO187,"")</f>
        <v>Unit C5 Bldg 23, GSIS Homes, Anonas St. Sta. Mesa, Manila</v>
      </c>
      <c r="P186" s="258" t="str">
        <f>IF(Main!AP187&gt;0,Main!AP187,"")</f>
        <v/>
      </c>
      <c r="Q186" s="258" t="str">
        <f>IF(Main!AR187&gt;0,Main!AR187,"")</f>
        <v/>
      </c>
      <c r="R186" s="259" t="str">
        <f>IF(Main!AQ187&gt;0,Main!AQ187,"")</f>
        <v/>
      </c>
      <c r="S186" s="259" t="str">
        <f>IF(Main!BD187&gt;0,Main!BD187,"")</f>
        <v/>
      </c>
      <c r="T186" s="259" t="str">
        <f>IF(Main!AX187&gt;0,Main!AX187,"")</f>
        <v/>
      </c>
      <c r="U186" s="259" t="str">
        <f>IF(Main!BH187&gt;0,Main!BH187,"")</f>
        <v/>
      </c>
      <c r="V186" s="268" t="str">
        <f>IF(Main!BF187&gt;0,Main!BF187,"")</f>
        <v/>
      </c>
      <c r="W186" s="263">
        <f>IF(Main!BS187&gt;0,Main!BS187,"")</f>
        <v>42104</v>
      </c>
      <c r="X186" s="263" t="str">
        <f>IF(Main!BT187&gt;0,Main!BT187,"")</f>
        <v/>
      </c>
      <c r="Y186" s="263">
        <f>IF(Main!BU187&gt;0,Main!BU187,"")</f>
        <v>42104</v>
      </c>
      <c r="Z186" s="263" t="str">
        <f>IF(Main!AS187&gt;0,Main!AS187,"")</f>
        <v/>
      </c>
      <c r="AA186" s="263" t="str">
        <f>IF(Main!BJ187&gt;0,Main!BJ187,"")</f>
        <v/>
      </c>
      <c r="AB186" s="263" t="str">
        <f>IF(Main!BC187&gt;0,Main!BC187,"")</f>
        <v/>
      </c>
      <c r="AC186" s="263" t="str">
        <f>IF(Main!AW187&gt;0,Main!AW187,"")</f>
        <v/>
      </c>
      <c r="AD186" s="263" t="str">
        <f>IF(Main!BG187&gt;0,Main!BG187,"")</f>
        <v/>
      </c>
      <c r="AE186" s="263" t="str">
        <f>IF(Main!BE187&gt;0,Main!BE187,"")</f>
        <v/>
      </c>
      <c r="AF186" s="263" t="str">
        <f>IF(Main!BM187&gt;0,Main!BM187,"")</f>
        <v/>
      </c>
      <c r="AG186" s="263" t="str">
        <f>IF(Main!BN187&gt;0,Main!BN187,"")</f>
        <v/>
      </c>
      <c r="AH186" s="263" t="str">
        <f>IF(Main!BO187&gt;0,Main!BO187,"")</f>
        <v/>
      </c>
      <c r="AI186" s="263" t="str">
        <f>IF(Main!BR187&gt;0,Main!BR187,"")</f>
        <v/>
      </c>
      <c r="AJ186" s="263" t="str">
        <f>IF(Main!BQ187&gt;0,Main!BQ187,"")</f>
        <v/>
      </c>
      <c r="AK186" s="263" t="str">
        <f>IF(Main!AV187&gt;0,Main!AV187,"")</f>
        <v/>
      </c>
      <c r="AL186" s="263" t="str">
        <f>IF(Main!AU187&gt;0,Main!AU187,"")</f>
        <v/>
      </c>
      <c r="AM186" s="263" t="str">
        <f>IF(Main!AT187&gt;0,Main!AT187,"")</f>
        <v/>
      </c>
      <c r="AN186" s="259" t="str">
        <f>Main!BW187</f>
        <v/>
      </c>
    </row>
    <row r="187" spans="1:40" x14ac:dyDescent="0.25">
      <c r="A187" s="258">
        <f>Main!C188</f>
        <v>1082404</v>
      </c>
      <c r="B187" s="259" t="str">
        <f>Main!D188</f>
        <v>Vargas, Khedalyn Basas</v>
      </c>
      <c r="C187" s="259" t="str">
        <f>Main!AH188</f>
        <v>Probationary</v>
      </c>
      <c r="D187" s="260">
        <f>Main!B188</f>
        <v>42100</v>
      </c>
      <c r="E187" s="260" t="str">
        <f>IF(Main!AI188&lt;1,"",Main!AI188)</f>
        <v/>
      </c>
      <c r="F187" s="260" t="str">
        <f>IF(Main!AJ188&lt;1,"",Main!AJ188)</f>
        <v/>
      </c>
      <c r="G187" s="260" t="str">
        <f>IF(Main!AK188&lt;1,"",Main!AK188)</f>
        <v/>
      </c>
      <c r="H187" s="259" t="str">
        <f>Main!Y188</f>
        <v>Program Manager</v>
      </c>
      <c r="I187" s="259" t="str">
        <f>Main!Z188</f>
        <v>N/A</v>
      </c>
      <c r="J187" s="259">
        <f>IF(Main!A188&lt;1,"",Main!A188)</f>
        <v>191</v>
      </c>
      <c r="K187" s="260" t="str">
        <f>IF(Main!AN188&gt;0,Main!AN188,"")</f>
        <v/>
      </c>
      <c r="L187" s="258" t="str">
        <f>IF(Main!Q188&gt;0,Main!Q188,"")</f>
        <v/>
      </c>
      <c r="M187" s="410"/>
      <c r="N187" s="261" t="str">
        <f>Main!T188</f>
        <v/>
      </c>
      <c r="O187" s="258" t="str">
        <f>IF(Main!AO188&gt;0,Main!AO188,"")</f>
        <v>09 BB Flores St. Tuktukan Taguig City</v>
      </c>
      <c r="P187" s="258" t="str">
        <f>IF(Main!AP188&gt;0,Main!AP188,"")</f>
        <v>09 BB Flores St. Tuktukan Taguig City</v>
      </c>
      <c r="Q187" s="258" t="str">
        <f>IF(Main!AR188&gt;0,Main!AR188,"")</f>
        <v>Married</v>
      </c>
      <c r="R187" s="259" t="str">
        <f>IF(Main!AQ188&gt;0,Main!AQ188,"")</f>
        <v>Female</v>
      </c>
      <c r="S187" s="259" t="str">
        <f>IF(Main!BD188&gt;0,Main!BD188,"")</f>
        <v>33-9023284-4</v>
      </c>
      <c r="T187" s="259" t="str">
        <f>IF(Main!AX188&gt;0,Main!AX188,"")</f>
        <v>232-397-319</v>
      </c>
      <c r="U187" s="259" t="str">
        <f>IF(Main!BH188&gt;0,Main!BH188,"")</f>
        <v>01-050138477-7</v>
      </c>
      <c r="V187" s="268" t="str">
        <f>IF(Main!BF188&gt;0,Main!BF188,"")</f>
        <v>1010-0111-2529</v>
      </c>
      <c r="W187" s="263">
        <f>IF(Main!BS188&gt;0,Main!BS188,"")</f>
        <v>42047</v>
      </c>
      <c r="X187" s="263" t="str">
        <f>IF(Main!BT188&gt;0,Main!BT188,"")</f>
        <v/>
      </c>
      <c r="Y187" s="263" t="str">
        <f>IF(Main!BU188&gt;0,Main!BU188,"")</f>
        <v/>
      </c>
      <c r="Z187" s="263">
        <f>IF(Main!AS188&gt;0,Main!AS188,"")</f>
        <v>42109</v>
      </c>
      <c r="AA187" s="263">
        <f>IF(Main!BJ188&gt;0,Main!BJ188,"")</f>
        <v>42109</v>
      </c>
      <c r="AB187" s="263">
        <f>IF(Main!BC188&gt;0,Main!BC188,"")</f>
        <v>42109</v>
      </c>
      <c r="AC187" s="263">
        <f>IF(Main!AW188&gt;0,Main!AW188,"")</f>
        <v>42109</v>
      </c>
      <c r="AD187" s="263">
        <f>IF(Main!BG188&gt;0,Main!BG188,"")</f>
        <v>42122</v>
      </c>
      <c r="AE187" s="263">
        <f>IF(Main!BE188&gt;0,Main!BE188,"")</f>
        <v>42109</v>
      </c>
      <c r="AF187" s="263">
        <f>IF(Main!BM188&gt;0,Main!BM188,"")</f>
        <v>42109</v>
      </c>
      <c r="AG187" s="263" t="str">
        <f>IF(Main!BN188&gt;0,Main!BN188,"")</f>
        <v/>
      </c>
      <c r="AH187" s="263" t="str">
        <f>IF(Main!BO188&gt;0,Main!BO188,"")</f>
        <v/>
      </c>
      <c r="AI187" s="263">
        <f>IF(Main!BR188&gt;0,Main!BR188,"")</f>
        <v>42109</v>
      </c>
      <c r="AJ187" s="263">
        <f>IF(Main!BQ188&gt;0,Main!BQ188,"")</f>
        <v>42122</v>
      </c>
      <c r="AK187" s="263">
        <f>IF(Main!AV188&gt;0,Main!AV188,"")</f>
        <v>42109</v>
      </c>
      <c r="AL187" s="263">
        <f>IF(Main!AU188&gt;0,Main!AU188,"")</f>
        <v>42109</v>
      </c>
      <c r="AM187" s="263">
        <f>IF(Main!AT188&gt;0,Main!AT188,"")</f>
        <v>42109</v>
      </c>
      <c r="AN187" s="259" t="str">
        <f>Main!BW188</f>
        <v xml:space="preserve">1905 (for processing) 4/15/2015, 2305 (for processing) 4/28/2015, MDR 4/28/2015, </v>
      </c>
    </row>
    <row r="188" spans="1:40" x14ac:dyDescent="0.25">
      <c r="A188" s="258">
        <f>Main!C189</f>
        <v>1082405</v>
      </c>
      <c r="B188" s="259" t="str">
        <f>Main!D189</f>
        <v>Macawili, Hannajo Gane</v>
      </c>
      <c r="C188" s="259" t="str">
        <f>Main!AH189</f>
        <v>Probationary</v>
      </c>
      <c r="D188" s="260">
        <f>Main!B189</f>
        <v>42107</v>
      </c>
      <c r="E188" s="260" t="str">
        <f>IF(Main!AI189&lt;1,"",Main!AI189)</f>
        <v>Jobstreet</v>
      </c>
      <c r="F188" s="260" t="str">
        <f>IF(Main!AJ189&lt;1,"",Main!AJ189)</f>
        <v/>
      </c>
      <c r="G188" s="260" t="str">
        <f>IF(Main!AK189&lt;1,"",Main!AK189)</f>
        <v/>
      </c>
      <c r="H188" s="259" t="str">
        <f>Main!Y189</f>
        <v>US Reference Check Specialist</v>
      </c>
      <c r="I188" s="259" t="str">
        <f>Main!Z189</f>
        <v>Level 2</v>
      </c>
      <c r="J188" s="259">
        <f>IF(Main!A189&lt;1,"",Main!A189)</f>
        <v>192</v>
      </c>
      <c r="K188" s="260">
        <f>IF(Main!AN189&gt;0,Main!AN189,"")</f>
        <v>32582</v>
      </c>
      <c r="L188" s="258" t="str">
        <f>IF(Main!Q189&gt;0,Main!Q189,"")</f>
        <v>hannajomacawili@rocketmail.com</v>
      </c>
      <c r="M188" s="410">
        <f>VALUE(IF(Main!S189&gt;0,Main!S189,""))</f>
        <v>9357003199</v>
      </c>
      <c r="N188" s="261" t="str">
        <f>Main!T189</f>
        <v/>
      </c>
      <c r="O188" s="258" t="str">
        <f>IF(Main!AO189&gt;0,Main!AO189,"")</f>
        <v>Blk 1 Lot 6 Isla Verde St., Brgy Pitogo Makati City</v>
      </c>
      <c r="P188" s="258" t="str">
        <f>IF(Main!AP189&gt;0,Main!AP189,"")</f>
        <v/>
      </c>
      <c r="Q188" s="258" t="str">
        <f>IF(Main!AR189&gt;0,Main!AR189,"")</f>
        <v>Single</v>
      </c>
      <c r="R188" s="259" t="str">
        <f>IF(Main!AQ189&gt;0,Main!AQ189,"")</f>
        <v>Female</v>
      </c>
      <c r="S188" s="259" t="str">
        <f>IF(Main!BD189&gt;0,Main!BD189,"")</f>
        <v/>
      </c>
      <c r="T188" s="259" t="str">
        <f>IF(Main!AX189&gt;0,Main!AX189,"")</f>
        <v>310-487-589</v>
      </c>
      <c r="U188" s="259" t="str">
        <f>IF(Main!BH189&gt;0,Main!BH189,"")</f>
        <v>01-051296190-3</v>
      </c>
      <c r="V188" s="268" t="str">
        <f>IF(Main!BF189&gt;0,Main!BF189,"")</f>
        <v/>
      </c>
      <c r="W188" s="263">
        <f>IF(Main!BS189&gt;0,Main!BS189,"")</f>
        <v>42107</v>
      </c>
      <c r="X188" s="263">
        <f>IF(Main!BT189&gt;0,Main!BT189,"")</f>
        <v>42107</v>
      </c>
      <c r="Y188" s="263">
        <f>IF(Main!BU189&gt;0,Main!BU189,"")</f>
        <v>42107</v>
      </c>
      <c r="Z188" s="263">
        <f>IF(Main!AS189&gt;0,Main!AS189,"")</f>
        <v>42109</v>
      </c>
      <c r="AA188" s="263">
        <f>IF(Main!BJ189&gt;0,Main!BJ189,"")</f>
        <v>42109</v>
      </c>
      <c r="AB188" s="263" t="str">
        <f>IF(Main!BC189&gt;0,Main!BC189,"")</f>
        <v/>
      </c>
      <c r="AC188" s="263">
        <f>IF(Main!AW189&gt;0,Main!AW189,"")</f>
        <v>42109</v>
      </c>
      <c r="AD188" s="263">
        <f>IF(Main!BG189&gt;0,Main!BG189,"")</f>
        <v>42118</v>
      </c>
      <c r="AE188" s="263" t="str">
        <f>IF(Main!BE189&gt;0,Main!BE189,"")</f>
        <v/>
      </c>
      <c r="AF188" s="263">
        <f>IF(Main!BM189&gt;0,Main!BM189,"")</f>
        <v>42108</v>
      </c>
      <c r="AG188" s="263" t="str">
        <f>IF(Main!BN189&gt;0,Main!BN189,"")</f>
        <v/>
      </c>
      <c r="AH188" s="263" t="str">
        <f>IF(Main!BO189&gt;0,Main!BO189,"")</f>
        <v/>
      </c>
      <c r="AI188" s="263" t="str">
        <f>IF(Main!BR189&gt;0,Main!BR189,"")</f>
        <v/>
      </c>
      <c r="AJ188" s="263" t="str">
        <f>IF(Main!BQ189&gt;0,Main!BQ189,"")</f>
        <v/>
      </c>
      <c r="AK188" s="263" t="str">
        <f>IF(Main!AV189&gt;0,Main!AV189,"")</f>
        <v/>
      </c>
      <c r="AL188" s="263">
        <f>IF(Main!AU189&gt;0,Main!AU189,"")</f>
        <v>42108</v>
      </c>
      <c r="AM188" s="263" t="str">
        <f>IF(Main!AT189&gt;0,Main!AT189,"")</f>
        <v/>
      </c>
      <c r="AN188" s="259" t="str">
        <f>Main!BW189</f>
        <v xml:space="preserve">MDR 4/24/2015, </v>
      </c>
    </row>
    <row r="189" spans="1:40" x14ac:dyDescent="0.25">
      <c r="A189" s="258">
        <f>Main!C190</f>
        <v>1082406</v>
      </c>
      <c r="B189" s="259" t="str">
        <f>Main!D190</f>
        <v>Javero, Marvie Ancot</v>
      </c>
      <c r="C189" s="259" t="str">
        <f>Main!AH190</f>
        <v>Probationary</v>
      </c>
      <c r="D189" s="260">
        <f>Main!B190</f>
        <v>42107</v>
      </c>
      <c r="E189" s="260" t="str">
        <f>IF(Main!AI190&lt;1,"",Main!AI190)</f>
        <v>Jobstreet</v>
      </c>
      <c r="F189" s="260" t="str">
        <f>IF(Main!AJ190&lt;1,"",Main!AJ190)</f>
        <v/>
      </c>
      <c r="G189" s="260" t="str">
        <f>IF(Main!AK190&lt;1,"",Main!AK190)</f>
        <v/>
      </c>
      <c r="H189" s="259" t="str">
        <f>Main!Y190</f>
        <v>US Reference Check Specialist</v>
      </c>
      <c r="I189" s="259" t="str">
        <f>Main!Z190</f>
        <v>Level 1</v>
      </c>
      <c r="J189" s="259">
        <f>IF(Main!A190&lt;1,"",Main!A190)</f>
        <v>192</v>
      </c>
      <c r="K189" s="260">
        <f>IF(Main!AN190&gt;0,Main!AN190,"")</f>
        <v>32367</v>
      </c>
      <c r="L189" s="258" t="str">
        <f>IF(Main!Q190&gt;0,Main!Q190,"")</f>
        <v>majavero08@gmail.com</v>
      </c>
      <c r="M189" s="410">
        <f>VALUE(IF(Main!S190&gt;0,Main!S190,""))</f>
        <v>9278529037</v>
      </c>
      <c r="N189" s="261" t="str">
        <f>Main!T190</f>
        <v/>
      </c>
      <c r="O189" s="258" t="str">
        <f>IF(Main!AO190&gt;0,Main!AO190,"")</f>
        <v>#41 Ilang-Ilang St. Camella Homes 2 OPSV Parañaque City</v>
      </c>
      <c r="P189" s="258" t="str">
        <f>IF(Main!AP190&gt;0,Main!AP190,"")</f>
        <v>#41 Ilang-Ilang St. Camella Homes 2 OPSV Parañaque City</v>
      </c>
      <c r="Q189" s="258" t="str">
        <f>IF(Main!AR190&gt;0,Main!AR190,"")</f>
        <v>Single</v>
      </c>
      <c r="R189" s="259" t="str">
        <f>IF(Main!AQ190&gt;0,Main!AQ190,"")</f>
        <v>Female</v>
      </c>
      <c r="S189" s="259" t="str">
        <f>IF(Main!BD190&gt;0,Main!BD190,"")</f>
        <v>34-2036538-0</v>
      </c>
      <c r="T189" s="259" t="str">
        <f>IF(Main!AX190&gt;0,Main!AX190,"")</f>
        <v>305-602-041</v>
      </c>
      <c r="U189" s="259" t="str">
        <f>IF(Main!BH190&gt;0,Main!BH190,"")</f>
        <v>01-051029463-2</v>
      </c>
      <c r="V189" s="268" t="str">
        <f>IF(Main!BF190&gt;0,Main!BF190,"")</f>
        <v>1210-6220-4319</v>
      </c>
      <c r="W189" s="263">
        <f>IF(Main!BS190&gt;0,Main!BS190,"")</f>
        <v>42107</v>
      </c>
      <c r="X189" s="263">
        <f>IF(Main!BT190&gt;0,Main!BT190,"")</f>
        <v>42107</v>
      </c>
      <c r="Y189" s="263">
        <f>IF(Main!BU190&gt;0,Main!BU190,"")</f>
        <v>42107</v>
      </c>
      <c r="Z189" s="263">
        <f>IF(Main!AS190&gt;0,Main!AS190,"")</f>
        <v>42109</v>
      </c>
      <c r="AA189" s="263">
        <f>IF(Main!BJ190&gt;0,Main!BJ190,"")</f>
        <v>42108</v>
      </c>
      <c r="AB189" s="263">
        <f>IF(Main!BC190&gt;0,Main!BC190,"")</f>
        <v>42108</v>
      </c>
      <c r="AC189" s="263">
        <f>IF(Main!AW190&gt;0,Main!AW190,"")</f>
        <v>42108</v>
      </c>
      <c r="AD189" s="263">
        <f>IF(Main!BG190&gt;0,Main!BG190,"")</f>
        <v>42109</v>
      </c>
      <c r="AE189" s="263">
        <f>IF(Main!BE190&gt;0,Main!BE190,"")</f>
        <v>42108</v>
      </c>
      <c r="AF189" s="263">
        <f>IF(Main!BM190&gt;0,Main!BM190,"")</f>
        <v>42108</v>
      </c>
      <c r="AG189" s="263" t="str">
        <f>IF(Main!BN190&gt;0,Main!BN190,"")</f>
        <v/>
      </c>
      <c r="AH189" s="263" t="str">
        <f>IF(Main!BO190&gt;0,Main!BO190,"")</f>
        <v/>
      </c>
      <c r="AI189" s="263">
        <f>IF(Main!BR190&gt;0,Main!BR190,"")</f>
        <v>42107</v>
      </c>
      <c r="AJ189" s="263">
        <f>IF(Main!BQ190&gt;0,Main!BQ190,"")</f>
        <v>42109</v>
      </c>
      <c r="AK189" s="263">
        <f>IF(Main!AV190&gt;0,Main!AV190,"")</f>
        <v>42108</v>
      </c>
      <c r="AL189" s="263">
        <f>IF(Main!AU190&gt;0,Main!AU190,"")</f>
        <v>42108</v>
      </c>
      <c r="AM189" s="263">
        <f>IF(Main!AT190&gt;0,Main!AT190,"")</f>
        <v>42108</v>
      </c>
      <c r="AN189" s="259" t="str">
        <f>Main!BW190</f>
        <v>2305 (for processing) 4/14/2015, MDR 4/15/2015, 2316 (2014) - 4/14/2015</v>
      </c>
    </row>
    <row r="190" spans="1:40" x14ac:dyDescent="0.25">
      <c r="A190" s="258">
        <f>Main!C191</f>
        <v>1082407</v>
      </c>
      <c r="B190" s="259" t="str">
        <f>Main!D191</f>
        <v>Vera, Peter Cris Casiño</v>
      </c>
      <c r="C190" s="259" t="str">
        <f>Main!AH191</f>
        <v>Probationary</v>
      </c>
      <c r="D190" s="260">
        <f>Main!B191</f>
        <v>42107</v>
      </c>
      <c r="E190" s="260" t="str">
        <f>IF(Main!AI191&lt;1,"",Main!AI191)</f>
        <v>Jobstreet</v>
      </c>
      <c r="F190" s="260" t="str">
        <f>IF(Main!AJ191&lt;1,"",Main!AJ191)</f>
        <v/>
      </c>
      <c r="G190" s="260" t="str">
        <f>IF(Main!AK191&lt;1,"",Main!AK191)</f>
        <v/>
      </c>
      <c r="H190" s="259" t="str">
        <f>Main!Y191</f>
        <v>Operations Support Specialist</v>
      </c>
      <c r="I190" s="259" t="str">
        <f>Main!Z191</f>
        <v>N/A</v>
      </c>
      <c r="J190" s="259">
        <f>IF(Main!A191&lt;1,"",Main!A191)</f>
        <v>192</v>
      </c>
      <c r="K190" s="260">
        <f>IF(Main!AN191&gt;0,Main!AN191,"")</f>
        <v>32123</v>
      </c>
      <c r="L190" s="258" t="str">
        <f>IF(Main!Q191&gt;0,Main!Q191,"")</f>
        <v>petercrisvera@gmail.com</v>
      </c>
      <c r="M190" s="410">
        <f>VALUE(IF(Main!S191&gt;0,Main!S191,""))</f>
        <v>9064082769</v>
      </c>
      <c r="N190" s="261" t="str">
        <f>Main!T191</f>
        <v>9162089820</v>
      </c>
      <c r="O190" s="258" t="str">
        <f>IF(Main!AO191&gt;0,Main!AO191,"")</f>
        <v>#1110 Durian St. Camarin Area D Caloocan City</v>
      </c>
      <c r="P190" s="258" t="str">
        <f>IF(Main!AP191&gt;0,Main!AP191,"")</f>
        <v>#1110 Durian St. Camarin Area D Caloocan City</v>
      </c>
      <c r="Q190" s="258" t="str">
        <f>IF(Main!AR191&gt;0,Main!AR191,"")</f>
        <v>Single</v>
      </c>
      <c r="R190" s="259" t="str">
        <f>IF(Main!AQ191&gt;0,Main!AQ191,"")</f>
        <v>Male</v>
      </c>
      <c r="S190" s="259" t="str">
        <f>IF(Main!BD191&gt;0,Main!BD191,"")</f>
        <v/>
      </c>
      <c r="T190" s="259" t="str">
        <f>IF(Main!AX191&gt;0,Main!AX191,"")</f>
        <v/>
      </c>
      <c r="U190" s="259" t="str">
        <f>IF(Main!BH191&gt;0,Main!BH191,"")</f>
        <v/>
      </c>
      <c r="V190" s="268" t="str">
        <f>IF(Main!BF191&gt;0,Main!BF191,"")</f>
        <v/>
      </c>
      <c r="W190" s="263">
        <f>IF(Main!BS191&gt;0,Main!BS191,"")</f>
        <v>42107</v>
      </c>
      <c r="X190" s="263">
        <f>IF(Main!BT191&gt;0,Main!BT191,"")</f>
        <v>42107</v>
      </c>
      <c r="Y190" s="263">
        <f>IF(Main!BU191&gt;0,Main!BU191,"")</f>
        <v>42107</v>
      </c>
      <c r="Z190" s="263">
        <f>IF(Main!AS191&gt;0,Main!AS191,"")</f>
        <v>42121</v>
      </c>
      <c r="AA190" s="263">
        <f>IF(Main!BJ191&gt;0,Main!BJ191,"")</f>
        <v>42121</v>
      </c>
      <c r="AB190" s="263" t="str">
        <f>IF(Main!BC191&gt;0,Main!BC191,"")</f>
        <v/>
      </c>
      <c r="AC190" s="263" t="str">
        <f>IF(Main!AW191&gt;0,Main!AW191,"")</f>
        <v/>
      </c>
      <c r="AD190" s="263" t="str">
        <f>IF(Main!BG191&gt;0,Main!BG191,"")</f>
        <v/>
      </c>
      <c r="AE190" s="263" t="str">
        <f>IF(Main!BE191&gt;0,Main!BE191,"")</f>
        <v/>
      </c>
      <c r="AF190" s="263">
        <f>IF(Main!BM191&gt;0,Main!BM191,"")</f>
        <v>42121</v>
      </c>
      <c r="AG190" s="263" t="str">
        <f>IF(Main!BN191&gt;0,Main!BN191,"")</f>
        <v/>
      </c>
      <c r="AH190" s="263">
        <f>IF(Main!BO191&gt;0,Main!BO191,"")</f>
        <v>42121</v>
      </c>
      <c r="AI190" s="263" t="str">
        <f>IF(Main!BR191&gt;0,Main!BR191,"")</f>
        <v/>
      </c>
      <c r="AJ190" s="263" t="str">
        <f>IF(Main!BQ191&gt;0,Main!BQ191,"")</f>
        <v/>
      </c>
      <c r="AK190" s="263" t="str">
        <f>IF(Main!AV191&gt;0,Main!AV191,"")</f>
        <v/>
      </c>
      <c r="AL190" s="263" t="str">
        <f>IF(Main!AU191&gt;0,Main!AU191,"")</f>
        <v/>
      </c>
      <c r="AM190" s="263">
        <f>IF(Main!AT191&gt;0,Main!AT191,"")</f>
        <v>42121</v>
      </c>
      <c r="AN190" s="259" t="str">
        <f>Main!BW191</f>
        <v/>
      </c>
    </row>
    <row r="191" spans="1:40" x14ac:dyDescent="0.25">
      <c r="A191" s="258">
        <f>Main!C192</f>
        <v>1082408</v>
      </c>
      <c r="B191" s="259" t="str">
        <f>Main!D192</f>
        <v>Duque, Alyssa Janelle Jimeno</v>
      </c>
      <c r="C191" s="259" t="str">
        <f>Main!AH192</f>
        <v>Probationary</v>
      </c>
      <c r="D191" s="260">
        <f>Main!B192</f>
        <v>42107</v>
      </c>
      <c r="E191" s="260" t="str">
        <f>IF(Main!AI192&lt;1,"",Main!AI192)</f>
        <v>Jobstreet</v>
      </c>
      <c r="F191" s="260" t="str">
        <f>IF(Main!AJ192&lt;1,"",Main!AJ192)</f>
        <v/>
      </c>
      <c r="G191" s="260" t="str">
        <f>IF(Main!AK192&lt;1,"",Main!AK192)</f>
        <v/>
      </c>
      <c r="H191" s="259" t="str">
        <f>Main!Y192</f>
        <v>Internal Recruiter</v>
      </c>
      <c r="I191" s="259" t="str">
        <f>Main!Z192</f>
        <v>Level 1</v>
      </c>
      <c r="J191" s="259">
        <f>IF(Main!A192&lt;1,"",Main!A192)</f>
        <v>192</v>
      </c>
      <c r="K191" s="260">
        <f>IF(Main!AN192&gt;0,Main!AN192,"")</f>
        <v>33990</v>
      </c>
      <c r="L191" s="258" t="str">
        <f>IF(Main!Q192&gt;0,Main!Q192,"")</f>
        <v>alyssaduque@yahoo.com</v>
      </c>
      <c r="M191" s="410">
        <f>VALUE(IF(Main!S192&gt;0,Main!S192,""))</f>
        <v>9153478182</v>
      </c>
      <c r="N191" s="261" t="str">
        <f>Main!T192</f>
        <v/>
      </c>
      <c r="O191" s="258" t="str">
        <f>IF(Main!AO192&gt;0,Main!AO192,"")</f>
        <v>23 J E. Jacinto St., West Rembo Fort Bonifacio, Makati City</v>
      </c>
      <c r="P191" s="258" t="str">
        <f>IF(Main!AP192&gt;0,Main!AP192,"")</f>
        <v/>
      </c>
      <c r="Q191" s="258" t="str">
        <f>IF(Main!AR192&gt;0,Main!AR192,"")</f>
        <v/>
      </c>
      <c r="R191" s="259" t="str">
        <f>IF(Main!AQ192&gt;0,Main!AQ192,"")</f>
        <v/>
      </c>
      <c r="S191" s="259" t="str">
        <f>IF(Main!BD192&gt;0,Main!BD192,"")</f>
        <v>34-4386931-3</v>
      </c>
      <c r="T191" s="259" t="str">
        <f>IF(Main!AX192&gt;0,Main!AX192,"")</f>
        <v>451-762-782</v>
      </c>
      <c r="U191" s="259" t="str">
        <f>IF(Main!BH192&gt;0,Main!BH192,"")</f>
        <v>01-025617015-4</v>
      </c>
      <c r="V191" s="268" t="str">
        <f>IF(Main!BF192&gt;0,Main!BF192,"")</f>
        <v>1211-1667-7061</v>
      </c>
      <c r="W191" s="263">
        <f>IF(Main!BS192&gt;0,Main!BS192,"")</f>
        <v>42107</v>
      </c>
      <c r="X191" s="263">
        <f>IF(Main!BT192&gt;0,Main!BT192,"")</f>
        <v>42107</v>
      </c>
      <c r="Y191" s="263">
        <f>IF(Main!BU192&gt;0,Main!BU192,"")</f>
        <v>42107</v>
      </c>
      <c r="Z191" s="263" t="str">
        <f>IF(Main!AS192&gt;0,Main!AS192,"")</f>
        <v/>
      </c>
      <c r="AA191" s="263">
        <f>IF(Main!BJ192&gt;0,Main!BJ192,"")</f>
        <v>42109</v>
      </c>
      <c r="AB191" s="263">
        <f>IF(Main!BC192&gt;0,Main!BC192,"")</f>
        <v>42109</v>
      </c>
      <c r="AC191" s="263">
        <f>IF(Main!AW192&gt;0,Main!AW192,"")</f>
        <v>42109</v>
      </c>
      <c r="AD191" s="263">
        <f>IF(Main!BG192&gt;0,Main!BG192,"")</f>
        <v>42109</v>
      </c>
      <c r="AE191" s="263">
        <f>IF(Main!BE192&gt;0,Main!BE192,"")</f>
        <v>42109</v>
      </c>
      <c r="AF191" s="263">
        <f>IF(Main!BM192&gt;0,Main!BM192,"")</f>
        <v>42108</v>
      </c>
      <c r="AG191" s="263" t="str">
        <f>IF(Main!BN192&gt;0,Main!BN192,"")</f>
        <v/>
      </c>
      <c r="AH191" s="263" t="str">
        <f>IF(Main!BO192&gt;0,Main!BO192,"")</f>
        <v/>
      </c>
      <c r="AI191" s="263" t="str">
        <f>IF(Main!BR192&gt;0,Main!BR192,"")</f>
        <v/>
      </c>
      <c r="AJ191" s="263" t="str">
        <f>IF(Main!BQ192&gt;0,Main!BQ192,"")</f>
        <v/>
      </c>
      <c r="AK191" s="263" t="str">
        <f>IF(Main!AV192&gt;0,Main!AV192,"")</f>
        <v/>
      </c>
      <c r="AL191" s="263">
        <f>IF(Main!AU192&gt;0,Main!AU192,"")</f>
        <v>42108</v>
      </c>
      <c r="AM191" s="263">
        <f>IF(Main!AT192&gt;0,Main!AT192,"")</f>
        <v>42108</v>
      </c>
      <c r="AN191" s="259" t="str">
        <f>Main!BW192</f>
        <v xml:space="preserve">1905 4/15/2015, 2305 4/14/2015, </v>
      </c>
    </row>
    <row r="192" spans="1:40" x14ac:dyDescent="0.25">
      <c r="A192" s="258">
        <f>Main!C193</f>
        <v>1082409</v>
      </c>
      <c r="B192" s="259" t="str">
        <f>Main!D193</f>
        <v>Cruz, Marou Louis Novora</v>
      </c>
      <c r="C192" s="259" t="str">
        <f>Main!AH193</f>
        <v>Probationary</v>
      </c>
      <c r="D192" s="260">
        <f>Main!B193</f>
        <v>42107</v>
      </c>
      <c r="E192" s="260" t="str">
        <f>IF(Main!AI193&lt;1,"",Main!AI193)</f>
        <v>Jobstreet</v>
      </c>
      <c r="F192" s="260" t="str">
        <f>IF(Main!AJ193&lt;1,"",Main!AJ193)</f>
        <v/>
      </c>
      <c r="G192" s="260" t="str">
        <f>IF(Main!AK193&lt;1,"",Main!AK193)</f>
        <v/>
      </c>
      <c r="H192" s="259" t="str">
        <f>Main!Y193</f>
        <v>Senior Recruiter</v>
      </c>
      <c r="I192" s="259" t="str">
        <f>Main!Z193</f>
        <v>Level 2</v>
      </c>
      <c r="J192" s="259">
        <f>IF(Main!A193&lt;1,"",Main!A193)</f>
        <v>192</v>
      </c>
      <c r="K192" s="260">
        <f>IF(Main!AN193&gt;0,Main!AN193,"")</f>
        <v>33668</v>
      </c>
      <c r="L192" s="258" t="str">
        <f>IF(Main!Q193&gt;0,Main!Q193,"")</f>
        <v>maroulouis@gmail.com</v>
      </c>
      <c r="M192" s="410">
        <f>VALUE(IF(Main!S193&gt;0,Main!S193,""))</f>
        <v>9167772022</v>
      </c>
      <c r="N192" s="261" t="str">
        <f>Main!T193</f>
        <v/>
      </c>
      <c r="O192" s="258" t="str">
        <f>IF(Main!AO193&gt;0,Main!AO193,"")</f>
        <v>59 San Diego Subd., Caloocan City</v>
      </c>
      <c r="P192" s="258" t="str">
        <f>IF(Main!AP193&gt;0,Main!AP193,"")</f>
        <v>59 San Diego Subd., Caloocan City</v>
      </c>
      <c r="Q192" s="258" t="str">
        <f>IF(Main!AR193&gt;0,Main!AR193,"")</f>
        <v>Single</v>
      </c>
      <c r="R192" s="259" t="str">
        <f>IF(Main!AQ193&gt;0,Main!AQ193,"")</f>
        <v>Male</v>
      </c>
      <c r="S192" s="259" t="str">
        <f>IF(Main!BD193&gt;0,Main!BD193,"")</f>
        <v>34-3190197-9</v>
      </c>
      <c r="T192" s="259" t="str">
        <f>IF(Main!AX193&gt;0,Main!AX193,"")</f>
        <v>311-400-408</v>
      </c>
      <c r="U192" s="259" t="str">
        <f>IF(Main!BH193&gt;0,Main!BH193,"")</f>
        <v>02-050987130-3</v>
      </c>
      <c r="V192" s="268" t="str">
        <f>IF(Main!BF193&gt;0,Main!BF193,"")</f>
        <v>1210-6069-4631</v>
      </c>
      <c r="W192" s="263">
        <f>IF(Main!BS193&gt;0,Main!BS193,"")</f>
        <v>42110</v>
      </c>
      <c r="X192" s="263">
        <f>IF(Main!BT193&gt;0,Main!BT193,"")</f>
        <v>42110</v>
      </c>
      <c r="Y192" s="263">
        <f>IF(Main!BU193&gt;0,Main!BU193,"")</f>
        <v>42110</v>
      </c>
      <c r="Z192" s="263">
        <f>IF(Main!AS193&gt;0,Main!AS193,"")</f>
        <v>42118</v>
      </c>
      <c r="AA192" s="263">
        <f>IF(Main!BJ193&gt;0,Main!BJ193,"")</f>
        <v>42118</v>
      </c>
      <c r="AB192" s="263">
        <f>IF(Main!BC193&gt;0,Main!BC193,"")</f>
        <v>42118</v>
      </c>
      <c r="AC192" s="263">
        <f>IF(Main!AW193&gt;0,Main!AW193,"")</f>
        <v>42118</v>
      </c>
      <c r="AD192" s="263">
        <f>IF(Main!BG193&gt;0,Main!BG193,"")</f>
        <v>42118</v>
      </c>
      <c r="AE192" s="263">
        <f>IF(Main!BE193&gt;0,Main!BE193,"")</f>
        <v>42118</v>
      </c>
      <c r="AF192" s="263">
        <f>IF(Main!BM193&gt;0,Main!BM193,"")</f>
        <v>42118</v>
      </c>
      <c r="AG192" s="263" t="str">
        <f>IF(Main!BN193&gt;0,Main!BN193,"")</f>
        <v/>
      </c>
      <c r="AH192" s="263" t="str">
        <f>IF(Main!BO193&gt;0,Main!BO193,"")</f>
        <v/>
      </c>
      <c r="AI192" s="263">
        <f>IF(Main!BR193&gt;0,Main!BR193,"")</f>
        <v>42118</v>
      </c>
      <c r="AJ192" s="263">
        <f>IF(Main!BQ193&gt;0,Main!BQ193,"")</f>
        <v>42118</v>
      </c>
      <c r="AK192" s="263">
        <f>IF(Main!AV193&gt;0,Main!AV193,"")</f>
        <v>42130</v>
      </c>
      <c r="AL192" s="263">
        <f>IF(Main!AU193&gt;0,Main!AU193,"")</f>
        <v>42118</v>
      </c>
      <c r="AM192" s="263">
        <f>IF(Main!AT193&gt;0,Main!AT193,"")</f>
        <v>42118</v>
      </c>
      <c r="AN192" s="259" t="str">
        <f>Main!BW193</f>
        <v xml:space="preserve">1905 (for processing) 4/24/2015, 2305 (for processing) 4/24/2015, MDR 4/24/2015, </v>
      </c>
    </row>
    <row r="193" spans="1:40" x14ac:dyDescent="0.25">
      <c r="A193" s="258">
        <f>Main!C194</f>
        <v>1082410</v>
      </c>
      <c r="B193" s="259" t="str">
        <f>Main!D194</f>
        <v>Manalili, Jade Beatriz Leyba</v>
      </c>
      <c r="C193" s="259" t="str">
        <f>Main!AH194</f>
        <v>Probationary</v>
      </c>
      <c r="D193" s="260">
        <f>Main!B194</f>
        <v>42107</v>
      </c>
      <c r="E193" s="260" t="str">
        <f>IF(Main!AI194&lt;1,"",Main!AI194)</f>
        <v>ARP-Roxanne Verdera</v>
      </c>
      <c r="F193" s="260" t="str">
        <f>IF(Main!AJ194&lt;1,"",Main!AJ194)</f>
        <v/>
      </c>
      <c r="G193" s="260" t="str">
        <f>IF(Main!AK194&lt;1,"",Main!AK194)</f>
        <v/>
      </c>
      <c r="H193" s="259" t="str">
        <f>Main!Y194</f>
        <v>Senior Recruiter</v>
      </c>
      <c r="I193" s="259" t="str">
        <f>Main!Z194</f>
        <v>Level 1</v>
      </c>
      <c r="J193" s="259">
        <f>IF(Main!A194&lt;1,"",Main!A194)</f>
        <v>192</v>
      </c>
      <c r="K193" s="260">
        <f>IF(Main!AN194&gt;0,Main!AN194,"")</f>
        <v>33534</v>
      </c>
      <c r="L193" s="258" t="str">
        <f>IF(Main!Q194&gt;0,Main!Q194,"")</f>
        <v>jadebea_manalili@yahoo.com</v>
      </c>
      <c r="M193" s="410">
        <f>VALUE(IF(Main!S194&gt;0,Main!S194,""))</f>
        <v>9156738931</v>
      </c>
      <c r="N193" s="261" t="str">
        <f>Main!T194</f>
        <v/>
      </c>
      <c r="O193" s="258" t="str">
        <f>IF(Main!AO194&gt;0,Main!AO194,"")</f>
        <v>18E Agueda, St., Bahay Toro Project 8, Quezon City</v>
      </c>
      <c r="P193" s="258" t="str">
        <f>IF(Main!AP194&gt;0,Main!AP194,"")</f>
        <v/>
      </c>
      <c r="Q193" s="258" t="str">
        <f>IF(Main!AR194&gt;0,Main!AR194,"")</f>
        <v/>
      </c>
      <c r="R193" s="259" t="str">
        <f>IF(Main!AQ194&gt;0,Main!AQ194,"")</f>
        <v/>
      </c>
      <c r="S193" s="259" t="str">
        <f>IF(Main!BD194&gt;0,Main!BD194,"")</f>
        <v/>
      </c>
      <c r="T193" s="259" t="str">
        <f>IF(Main!AX194&gt;0,Main!AX194,"")</f>
        <v/>
      </c>
      <c r="U193" s="259" t="str">
        <f>IF(Main!BH194&gt;0,Main!BH194,"")</f>
        <v/>
      </c>
      <c r="V193" s="268" t="str">
        <f>IF(Main!BF194&gt;0,Main!BF194,"")</f>
        <v/>
      </c>
      <c r="W193" s="263">
        <f>IF(Main!BS194&gt;0,Main!BS194,"")</f>
        <v>42110</v>
      </c>
      <c r="X193" s="263">
        <f>IF(Main!BT194&gt;0,Main!BT194,"")</f>
        <v>42110</v>
      </c>
      <c r="Y193" s="263">
        <f>IF(Main!BU194&gt;0,Main!BU194,"")</f>
        <v>42110</v>
      </c>
      <c r="Z193" s="263" t="str">
        <f>IF(Main!AS194&gt;0,Main!AS194,"")</f>
        <v/>
      </c>
      <c r="AA193" s="263" t="str">
        <f>IF(Main!BJ194&gt;0,Main!BJ194,"")</f>
        <v/>
      </c>
      <c r="AB193" s="263" t="str">
        <f>IF(Main!BC194&gt;0,Main!BC194,"")</f>
        <v/>
      </c>
      <c r="AC193" s="263" t="str">
        <f>IF(Main!AW194&gt;0,Main!AW194,"")</f>
        <v/>
      </c>
      <c r="AD193" s="263" t="str">
        <f>IF(Main!BG194&gt;0,Main!BG194,"")</f>
        <v/>
      </c>
      <c r="AE193" s="263" t="str">
        <f>IF(Main!BE194&gt;0,Main!BE194,"")</f>
        <v/>
      </c>
      <c r="AF193" s="263" t="str">
        <f>IF(Main!BM194&gt;0,Main!BM194,"")</f>
        <v/>
      </c>
      <c r="AG193" s="263" t="str">
        <f>IF(Main!BN194&gt;0,Main!BN194,"")</f>
        <v/>
      </c>
      <c r="AH193" s="263" t="str">
        <f>IF(Main!BO194&gt;0,Main!BO194,"")</f>
        <v/>
      </c>
      <c r="AI193" s="263" t="str">
        <f>IF(Main!BR194&gt;0,Main!BR194,"")</f>
        <v/>
      </c>
      <c r="AJ193" s="263" t="str">
        <f>IF(Main!BQ194&gt;0,Main!BQ194,"")</f>
        <v/>
      </c>
      <c r="AK193" s="263" t="str">
        <f>IF(Main!AV194&gt;0,Main!AV194,"")</f>
        <v/>
      </c>
      <c r="AL193" s="263" t="str">
        <f>IF(Main!AU194&gt;0,Main!AU194,"")</f>
        <v/>
      </c>
      <c r="AM193" s="263">
        <f>IF(Main!AT194&gt;0,Main!AT194,"")</f>
        <v>42105</v>
      </c>
      <c r="AN193" s="259" t="str">
        <f>Main!BW194</f>
        <v/>
      </c>
    </row>
    <row r="194" spans="1:40" x14ac:dyDescent="0.25">
      <c r="A194" s="258">
        <f>Main!C195</f>
        <v>1082411</v>
      </c>
      <c r="B194" s="259" t="str">
        <f>Main!D195</f>
        <v>Verdera, Roxanne Aguilar</v>
      </c>
      <c r="C194" s="259" t="str">
        <f>Main!AH195</f>
        <v>Probationary</v>
      </c>
      <c r="D194" s="260">
        <f>Main!B195</f>
        <v>42107</v>
      </c>
      <c r="E194" s="260" t="str">
        <f>IF(Main!AI195&lt;1,"",Main!AI195)</f>
        <v>Jobstreet</v>
      </c>
      <c r="F194" s="260" t="str">
        <f>IF(Main!AJ195&lt;1,"",Main!AJ195)</f>
        <v/>
      </c>
      <c r="G194" s="260" t="str">
        <f>IF(Main!AK195&lt;1,"",Main!AK195)</f>
        <v/>
      </c>
      <c r="H194" s="259" t="str">
        <f>Main!Y195</f>
        <v>Senior Recruiter</v>
      </c>
      <c r="I194" s="259" t="str">
        <f>Main!Z195</f>
        <v>Level 2</v>
      </c>
      <c r="J194" s="259">
        <f>IF(Main!A195&lt;1,"",Main!A195)</f>
        <v>192</v>
      </c>
      <c r="K194" s="260">
        <f>IF(Main!AN195&gt;0,Main!AN195,"")</f>
        <v>31538</v>
      </c>
      <c r="L194" s="258" t="str">
        <f>IF(Main!Q195&gt;0,Main!Q195,"")</f>
        <v>roxanne_verdera@yahoo.com</v>
      </c>
      <c r="M194" s="410">
        <f>VALUE(IF(Main!S195&gt;0,Main!S195,""))</f>
        <v>9168841596</v>
      </c>
      <c r="N194" s="261" t="str">
        <f>Main!T195</f>
        <v/>
      </c>
      <c r="O194" s="258" t="str">
        <f>IF(Main!AO195&gt;0,Main!AO195,"")</f>
        <v>Blk 701 Lot 1 Ph 3  Metrogate Marilao Bulacan</v>
      </c>
      <c r="P194" s="258" t="str">
        <f>IF(Main!AP195&gt;0,Main!AP195,"")</f>
        <v>Blk 701 Lot 1 Ph 3  Metrogate Marilao Bulacan</v>
      </c>
      <c r="Q194" s="258" t="str">
        <f>IF(Main!AR195&gt;0,Main!AR195,"")</f>
        <v>Single</v>
      </c>
      <c r="R194" s="259" t="str">
        <f>IF(Main!AQ195&gt;0,Main!AQ195,"")</f>
        <v>Female</v>
      </c>
      <c r="S194" s="259" t="str">
        <f>IF(Main!BD195&gt;0,Main!BD195,"")</f>
        <v>33-9535153-9</v>
      </c>
      <c r="T194" s="259" t="str">
        <f>IF(Main!AX195&gt;0,Main!AX195,"")</f>
        <v>306-482-437</v>
      </c>
      <c r="U194" s="259" t="str">
        <f>IF(Main!BH195&gt;0,Main!BH195,"")</f>
        <v>01-050511706-4</v>
      </c>
      <c r="V194" s="268" t="str">
        <f>IF(Main!BF195&gt;0,Main!BF195,"")</f>
        <v>1210-1248-3627</v>
      </c>
      <c r="W194" s="263">
        <f>IF(Main!BS195&gt;0,Main!BS195,"")</f>
        <v>42110</v>
      </c>
      <c r="X194" s="263">
        <f>IF(Main!BT195&gt;0,Main!BT195,"")</f>
        <v>42110</v>
      </c>
      <c r="Y194" s="263">
        <f>IF(Main!BU195&gt;0,Main!BU195,"")</f>
        <v>42110</v>
      </c>
      <c r="Z194" s="263">
        <f>IF(Main!AS195&gt;0,Main!AS195,"")</f>
        <v>42136</v>
      </c>
      <c r="AA194" s="263">
        <f>IF(Main!BJ195&gt;0,Main!BJ195,"")</f>
        <v>42136</v>
      </c>
      <c r="AB194" s="263">
        <f>IF(Main!BC195&gt;0,Main!BC195,"")</f>
        <v>42136</v>
      </c>
      <c r="AC194" s="263">
        <f>IF(Main!AW195&gt;0,Main!AW195,"")</f>
        <v>42136</v>
      </c>
      <c r="AD194" s="263">
        <f>IF(Main!BG195&gt;0,Main!BG195,"")</f>
        <v>42136</v>
      </c>
      <c r="AE194" s="263">
        <f>IF(Main!BE195&gt;0,Main!BE195,"")</f>
        <v>42136</v>
      </c>
      <c r="AF194" s="263">
        <f>IF(Main!BM195&gt;0,Main!BM195,"")</f>
        <v>42136</v>
      </c>
      <c r="AG194" s="263" t="str">
        <f>IF(Main!BN195&gt;0,Main!BN195,"")</f>
        <v/>
      </c>
      <c r="AH194" s="263" t="str">
        <f>IF(Main!BO195&gt;0,Main!BO195,"")</f>
        <v/>
      </c>
      <c r="AI194" s="263">
        <f>IF(Main!BR195&gt;0,Main!BR195,"")</f>
        <v>42136</v>
      </c>
      <c r="AJ194" s="263">
        <f>IF(Main!BQ195&gt;0,Main!BQ195,"")</f>
        <v>42136</v>
      </c>
      <c r="AK194" s="263">
        <f>IF(Main!AV195&gt;0,Main!AV195,"")</f>
        <v>42136</v>
      </c>
      <c r="AL194" s="263">
        <f>IF(Main!AU195&gt;0,Main!AU195,"")</f>
        <v>42136</v>
      </c>
      <c r="AM194" s="263">
        <f>IF(Main!AT195&gt;0,Main!AT195,"")</f>
        <v>42105</v>
      </c>
      <c r="AN194" s="259" t="str">
        <f>Main!BW195</f>
        <v>2305 (for processing) 5/12/2015, MDR 5/12/2015, 2316 (2014) - 5/12/2015</v>
      </c>
    </row>
    <row r="195" spans="1:40" x14ac:dyDescent="0.25">
      <c r="A195" s="258">
        <f>Main!C196</f>
        <v>1082412</v>
      </c>
      <c r="B195" s="259" t="str">
        <f>Main!D196</f>
        <v>Leyretana, Margareth Pura</v>
      </c>
      <c r="C195" s="259" t="str">
        <f>Main!AH196</f>
        <v>Probationary</v>
      </c>
      <c r="D195" s="260">
        <f>Main!B196</f>
        <v>42107</v>
      </c>
      <c r="E195" s="260" t="str">
        <f>IF(Main!AI196&lt;1,"",Main!AI196)</f>
        <v>Jobstreet</v>
      </c>
      <c r="F195" s="260" t="str">
        <f>IF(Main!AJ196&lt;1,"",Main!AJ196)</f>
        <v/>
      </c>
      <c r="G195" s="260" t="str">
        <f>IF(Main!AK196&lt;1,"",Main!AK196)</f>
        <v/>
      </c>
      <c r="H195" s="259" t="str">
        <f>Main!Y196</f>
        <v>Senior Recruiter</v>
      </c>
      <c r="I195" s="259" t="str">
        <f>Main!Z196</f>
        <v>Level 2</v>
      </c>
      <c r="J195" s="259">
        <f>IF(Main!A196&lt;1,"",Main!A196)</f>
        <v>192</v>
      </c>
      <c r="K195" s="260">
        <f>IF(Main!AN196&gt;0,Main!AN196,"")</f>
        <v>34673</v>
      </c>
      <c r="L195" s="258" t="str">
        <f>IF(Main!Q196&gt;0,Main!Q196,"")</f>
        <v>ageth1205@yahoo.com</v>
      </c>
      <c r="M195" s="410">
        <f>VALUE(IF(Main!S196&gt;0,Main!S196,""))</f>
        <v>9064319240</v>
      </c>
      <c r="N195" s="261" t="str">
        <f>Main!T196</f>
        <v/>
      </c>
      <c r="O195" s="258" t="str">
        <f>IF(Main!AO196&gt;0,Main!AO196,"")</f>
        <v>Blk 7 Lot 20 Phase 1 Sta. Elena Subd. Brgy. San Jose, Antipolo, Rizal</v>
      </c>
      <c r="P195" s="258" t="str">
        <f>IF(Main!AP196&gt;0,Main!AP196,"")</f>
        <v/>
      </c>
      <c r="Q195" s="258" t="str">
        <f>IF(Main!AR196&gt;0,Main!AR196,"")</f>
        <v/>
      </c>
      <c r="R195" s="259" t="str">
        <f>IF(Main!AQ196&gt;0,Main!AQ196,"")</f>
        <v/>
      </c>
      <c r="S195" s="259" t="str">
        <f>IF(Main!BD196&gt;0,Main!BD196,"")</f>
        <v/>
      </c>
      <c r="T195" s="259" t="str">
        <f>IF(Main!AX196&gt;0,Main!AX196,"")</f>
        <v/>
      </c>
      <c r="U195" s="259" t="str">
        <f>IF(Main!BH196&gt;0,Main!BH196,"")</f>
        <v/>
      </c>
      <c r="V195" s="268" t="str">
        <f>IF(Main!BF196&gt;0,Main!BF196,"")</f>
        <v/>
      </c>
      <c r="W195" s="263">
        <f>IF(Main!BS196&gt;0,Main!BS196,"")</f>
        <v>42110</v>
      </c>
      <c r="X195" s="263">
        <f>IF(Main!BT196&gt;0,Main!BT196,"")</f>
        <v>42110</v>
      </c>
      <c r="Y195" s="263">
        <f>IF(Main!BU196&gt;0,Main!BU196,"")</f>
        <v>42110</v>
      </c>
      <c r="Z195" s="263" t="str">
        <f>IF(Main!AS196&gt;0,Main!AS196,"")</f>
        <v/>
      </c>
      <c r="AA195" s="263" t="str">
        <f>IF(Main!BJ196&gt;0,Main!BJ196,"")</f>
        <v/>
      </c>
      <c r="AB195" s="263" t="str">
        <f>IF(Main!BC196&gt;0,Main!BC196,"")</f>
        <v/>
      </c>
      <c r="AC195" s="263" t="str">
        <f>IF(Main!AW196&gt;0,Main!AW196,"")</f>
        <v/>
      </c>
      <c r="AD195" s="263" t="str">
        <f>IF(Main!BG196&gt;0,Main!BG196,"")</f>
        <v/>
      </c>
      <c r="AE195" s="263" t="str">
        <f>IF(Main!BE196&gt;0,Main!BE196,"")</f>
        <v/>
      </c>
      <c r="AF195" s="263" t="str">
        <f>IF(Main!BM196&gt;0,Main!BM196,"")</f>
        <v/>
      </c>
      <c r="AG195" s="263" t="str">
        <f>IF(Main!BN196&gt;0,Main!BN196,"")</f>
        <v/>
      </c>
      <c r="AH195" s="263" t="str">
        <f>IF(Main!BO196&gt;0,Main!BO196,"")</f>
        <v/>
      </c>
      <c r="AI195" s="263" t="str">
        <f>IF(Main!BR196&gt;0,Main!BR196,"")</f>
        <v/>
      </c>
      <c r="AJ195" s="263" t="str">
        <f>IF(Main!BQ196&gt;0,Main!BQ196,"")</f>
        <v/>
      </c>
      <c r="AK195" s="263">
        <f>IF(Main!AV196&gt;0,Main!AV196,"")</f>
        <v>42107</v>
      </c>
      <c r="AL195" s="263" t="str">
        <f>IF(Main!AU196&gt;0,Main!AU196,"")</f>
        <v/>
      </c>
      <c r="AM195" s="263">
        <f>IF(Main!AT196&gt;0,Main!AT196,"")</f>
        <v>42105</v>
      </c>
      <c r="AN195" s="259" t="str">
        <f>Main!BW196</f>
        <v/>
      </c>
    </row>
    <row r="196" spans="1:40" x14ac:dyDescent="0.25">
      <c r="A196" s="258">
        <f>Main!C197</f>
        <v>1082413</v>
      </c>
      <c r="B196" s="259" t="str">
        <f>Main!D197</f>
        <v>Sobior, Reinerio Avenido</v>
      </c>
      <c r="C196" s="259" t="str">
        <f>Main!AH197</f>
        <v>Probationary</v>
      </c>
      <c r="D196" s="260">
        <f>Main!B197</f>
        <v>42107</v>
      </c>
      <c r="E196" s="260" t="str">
        <f>IF(Main!AI197&lt;1,"",Main!AI197)</f>
        <v>ARP</v>
      </c>
      <c r="F196" s="260" t="str">
        <f>IF(Main!AJ197&lt;1,"",Main!AJ197)</f>
        <v/>
      </c>
      <c r="G196" s="260" t="str">
        <f>IF(Main!AK197&lt;1,"",Main!AK197)</f>
        <v/>
      </c>
      <c r="H196" s="259" t="str">
        <f>Main!Y197</f>
        <v>Senior Recruiter</v>
      </c>
      <c r="I196" s="259" t="str">
        <f>Main!Z197</f>
        <v>Level 2</v>
      </c>
      <c r="J196" s="259">
        <f>IF(Main!A197&lt;1,"",Main!A197)</f>
        <v>192</v>
      </c>
      <c r="K196" s="260">
        <f>IF(Main!AN197&gt;0,Main!AN197,"")</f>
        <v>33375</v>
      </c>
      <c r="L196" s="258" t="str">
        <f>IF(Main!Q197&gt;0,Main!Q197,"")</f>
        <v>dadda3173@gmail.com</v>
      </c>
      <c r="M196" s="410">
        <f>VALUE(IF(Main!S197&gt;0,Main!S197,""))</f>
        <v>9258329475</v>
      </c>
      <c r="N196" s="261" t="str">
        <f>Main!T197</f>
        <v/>
      </c>
      <c r="O196" s="258" t="str">
        <f>IF(Main!AO197&gt;0,Main!AO197,"")</f>
        <v>188 A. Luna St. Poblacion, Mandaluyong City</v>
      </c>
      <c r="P196" s="258" t="str">
        <f>IF(Main!AP197&gt;0,Main!AP197,"")</f>
        <v>188 A. Luna St. Poblacion, Mandaluyong City</v>
      </c>
      <c r="Q196" s="258" t="str">
        <f>IF(Main!AR197&gt;0,Main!AR197,"")</f>
        <v>Single</v>
      </c>
      <c r="R196" s="259" t="str">
        <f>IF(Main!AQ197&gt;0,Main!AQ197,"")</f>
        <v>Male</v>
      </c>
      <c r="S196" s="259" t="str">
        <f>IF(Main!BD197&gt;0,Main!BD197,"")</f>
        <v>34-3292916-7</v>
      </c>
      <c r="T196" s="259" t="str">
        <f>IF(Main!AX197&gt;0,Main!AX197,"")</f>
        <v>424-647-705</v>
      </c>
      <c r="U196" s="259" t="str">
        <f>IF(Main!BH197&gt;0,Main!BH197,"")</f>
        <v>01-051405897-6</v>
      </c>
      <c r="V196" s="268" t="str">
        <f>IF(Main!BF197&gt;0,Main!BF197,"")</f>
        <v>1210-7282-6729</v>
      </c>
      <c r="W196" s="263">
        <f>IF(Main!BS197&gt;0,Main!BS197,"")</f>
        <v>42110</v>
      </c>
      <c r="X196" s="263">
        <f>IF(Main!BT197&gt;0,Main!BT197,"")</f>
        <v>42110</v>
      </c>
      <c r="Y196" s="263">
        <f>IF(Main!BU197&gt;0,Main!BU197,"")</f>
        <v>42110</v>
      </c>
      <c r="Z196" s="263">
        <f>IF(Main!AS197&gt;0,Main!AS197,"")</f>
        <v>42125</v>
      </c>
      <c r="AA196" s="263">
        <f>IF(Main!BJ197&gt;0,Main!BJ197,"")</f>
        <v>42125</v>
      </c>
      <c r="AB196" s="263">
        <f>IF(Main!BC197&gt;0,Main!BC197,"")</f>
        <v>42125</v>
      </c>
      <c r="AC196" s="263">
        <f>IF(Main!AW197&gt;0,Main!AW197,"")</f>
        <v>42125</v>
      </c>
      <c r="AD196" s="263">
        <f>IF(Main!BG197&gt;0,Main!BG197,"")</f>
        <v>42125</v>
      </c>
      <c r="AE196" s="263">
        <f>IF(Main!BE197&gt;0,Main!BE197,"")</f>
        <v>42125</v>
      </c>
      <c r="AF196" s="263">
        <f>IF(Main!BM197&gt;0,Main!BM197,"")</f>
        <v>42125</v>
      </c>
      <c r="AG196" s="263" t="str">
        <f>IF(Main!BN197&gt;0,Main!BN197,"")</f>
        <v/>
      </c>
      <c r="AH196" s="263" t="str">
        <f>IF(Main!BO197&gt;0,Main!BO197,"")</f>
        <v/>
      </c>
      <c r="AI196" s="263" t="str">
        <f>IF(Main!BR197&gt;0,Main!BR197,"")</f>
        <v/>
      </c>
      <c r="AJ196" s="263">
        <f>IF(Main!BQ197&gt;0,Main!BQ197,"")</f>
        <v>42130</v>
      </c>
      <c r="AK196" s="263">
        <f>IF(Main!AV197&gt;0,Main!AV197,"")</f>
        <v>42107</v>
      </c>
      <c r="AL196" s="263">
        <f>IF(Main!AU197&gt;0,Main!AU197,"")</f>
        <v>42125</v>
      </c>
      <c r="AM196" s="263">
        <f>IF(Main!AT197&gt;0,Main!AT197,"")</f>
        <v>42125</v>
      </c>
      <c r="AN196" s="259" t="str">
        <f>Main!BW197</f>
        <v xml:space="preserve">2305 5/7/2015, </v>
      </c>
    </row>
    <row r="197" spans="1:40" x14ac:dyDescent="0.25">
      <c r="A197" s="258">
        <f>Main!C198</f>
        <v>1082414</v>
      </c>
      <c r="B197" s="259" t="str">
        <f>Main!D198</f>
        <v>Hipe, Maciste Cheyenne Ramasasa</v>
      </c>
      <c r="C197" s="259" t="str">
        <f>Main!AH198</f>
        <v>Probationary</v>
      </c>
      <c r="D197" s="260">
        <f>Main!B198</f>
        <v>42107</v>
      </c>
      <c r="E197" s="260" t="str">
        <f>IF(Main!AI198&lt;1,"",Main!AI198)</f>
        <v>Jobstreet</v>
      </c>
      <c r="F197" s="260" t="str">
        <f>IF(Main!AJ198&lt;1,"",Main!AJ198)</f>
        <v/>
      </c>
      <c r="G197" s="260" t="str">
        <f>IF(Main!AK198&lt;1,"",Main!AK198)</f>
        <v/>
      </c>
      <c r="H197" s="259" t="str">
        <f>Main!Y198</f>
        <v>Senior Recruiter</v>
      </c>
      <c r="I197" s="259" t="str">
        <f>Main!Z198</f>
        <v>Level 1</v>
      </c>
      <c r="J197" s="259">
        <f>IF(Main!A198&lt;1,"",Main!A198)</f>
        <v>192</v>
      </c>
      <c r="K197" s="260">
        <f>IF(Main!AN198&gt;0,Main!AN198,"")</f>
        <v>32141</v>
      </c>
      <c r="L197" s="258" t="str">
        <f>IF(Main!Q198&gt;0,Main!Q198,"")</f>
        <v>scarletcero@gmail.com</v>
      </c>
      <c r="M197" s="410">
        <f>VALUE(IF(Main!S198&gt;0,Main!S198,""))</f>
        <v>9076794835</v>
      </c>
      <c r="N197" s="261" t="str">
        <f>Main!T198</f>
        <v/>
      </c>
      <c r="O197" s="258" t="str">
        <f>IF(Main!AO198&gt;0,Main!AO198,"")</f>
        <v>4DK  St. Magsaysay, Brgy Manggahan Pasig City</v>
      </c>
      <c r="P197" s="258" t="str">
        <f>IF(Main!AP198&gt;0,Main!AP198,"")</f>
        <v>201 A P. Burgos St. Tacloban City</v>
      </c>
      <c r="Q197" s="258" t="str">
        <f>IF(Main!AR198&gt;0,Main!AR198,"")</f>
        <v>Single</v>
      </c>
      <c r="R197" s="259" t="str">
        <f>IF(Main!AQ198&gt;0,Main!AQ198,"")</f>
        <v>Male</v>
      </c>
      <c r="S197" s="259" t="str">
        <f>IF(Main!BD198&gt;0,Main!BD198,"")</f>
        <v>06-2807724-0</v>
      </c>
      <c r="T197" s="259" t="str">
        <f>IF(Main!AX198&gt;0,Main!AX198,"")</f>
        <v>277-677-703</v>
      </c>
      <c r="U197" s="259" t="str">
        <f>IF(Main!BH198&gt;0,Main!BH198,"")</f>
        <v>13-050101464-9</v>
      </c>
      <c r="V197" s="268" t="str">
        <f>IF(Main!BF198&gt;0,Main!BF198,"")</f>
        <v>1210-9354-9693</v>
      </c>
      <c r="W197" s="263">
        <f>IF(Main!BS198&gt;0,Main!BS198,"")</f>
        <v>42110</v>
      </c>
      <c r="X197" s="263">
        <f>IF(Main!BT198&gt;0,Main!BT198,"")</f>
        <v>42110</v>
      </c>
      <c r="Y197" s="263">
        <f>IF(Main!BU198&gt;0,Main!BU198,"")</f>
        <v>42110</v>
      </c>
      <c r="Z197" s="263">
        <f>IF(Main!AS198&gt;0,Main!AS198,"")</f>
        <v>42109</v>
      </c>
      <c r="AA197" s="263">
        <f>IF(Main!BJ198&gt;0,Main!BJ198,"")</f>
        <v>42118</v>
      </c>
      <c r="AB197" s="263">
        <f>IF(Main!BC198&gt;0,Main!BC198,"")</f>
        <v>42118</v>
      </c>
      <c r="AC197" s="263">
        <f>IF(Main!AW198&gt;0,Main!AW198,"")</f>
        <v>42109</v>
      </c>
      <c r="AD197" s="263">
        <f>IF(Main!BG198&gt;0,Main!BG198,"")</f>
        <v>42118</v>
      </c>
      <c r="AE197" s="263">
        <f>IF(Main!BE198&gt;0,Main!BE198,"")</f>
        <v>42118</v>
      </c>
      <c r="AF197" s="263">
        <f>IF(Main!BM198&gt;0,Main!BM198,"")</f>
        <v>42109</v>
      </c>
      <c r="AG197" s="263" t="str">
        <f>IF(Main!BN198&gt;0,Main!BN198,"")</f>
        <v/>
      </c>
      <c r="AH197" s="263" t="str">
        <f>IF(Main!BO198&gt;0,Main!BO198,"")</f>
        <v/>
      </c>
      <c r="AI197" s="263" t="str">
        <f>IF(Main!BR198&gt;0,Main!BR198,"")</f>
        <v/>
      </c>
      <c r="AJ197" s="263">
        <f>IF(Main!BQ198&gt;0,Main!BQ198,"")</f>
        <v>42109</v>
      </c>
      <c r="AK197" s="263">
        <f>IF(Main!AV198&gt;0,Main!AV198,"")</f>
        <v>42107</v>
      </c>
      <c r="AL197" s="263">
        <f>IF(Main!AU198&gt;0,Main!AU198,"")</f>
        <v>42109</v>
      </c>
      <c r="AM197" s="263">
        <f>IF(Main!AT198&gt;0,Main!AT198,"")</f>
        <v>42109</v>
      </c>
      <c r="AN197" s="259" t="str">
        <f>Main!BW198</f>
        <v xml:space="preserve">1905 4/15/2015, 2305 4/15/2015, </v>
      </c>
    </row>
    <row r="198" spans="1:40" ht="30" x14ac:dyDescent="0.25">
      <c r="A198" s="258">
        <f>Main!C199</f>
        <v>1082415</v>
      </c>
      <c r="B198" s="259" t="str">
        <f>Main!D199</f>
        <v>Camba, Darilyn Idos</v>
      </c>
      <c r="C198" s="259" t="str">
        <f>Main!AH199</f>
        <v>Probationary</v>
      </c>
      <c r="D198" s="260">
        <f>Main!B199</f>
        <v>42107</v>
      </c>
      <c r="E198" s="260" t="str">
        <f>IF(Main!AI199&lt;1,"",Main!AI199)</f>
        <v>Jobstreet</v>
      </c>
      <c r="F198" s="260" t="str">
        <f>IF(Main!AJ199&lt;1,"",Main!AJ199)</f>
        <v/>
      </c>
      <c r="G198" s="260" t="str">
        <f>IF(Main!AK199&lt;1,"",Main!AK199)</f>
        <v/>
      </c>
      <c r="H198" s="259" t="str">
        <f>Main!Y199</f>
        <v>Senior Recruiter</v>
      </c>
      <c r="I198" s="259" t="str">
        <f>Main!Z199</f>
        <v>Level 1</v>
      </c>
      <c r="J198" s="259">
        <f>IF(Main!A199&lt;1,"",Main!A199)</f>
        <v>192</v>
      </c>
      <c r="K198" s="260">
        <f>IF(Main!AN199&gt;0,Main!AN199,"")</f>
        <v>32547</v>
      </c>
      <c r="L198" s="258" t="str">
        <f>IF(Main!Q199&gt;0,Main!Q199,"")</f>
        <v>nylirad08@yahoo.com</v>
      </c>
      <c r="M198" s="410">
        <f>VALUE(IF(Main!S199&gt;0,Main!S199,""))</f>
        <v>9279038347</v>
      </c>
      <c r="N198" s="261" t="str">
        <f>Main!T199</f>
        <v/>
      </c>
      <c r="O198" s="258" t="str">
        <f>IF(Main!AO199&gt;0,Main!AO199,"")</f>
        <v>Blk 13 Lot 13, Sampaloc St. Area D Zone 15, Camarin Caloocan City</v>
      </c>
      <c r="P198" s="258" t="str">
        <f>IF(Main!AP199&gt;0,Main!AP199,"")</f>
        <v>10230 Everlasting St. Brgy Sbd. Dau Mabalacat City Pampanga</v>
      </c>
      <c r="Q198" s="258" t="str">
        <f>IF(Main!AR199&gt;0,Main!AR199,"")</f>
        <v/>
      </c>
      <c r="R198" s="259" t="str">
        <f>IF(Main!AQ199&gt;0,Main!AQ199,"")</f>
        <v>Female</v>
      </c>
      <c r="S198" s="259" t="str">
        <f>IF(Main!BD199&gt;0,Main!BD199,"")</f>
        <v>34-2399474-5</v>
      </c>
      <c r="T198" s="259" t="str">
        <f>IF(Main!AX199&gt;0,Main!AX199,"")</f>
        <v>433-724-430</v>
      </c>
      <c r="U198" s="259" t="str">
        <f>IF(Main!BH199&gt;0,Main!BH199,"")</f>
        <v>03-25282724-9</v>
      </c>
      <c r="V198" s="268" t="str">
        <f>IF(Main!BF199&gt;0,Main!BF199,"")</f>
        <v>1210-7877-9950</v>
      </c>
      <c r="W198" s="263">
        <f>IF(Main!BS199&gt;0,Main!BS199,"")</f>
        <v>42110</v>
      </c>
      <c r="X198" s="263">
        <f>IF(Main!BT199&gt;0,Main!BT199,"")</f>
        <v>42110</v>
      </c>
      <c r="Y198" s="263">
        <f>IF(Main!BU199&gt;0,Main!BU199,"")</f>
        <v>42110</v>
      </c>
      <c r="Z198" s="263">
        <f>IF(Main!AS199&gt;0,Main!AS199,"")</f>
        <v>42109</v>
      </c>
      <c r="AA198" s="263">
        <f>IF(Main!BJ199&gt;0,Main!BJ199,"")</f>
        <v>42109</v>
      </c>
      <c r="AB198" s="263">
        <f>IF(Main!BC199&gt;0,Main!BC199,"")</f>
        <v>42109</v>
      </c>
      <c r="AC198" s="263">
        <f>IF(Main!AW199&gt;0,Main!AW199,"")</f>
        <v>41744</v>
      </c>
      <c r="AD198" s="263">
        <f>IF(Main!BG199&gt;0,Main!BG199,"")</f>
        <v>42109</v>
      </c>
      <c r="AE198" s="263">
        <f>IF(Main!BE199&gt;0,Main!BE199,"")</f>
        <v>42111</v>
      </c>
      <c r="AF198" s="263">
        <f>IF(Main!BM199&gt;0,Main!BM199,"")</f>
        <v>42109</v>
      </c>
      <c r="AG198" s="263" t="str">
        <f>IF(Main!BN199&gt;0,Main!BN199,"")</f>
        <v/>
      </c>
      <c r="AH198" s="263">
        <f>IF(Main!BO199&gt;0,Main!BO199,"")</f>
        <v>42109</v>
      </c>
      <c r="AI198" s="263">
        <f>IF(Main!BR199&gt;0,Main!BR199,"")</f>
        <v>42109</v>
      </c>
      <c r="AJ198" s="263">
        <f>IF(Main!BQ199&gt;0,Main!BQ199,"")</f>
        <v>42108</v>
      </c>
      <c r="AK198" s="263">
        <f>IF(Main!AV199&gt;0,Main!AV199,"")</f>
        <v>42107</v>
      </c>
      <c r="AL198" s="263">
        <f>IF(Main!AU199&gt;0,Main!AU199,"")</f>
        <v>42109</v>
      </c>
      <c r="AM198" s="263">
        <f>IF(Main!AT199&gt;0,Main!AT199,"")</f>
        <v>42105</v>
      </c>
      <c r="AN198" s="259" t="str">
        <f>Main!BW199</f>
        <v>1905 (for processing) 4/28/2015, 2305 (for processing) 4/15/2015, MDR 5/8/2015, 2316 (2014) - 4/15/2015</v>
      </c>
    </row>
    <row r="199" spans="1:40" x14ac:dyDescent="0.25">
      <c r="A199" s="258">
        <f>Main!C200</f>
        <v>1082416</v>
      </c>
      <c r="B199" s="259" t="str">
        <f>Main!D200</f>
        <v>Hona, Kris Benjamin Abestano</v>
      </c>
      <c r="C199" s="259" t="str">
        <f>Main!AH200</f>
        <v>Probationary</v>
      </c>
      <c r="D199" s="260">
        <f>Main!B200</f>
        <v>42107</v>
      </c>
      <c r="E199" s="260" t="str">
        <f>IF(Main!AI200&lt;1,"",Main!AI200)</f>
        <v>ERP - Anna Mae Paraoan</v>
      </c>
      <c r="F199" s="260" t="str">
        <f>IF(Main!AJ200&lt;1,"",Main!AJ200)</f>
        <v>Anna Mae Paraoan</v>
      </c>
      <c r="G199" s="260" t="str">
        <f>IF(Main!AK200&lt;1,"",Main!AK200)</f>
        <v/>
      </c>
      <c r="H199" s="259" t="str">
        <f>Main!Y200</f>
        <v>Senior Recruiter</v>
      </c>
      <c r="I199" s="259" t="str">
        <f>Main!Z200</f>
        <v>Level 2</v>
      </c>
      <c r="J199" s="259">
        <f>IF(Main!A200&lt;1,"",Main!A200)</f>
        <v>192</v>
      </c>
      <c r="K199" s="260">
        <f>IF(Main!AN200&gt;0,Main!AN200,"")</f>
        <v>31869</v>
      </c>
      <c r="L199" s="258" t="str">
        <f>IF(Main!Q200&gt;0,Main!Q200,"")</f>
        <v>kbhona@gmail.com</v>
      </c>
      <c r="M199" s="410">
        <f>VALUE(IF(Main!S200&gt;0,Main!S200,""))</f>
        <v>9174478034</v>
      </c>
      <c r="N199" s="261" t="str">
        <f>Main!T200</f>
        <v/>
      </c>
      <c r="O199" s="258" t="str">
        <f>IF(Main!AO200&gt;0,Main!AO200,"")</f>
        <v>The Beacon Condominium Tower I U-3803 Don Chino Roces, San Lorenzo Makati City</v>
      </c>
      <c r="P199" s="258" t="str">
        <f>IF(Main!AP200&gt;0,Main!AP200,"")</f>
        <v/>
      </c>
      <c r="Q199" s="258" t="str">
        <f>IF(Main!AR200&gt;0,Main!AR200,"")</f>
        <v/>
      </c>
      <c r="R199" s="259" t="str">
        <f>IF(Main!AQ200&gt;0,Main!AQ200,"")</f>
        <v/>
      </c>
      <c r="S199" s="259" t="str">
        <f>IF(Main!BD200&gt;0,Main!BD200,"")</f>
        <v>34-1378061-3</v>
      </c>
      <c r="T199" s="259" t="str">
        <f>IF(Main!AX200&gt;0,Main!AX200,"")</f>
        <v>293-167-440</v>
      </c>
      <c r="U199" s="259" t="str">
        <f>IF(Main!BH200&gt;0,Main!BH200,"")</f>
        <v>01-051521136-0</v>
      </c>
      <c r="V199" s="268" t="str">
        <f>IF(Main!BF200&gt;0,Main!BF200,"")</f>
        <v>1210-9657-2039</v>
      </c>
      <c r="W199" s="263">
        <f>IF(Main!BS200&gt;0,Main!BS200,"")</f>
        <v>42110</v>
      </c>
      <c r="X199" s="263">
        <f>IF(Main!BT200&gt;0,Main!BT200,"")</f>
        <v>42110</v>
      </c>
      <c r="Y199" s="263">
        <f>IF(Main!BU200&gt;0,Main!BU200,"")</f>
        <v>42110</v>
      </c>
      <c r="Z199" s="263" t="str">
        <f>IF(Main!AS200&gt;0,Main!AS200,"")</f>
        <v/>
      </c>
      <c r="AA199" s="263">
        <f>IF(Main!BJ200&gt;0,Main!BJ200,"")</f>
        <v>42109</v>
      </c>
      <c r="AB199" s="263">
        <f>IF(Main!BC200&gt;0,Main!BC200,"")</f>
        <v>42109</v>
      </c>
      <c r="AC199" s="263">
        <f>IF(Main!AW200&gt;0,Main!AW200,"")</f>
        <v>42109</v>
      </c>
      <c r="AD199" s="263">
        <f>IF(Main!BG200&gt;0,Main!BG200,"")</f>
        <v>42118</v>
      </c>
      <c r="AE199" s="263">
        <f>IF(Main!BE200&gt;0,Main!BE200,"")</f>
        <v>42109</v>
      </c>
      <c r="AF199" s="263">
        <f>IF(Main!BM200&gt;0,Main!BM200,"")</f>
        <v>42109</v>
      </c>
      <c r="AG199" s="263" t="str">
        <f>IF(Main!BN200&gt;0,Main!BN200,"")</f>
        <v/>
      </c>
      <c r="AH199" s="263" t="str">
        <f>IF(Main!BO200&gt;0,Main!BO200,"")</f>
        <v/>
      </c>
      <c r="AI199" s="263" t="str">
        <f>IF(Main!BR200&gt;0,Main!BR200,"")</f>
        <v/>
      </c>
      <c r="AJ199" s="263" t="str">
        <f>IF(Main!BQ200&gt;0,Main!BQ200,"")</f>
        <v/>
      </c>
      <c r="AK199" s="263" t="str">
        <f>IF(Main!AV200&gt;0,Main!AV200,"")</f>
        <v/>
      </c>
      <c r="AL199" s="263" t="str">
        <f>IF(Main!AU200&gt;0,Main!AU200,"")</f>
        <v/>
      </c>
      <c r="AM199" s="263">
        <f>IF(Main!AT200&gt;0,Main!AT200,"")</f>
        <v>42105</v>
      </c>
      <c r="AN199" s="259" t="str">
        <f>Main!BW200</f>
        <v>MDR 4/24/2015, 2316 (2014) - 4/15/2015</v>
      </c>
    </row>
    <row r="200" spans="1:40" x14ac:dyDescent="0.25">
      <c r="A200" s="258">
        <f>Main!C201</f>
        <v>1082417</v>
      </c>
      <c r="B200" s="259" t="str">
        <f>Main!D201</f>
        <v>Inano, Maria Sophyia Geriente</v>
      </c>
      <c r="C200" s="259" t="str">
        <f>Main!AH201</f>
        <v>Probationary</v>
      </c>
      <c r="D200" s="260">
        <f>Main!B201</f>
        <v>42107</v>
      </c>
      <c r="E200" s="260" t="str">
        <f>IF(Main!AI201&lt;1,"",Main!AI201)</f>
        <v>Jobstreet</v>
      </c>
      <c r="F200" s="260" t="str">
        <f>IF(Main!AJ201&lt;1,"",Main!AJ201)</f>
        <v/>
      </c>
      <c r="G200" s="260" t="str">
        <f>IF(Main!AK201&lt;1,"",Main!AK201)</f>
        <v/>
      </c>
      <c r="H200" s="259" t="str">
        <f>Main!Y201</f>
        <v>Senior Recruiter</v>
      </c>
      <c r="I200" s="259" t="str">
        <f>Main!Z201</f>
        <v>Level 2</v>
      </c>
      <c r="J200" s="259">
        <f>IF(Main!A201&lt;1,"",Main!A201)</f>
        <v>192</v>
      </c>
      <c r="K200" s="260">
        <f>IF(Main!AN201&gt;0,Main!AN201,"")</f>
        <v>34197</v>
      </c>
      <c r="L200" s="258" t="str">
        <f>IF(Main!Q201&gt;0,Main!Q201,"")</f>
        <v>mariasophyiainano@yahoo.com</v>
      </c>
      <c r="M200" s="410">
        <f>VALUE(IF(Main!S201&gt;0,Main!S201,""))</f>
        <v>9162551202</v>
      </c>
      <c r="N200" s="261" t="str">
        <f>Main!T201</f>
        <v/>
      </c>
      <c r="O200" s="258" t="str">
        <f>IF(Main!AO201&gt;0,Main!AO201,"")</f>
        <v>89 Q San Pedro St. Carmencita Vill Talon 3, Las Piñas City</v>
      </c>
      <c r="P200" s="258" t="str">
        <f>IF(Main!AP201&gt;0,Main!AP201,"")</f>
        <v>89 Q San Pedro St. Carmencita Vill Talon 3, Las Piñas City</v>
      </c>
      <c r="Q200" s="258" t="str">
        <f>IF(Main!AR201&gt;0,Main!AR201,"")</f>
        <v>Single</v>
      </c>
      <c r="R200" s="259" t="str">
        <f>IF(Main!AQ201&gt;0,Main!AQ201,"")</f>
        <v>Female</v>
      </c>
      <c r="S200" s="259" t="str">
        <f>IF(Main!BD201&gt;0,Main!BD201,"")</f>
        <v>34-2831408-7</v>
      </c>
      <c r="T200" s="259" t="str">
        <f>IF(Main!AX201&gt;0,Main!AX201,"")</f>
        <v>311-692-774</v>
      </c>
      <c r="U200" s="259" t="str">
        <f>IF(Main!BH201&gt;0,Main!BH201,"")</f>
        <v>03-050941431-5</v>
      </c>
      <c r="V200" s="268" t="str">
        <f>IF(Main!BF201&gt;0,Main!BF201,"")</f>
        <v>1210-2592-7270</v>
      </c>
      <c r="W200" s="263">
        <f>IF(Main!BS201&gt;0,Main!BS201,"")</f>
        <v>42110</v>
      </c>
      <c r="X200" s="263">
        <f>IF(Main!BT201&gt;0,Main!BT201,"")</f>
        <v>42110</v>
      </c>
      <c r="Y200" s="263">
        <f>IF(Main!BU201&gt;0,Main!BU201,"")</f>
        <v>42110</v>
      </c>
      <c r="Z200" s="263">
        <f>IF(Main!AS201&gt;0,Main!AS201,"")</f>
        <v>42111</v>
      </c>
      <c r="AA200" s="263">
        <f>IF(Main!BJ201&gt;0,Main!BJ201,"")</f>
        <v>42111</v>
      </c>
      <c r="AB200" s="263">
        <f>IF(Main!BC201&gt;0,Main!BC201,"")</f>
        <v>42123</v>
      </c>
      <c r="AC200" s="263">
        <f>IF(Main!AW201&gt;0,Main!AW201,"")</f>
        <v>42111</v>
      </c>
      <c r="AD200" s="263">
        <f>IF(Main!BG201&gt;0,Main!BG201,"")</f>
        <v>42111</v>
      </c>
      <c r="AE200" s="263">
        <f>IF(Main!BE201&gt;0,Main!BE201,"")</f>
        <v>42123</v>
      </c>
      <c r="AF200" s="263">
        <f>IF(Main!BM201&gt;0,Main!BM201,"")</f>
        <v>42111</v>
      </c>
      <c r="AG200" s="263" t="str">
        <f>IF(Main!BN201&gt;0,Main!BN201,"")</f>
        <v/>
      </c>
      <c r="AH200" s="263" t="str">
        <f>IF(Main!BO201&gt;0,Main!BO201,"")</f>
        <v/>
      </c>
      <c r="AI200" s="263" t="str">
        <f>IF(Main!BR201&gt;0,Main!BR201,"")</f>
        <v/>
      </c>
      <c r="AJ200" s="263">
        <f>IF(Main!BQ201&gt;0,Main!BQ201,"")</f>
        <v>42111</v>
      </c>
      <c r="AK200" s="263">
        <f>IF(Main!AV201&gt;0,Main!AV201,"")</f>
        <v>42123</v>
      </c>
      <c r="AL200" s="263">
        <f>IF(Main!AU201&gt;0,Main!AU201,"")</f>
        <v>42111</v>
      </c>
      <c r="AM200" s="263">
        <f>IF(Main!AT201&gt;0,Main!AT201,"")</f>
        <v>42105</v>
      </c>
      <c r="AN200" s="259" t="str">
        <f>Main!BW201</f>
        <v xml:space="preserve">2305 4/17/2015, MDR 4/29/2015, </v>
      </c>
    </row>
    <row r="201" spans="1:40" x14ac:dyDescent="0.25">
      <c r="A201" s="258">
        <f>Main!C202</f>
        <v>1082418</v>
      </c>
      <c r="B201" s="259" t="str">
        <f>Main!D202</f>
        <v>Paredes, Roxanne Jean Delos Santos</v>
      </c>
      <c r="C201" s="259" t="str">
        <f>Main!AH202</f>
        <v>Probationary</v>
      </c>
      <c r="D201" s="260">
        <f>Main!B202</f>
        <v>42107</v>
      </c>
      <c r="E201" s="260" t="str">
        <f>IF(Main!AI202&lt;1,"",Main!AI202)</f>
        <v>Jobstreet</v>
      </c>
      <c r="F201" s="260" t="str">
        <f>IF(Main!AJ202&lt;1,"",Main!AJ202)</f>
        <v/>
      </c>
      <c r="G201" s="260" t="str">
        <f>IF(Main!AK202&lt;1,"",Main!AK202)</f>
        <v/>
      </c>
      <c r="H201" s="259" t="str">
        <f>Main!Y202</f>
        <v>Senior Recruiter</v>
      </c>
      <c r="I201" s="259" t="str">
        <f>Main!Z202</f>
        <v>Level 1</v>
      </c>
      <c r="J201" s="259">
        <f>IF(Main!A202&lt;1,"",Main!A202)</f>
        <v>192</v>
      </c>
      <c r="K201" s="260">
        <f>IF(Main!AN202&gt;0,Main!AN202,"")</f>
        <v>32153</v>
      </c>
      <c r="L201" s="258" t="str">
        <f>IF(Main!Q202&gt;0,Main!Q202,"")</f>
        <v>roxannejeanp@gmail.com</v>
      </c>
      <c r="M201" s="410">
        <f>VALUE(IF(Main!S202&gt;0,Main!S202,""))</f>
        <v>9255654325</v>
      </c>
      <c r="N201" s="261" t="str">
        <f>Main!T202</f>
        <v/>
      </c>
      <c r="O201" s="258" t="str">
        <f>IF(Main!AO202&gt;0,Main!AO202,"")</f>
        <v>B20 L58-59 Hamilton Heights, Las Piñas City</v>
      </c>
      <c r="P201" s="258" t="str">
        <f>IF(Main!AP202&gt;0,Main!AP202,"")</f>
        <v>B20 L58-59 Hamilton Heights, Las Piñas City</v>
      </c>
      <c r="Q201" s="258" t="str">
        <f>IF(Main!AR202&gt;0,Main!AR202,"")</f>
        <v>Single</v>
      </c>
      <c r="R201" s="259" t="str">
        <f>IF(Main!AQ202&gt;0,Main!AQ202,"")</f>
        <v>Female</v>
      </c>
      <c r="S201" s="259" t="str">
        <f>IF(Main!BD202&gt;0,Main!BD202,"")</f>
        <v>34-3530488-6</v>
      </c>
      <c r="T201" s="259" t="str">
        <f>IF(Main!AX202&gt;0,Main!AX202,"")</f>
        <v>312-737-071</v>
      </c>
      <c r="U201" s="259" t="str">
        <f>IF(Main!BH202&gt;0,Main!BH202,"")</f>
        <v>03-051030946-0</v>
      </c>
      <c r="V201" s="268" t="str">
        <f>IF(Main!BF202&gt;0,Main!BF202,"")</f>
        <v>1210-6995-7238</v>
      </c>
      <c r="W201" s="263">
        <f>IF(Main!BS202&gt;0,Main!BS202,"")</f>
        <v>42110</v>
      </c>
      <c r="X201" s="263">
        <f>IF(Main!BT202&gt;0,Main!BT202,"")</f>
        <v>42110</v>
      </c>
      <c r="Y201" s="263">
        <f>IF(Main!BU202&gt;0,Main!BU202,"")</f>
        <v>42110</v>
      </c>
      <c r="Z201" s="263">
        <f>IF(Main!AS202&gt;0,Main!AS202,"")</f>
        <v>42123</v>
      </c>
      <c r="AA201" s="263">
        <f>IF(Main!BJ202&gt;0,Main!BJ202,"")</f>
        <v>42111</v>
      </c>
      <c r="AB201" s="263">
        <f>IF(Main!BC202&gt;0,Main!BC202,"")</f>
        <v>42118</v>
      </c>
      <c r="AC201" s="263">
        <f>IF(Main!AW202&gt;0,Main!AW202,"")</f>
        <v>42118</v>
      </c>
      <c r="AD201" s="263">
        <f>IF(Main!BG202&gt;0,Main!BG202,"")</f>
        <v>42111</v>
      </c>
      <c r="AE201" s="263">
        <f>IF(Main!BE202&gt;0,Main!BE202,"")</f>
        <v>42123</v>
      </c>
      <c r="AF201" s="263">
        <f>IF(Main!BM202&gt;0,Main!BM202,"")</f>
        <v>42111</v>
      </c>
      <c r="AG201" s="263" t="str">
        <f>IF(Main!BN202&gt;0,Main!BN202,"")</f>
        <v/>
      </c>
      <c r="AH201" s="263" t="str">
        <f>IF(Main!BO202&gt;0,Main!BO202,"")</f>
        <v/>
      </c>
      <c r="AI201" s="263">
        <f>IF(Main!BR202&gt;0,Main!BR202,"")</f>
        <v>42118</v>
      </c>
      <c r="AJ201" s="263">
        <f>IF(Main!BQ202&gt;0,Main!BQ202,"")</f>
        <v>42118</v>
      </c>
      <c r="AK201" s="263">
        <f>IF(Main!AV202&gt;0,Main!AV202,"")</f>
        <v>42107</v>
      </c>
      <c r="AL201" s="263">
        <f>IF(Main!AU202&gt;0,Main!AU202,"")</f>
        <v>42130</v>
      </c>
      <c r="AM201" s="263">
        <f>IF(Main!AT202&gt;0,Main!AT202,"")</f>
        <v>42105</v>
      </c>
      <c r="AN201" s="259" t="str">
        <f>Main!BW202</f>
        <v xml:space="preserve">1905 (for processing) 4/30/2015, 2305 (for processing) 4/17/2015, MDR 4/17/2015, </v>
      </c>
    </row>
    <row r="202" spans="1:40" x14ac:dyDescent="0.25">
      <c r="A202" s="258">
        <f>Main!C203</f>
        <v>1082419</v>
      </c>
      <c r="B202" s="259" t="str">
        <f>Main!D203</f>
        <v>Santos, Ericka Helene Fernandez</v>
      </c>
      <c r="C202" s="259" t="str">
        <f>Main!AH203</f>
        <v>Probationary</v>
      </c>
      <c r="D202" s="260">
        <f>Main!B203</f>
        <v>42107</v>
      </c>
      <c r="E202" s="260" t="str">
        <f>IF(Main!AI203&lt;1,"",Main!AI203)</f>
        <v>Jobstreet</v>
      </c>
      <c r="F202" s="260" t="str">
        <f>IF(Main!AJ203&lt;1,"",Main!AJ203)</f>
        <v/>
      </c>
      <c r="G202" s="260" t="str">
        <f>IF(Main!AK203&lt;1,"",Main!AK203)</f>
        <v/>
      </c>
      <c r="H202" s="259" t="str">
        <f>Main!Y203</f>
        <v>Senior Recruiter</v>
      </c>
      <c r="I202" s="259" t="str">
        <f>Main!Z203</f>
        <v>Level 2</v>
      </c>
      <c r="J202" s="259">
        <f>IF(Main!A203&lt;1,"",Main!A203)</f>
        <v>192</v>
      </c>
      <c r="K202" s="260">
        <f>IF(Main!AN203&gt;0,Main!AN203,"")</f>
        <v>32305</v>
      </c>
      <c r="L202" s="258" t="str">
        <f>IF(Main!Q203&gt;0,Main!Q203,"")</f>
        <v>erickahelenesantos26@gmail.com</v>
      </c>
      <c r="M202" s="410">
        <f>VALUE(IF(Main!S203&gt;0,Main!S203,""))</f>
        <v>9328722426</v>
      </c>
      <c r="N202" s="261" t="str">
        <f>Main!T203</f>
        <v/>
      </c>
      <c r="O202" s="258" t="str">
        <f>IF(Main!AO203&gt;0,Main!AO203,"")</f>
        <v>85 Fernando Ave. Calumpag, Marikina City</v>
      </c>
      <c r="P202" s="258" t="str">
        <f>IF(Main!AP203&gt;0,Main!AP203,"")</f>
        <v/>
      </c>
      <c r="Q202" s="258" t="str">
        <f>IF(Main!AR203&gt;0,Main!AR203,"")</f>
        <v/>
      </c>
      <c r="R202" s="259" t="str">
        <f>IF(Main!AQ203&gt;0,Main!AQ203,"")</f>
        <v/>
      </c>
      <c r="S202" s="259" t="str">
        <f>IF(Main!BD203&gt;0,Main!BD203,"")</f>
        <v>34-1359426-5</v>
      </c>
      <c r="T202" s="259" t="str">
        <f>IF(Main!AX203&gt;0,Main!AX203,"")</f>
        <v/>
      </c>
      <c r="U202" s="259" t="str">
        <f>IF(Main!BH203&gt;0,Main!BH203,"")</f>
        <v>03-050685502-7</v>
      </c>
      <c r="V202" s="268" t="str">
        <f>IF(Main!BF203&gt;0,Main!BF203,"")</f>
        <v/>
      </c>
      <c r="W202" s="263">
        <f>IF(Main!BS203&gt;0,Main!BS203,"")</f>
        <v>42110</v>
      </c>
      <c r="X202" s="263">
        <f>IF(Main!BT203&gt;0,Main!BT203,"")</f>
        <v>42110</v>
      </c>
      <c r="Y202" s="263">
        <f>IF(Main!BU203&gt;0,Main!BU203,"")</f>
        <v>42110</v>
      </c>
      <c r="Z202" s="263" t="str">
        <f>IF(Main!AS203&gt;0,Main!AS203,"")</f>
        <v/>
      </c>
      <c r="AA202" s="263">
        <f>IF(Main!BJ203&gt;0,Main!BJ203,"")</f>
        <v>42118</v>
      </c>
      <c r="AB202" s="263">
        <f>IF(Main!BC203&gt;0,Main!BC203,"")</f>
        <v>42118</v>
      </c>
      <c r="AC202" s="263" t="str">
        <f>IF(Main!AW203&gt;0,Main!AW203,"")</f>
        <v/>
      </c>
      <c r="AD202" s="263">
        <f>IF(Main!BG203&gt;0,Main!BG203,"")</f>
        <v>42118</v>
      </c>
      <c r="AE202" s="263" t="str">
        <f>IF(Main!BE203&gt;0,Main!BE203,"")</f>
        <v/>
      </c>
      <c r="AF202" s="263">
        <f>IF(Main!BM203&gt;0,Main!BM203,"")</f>
        <v>42118</v>
      </c>
      <c r="AG202" s="263">
        <f>IF(Main!BN203&gt;0,Main!BN203,"")</f>
        <v>42118</v>
      </c>
      <c r="AH202" s="263">
        <f>IF(Main!BO203&gt;0,Main!BO203,"")</f>
        <v>42118</v>
      </c>
      <c r="AI202" s="263" t="str">
        <f>IF(Main!BR203&gt;0,Main!BR203,"")</f>
        <v/>
      </c>
      <c r="AJ202" s="263" t="str">
        <f>IF(Main!BQ203&gt;0,Main!BQ203,"")</f>
        <v/>
      </c>
      <c r="AK202" s="263">
        <f>IF(Main!AV203&gt;0,Main!AV203,"")</f>
        <v>42107</v>
      </c>
      <c r="AL202" s="263" t="str">
        <f>IF(Main!AU203&gt;0,Main!AU203,"")</f>
        <v/>
      </c>
      <c r="AM202" s="263" t="str">
        <f>IF(Main!AT203&gt;0,Main!AT203,"")</f>
        <v/>
      </c>
      <c r="AN202" s="259" t="str">
        <f>Main!BW203</f>
        <v/>
      </c>
    </row>
    <row r="203" spans="1:40" x14ac:dyDescent="0.25">
      <c r="A203" s="258">
        <f>Main!C204</f>
        <v>1082420</v>
      </c>
      <c r="B203" s="259" t="str">
        <f>Main!D204</f>
        <v>Villareal, Precious Anne Edralin</v>
      </c>
      <c r="C203" s="259" t="str">
        <f>Main!AH204</f>
        <v>Probationary</v>
      </c>
      <c r="D203" s="260">
        <f>Main!B204</f>
        <v>42107</v>
      </c>
      <c r="E203" s="260" t="str">
        <f>IF(Main!AI204&lt;1,"",Main!AI204)</f>
        <v>ERP - Alwyn Sergio</v>
      </c>
      <c r="F203" s="260" t="str">
        <f>IF(Main!AJ204&lt;1,"",Main!AJ204)</f>
        <v>Alwyn Sergio</v>
      </c>
      <c r="G203" s="260" t="str">
        <f>IF(Main!AK204&lt;1,"",Main!AK204)</f>
        <v/>
      </c>
      <c r="H203" s="259" t="str">
        <f>Main!Y204</f>
        <v>Senior Recruiter</v>
      </c>
      <c r="I203" s="259" t="str">
        <f>Main!Z204</f>
        <v>Level 2</v>
      </c>
      <c r="J203" s="259">
        <f>IF(Main!A204&lt;1,"",Main!A204)</f>
        <v>192</v>
      </c>
      <c r="K203" s="260">
        <f>IF(Main!AN204&gt;0,Main!AN204,"")</f>
        <v>32394</v>
      </c>
      <c r="L203" s="258" t="str">
        <f>IF(Main!Q204&gt;0,Main!Q204,"")</f>
        <v>pavillareal@gmail.com</v>
      </c>
      <c r="M203" s="410">
        <f>VALUE(IF(Main!S204&gt;0,Main!S204,""))</f>
        <v>9989789035</v>
      </c>
      <c r="N203" s="261" t="str">
        <f>Main!T204</f>
        <v/>
      </c>
      <c r="O203" s="258" t="str">
        <f>IF(Main!AO204&gt;0,Main!AO204,"")</f>
        <v>735 A. Del Rosario St. San Roque, Cavite City</v>
      </c>
      <c r="P203" s="258" t="str">
        <f>IF(Main!AP204&gt;0,Main!AP204,"")</f>
        <v>735 A. Del Rosario St. San Roque, Cavite City</v>
      </c>
      <c r="Q203" s="258" t="str">
        <f>IF(Main!AR204&gt;0,Main!AR204,"")</f>
        <v>Single</v>
      </c>
      <c r="R203" s="259" t="str">
        <f>IF(Main!AQ204&gt;0,Main!AQ204,"")</f>
        <v>Female</v>
      </c>
      <c r="S203" s="259" t="str">
        <f>IF(Main!BD204&gt;0,Main!BD204,"")</f>
        <v>33-9715405-1</v>
      </c>
      <c r="T203" s="259" t="str">
        <f>IF(Main!AX204&gt;0,Main!AX204,"")</f>
        <v>307-309-838</v>
      </c>
      <c r="U203" s="259" t="str">
        <f>IF(Main!BH204&gt;0,Main!BH204,"")</f>
        <v>01-050611261-9</v>
      </c>
      <c r="V203" s="268" t="str">
        <f>IF(Main!BF204&gt;0,Main!BF204,"")</f>
        <v/>
      </c>
      <c r="W203" s="263">
        <f>IF(Main!BS204&gt;0,Main!BS204,"")</f>
        <v>42110</v>
      </c>
      <c r="X203" s="263">
        <f>IF(Main!BT204&gt;0,Main!BT204,"")</f>
        <v>42110</v>
      </c>
      <c r="Y203" s="263">
        <f>IF(Main!BU204&gt;0,Main!BU204,"")</f>
        <v>42110</v>
      </c>
      <c r="Z203" s="263">
        <f>IF(Main!AS204&gt;0,Main!AS204,"")</f>
        <v>42118</v>
      </c>
      <c r="AA203" s="263">
        <f>IF(Main!BJ204&gt;0,Main!BJ204,"")</f>
        <v>42118</v>
      </c>
      <c r="AB203" s="263">
        <f>IF(Main!BC204&gt;0,Main!BC204,"")</f>
        <v>42118</v>
      </c>
      <c r="AC203" s="263">
        <f>IF(Main!AW204&gt;0,Main!AW204,"")</f>
        <v>42118</v>
      </c>
      <c r="AD203" s="263">
        <f>IF(Main!BG204&gt;0,Main!BG204,"")</f>
        <v>42118</v>
      </c>
      <c r="AE203" s="263" t="str">
        <f>IF(Main!BE204&gt;0,Main!BE204,"")</f>
        <v/>
      </c>
      <c r="AF203" s="263">
        <f>IF(Main!BM204&gt;0,Main!BM204,"")</f>
        <v>42118</v>
      </c>
      <c r="AG203" s="263" t="str">
        <f>IF(Main!BN204&gt;0,Main!BN204,"")</f>
        <v/>
      </c>
      <c r="AH203" s="263">
        <f>IF(Main!BO204&gt;0,Main!BO204,"")</f>
        <v>42118</v>
      </c>
      <c r="AI203" s="263">
        <f>IF(Main!BR204&gt;0,Main!BR204,"")</f>
        <v>42118</v>
      </c>
      <c r="AJ203" s="263" t="str">
        <f>IF(Main!BQ204&gt;0,Main!BQ204,"")</f>
        <v/>
      </c>
      <c r="AK203" s="263">
        <f>IF(Main!AV204&gt;0,Main!AV204,"")</f>
        <v>42107</v>
      </c>
      <c r="AL203" s="263">
        <f>IF(Main!AU204&gt;0,Main!AU204,"")</f>
        <v>42118</v>
      </c>
      <c r="AM203" s="263">
        <f>IF(Main!AT204&gt;0,Main!AT204,"")</f>
        <v>42118</v>
      </c>
      <c r="AN203" s="259" t="str">
        <f>Main!BW204</f>
        <v>2305 (for processing) 4/24/2015, 2316 (2013) - 4/24/2015</v>
      </c>
    </row>
    <row r="204" spans="1:40" x14ac:dyDescent="0.25">
      <c r="A204" s="258">
        <f>Main!C205</f>
        <v>1082421</v>
      </c>
      <c r="B204" s="259" t="str">
        <f>Main!D205</f>
        <v>Gayanilo, Cherry May Balasa</v>
      </c>
      <c r="C204" s="259" t="str">
        <f>Main!AH205</f>
        <v>Probationary</v>
      </c>
      <c r="D204" s="260">
        <f>Main!B205</f>
        <v>42107</v>
      </c>
      <c r="E204" s="260" t="str">
        <f>IF(Main!AI205&lt;1,"",Main!AI205)</f>
        <v>Jobstreet</v>
      </c>
      <c r="F204" s="260" t="str">
        <f>IF(Main!AJ205&lt;1,"",Main!AJ205)</f>
        <v/>
      </c>
      <c r="G204" s="260" t="str">
        <f>IF(Main!AK205&lt;1,"",Main!AK205)</f>
        <v/>
      </c>
      <c r="H204" s="259" t="str">
        <f>Main!Y205</f>
        <v>Senior Recruiter</v>
      </c>
      <c r="I204" s="259" t="str">
        <f>Main!Z205</f>
        <v>Level 2</v>
      </c>
      <c r="J204" s="259">
        <f>IF(Main!A205&lt;1,"",Main!A205)</f>
        <v>192</v>
      </c>
      <c r="K204" s="260">
        <f>IF(Main!AN205&gt;0,Main!AN205,"")</f>
        <v>30448</v>
      </c>
      <c r="L204" s="258" t="str">
        <f>IF(Main!Q205&gt;0,Main!Q205,"")</f>
        <v>cherrymay_25@yahoo.com</v>
      </c>
      <c r="M204" s="410">
        <f>VALUE(IF(Main!S205&gt;0,Main!S205,""))</f>
        <v>9272009963</v>
      </c>
      <c r="N204" s="261" t="str">
        <f>Main!T205</f>
        <v/>
      </c>
      <c r="O204" s="258" t="str">
        <f>IF(Main!AO205&gt;0,Main!AO205,"")</f>
        <v>966 Tramo St. Ilaya, Las Piñas City</v>
      </c>
      <c r="P204" s="258" t="str">
        <f>IF(Main!AP205&gt;0,Main!AP205,"")</f>
        <v>Blk 6 VII Sunnydale Garden Vill. Bucandala Imus Cavite</v>
      </c>
      <c r="Q204" s="258" t="str">
        <f>IF(Main!AR205&gt;0,Main!AR205,"")</f>
        <v>Single</v>
      </c>
      <c r="R204" s="259" t="str">
        <f>IF(Main!AQ205&gt;0,Main!AQ205,"")</f>
        <v>Female</v>
      </c>
      <c r="S204" s="259" t="str">
        <f>IF(Main!BD205&gt;0,Main!BD205,"")</f>
        <v>34-0117268-6</v>
      </c>
      <c r="T204" s="259" t="str">
        <f>IF(Main!AX205&gt;0,Main!AX205,"")</f>
        <v>302-797-370</v>
      </c>
      <c r="U204" s="259" t="str">
        <f>IF(Main!BH205&gt;0,Main!BH205,"")</f>
        <v>01-050592455-5</v>
      </c>
      <c r="V204" s="268" t="str">
        <f>IF(Main!BF205&gt;0,Main!BF205,"")</f>
        <v>1020-0095-8888</v>
      </c>
      <c r="W204" s="263">
        <f>IF(Main!BS205&gt;0,Main!BS205,"")</f>
        <v>42110</v>
      </c>
      <c r="X204" s="263">
        <f>IF(Main!BT205&gt;0,Main!BT205,"")</f>
        <v>42110</v>
      </c>
      <c r="Y204" s="263">
        <f>IF(Main!BU205&gt;0,Main!BU205,"")</f>
        <v>42110</v>
      </c>
      <c r="Z204" s="263">
        <f>IF(Main!AS205&gt;0,Main!AS205,"")</f>
        <v>42125</v>
      </c>
      <c r="AA204" s="263">
        <f>IF(Main!BJ205&gt;0,Main!BJ205,"")</f>
        <v>42125</v>
      </c>
      <c r="AB204" s="263">
        <f>IF(Main!BC205&gt;0,Main!BC205,"")</f>
        <v>42125</v>
      </c>
      <c r="AC204" s="263">
        <f>IF(Main!AW205&gt;0,Main!AW205,"")</f>
        <v>42111</v>
      </c>
      <c r="AD204" s="263">
        <f>IF(Main!BG205&gt;0,Main!BG205,"")</f>
        <v>42111</v>
      </c>
      <c r="AE204" s="263">
        <f>IF(Main!BE205&gt;0,Main!BE205,"")</f>
        <v>42111</v>
      </c>
      <c r="AF204" s="263">
        <f>IF(Main!BM205&gt;0,Main!BM205,"")</f>
        <v>42125</v>
      </c>
      <c r="AG204" s="263" t="str">
        <f>IF(Main!BN205&gt;0,Main!BN205,"")</f>
        <v/>
      </c>
      <c r="AH204" s="263" t="str">
        <f>IF(Main!BO205&gt;0,Main!BO205,"")</f>
        <v/>
      </c>
      <c r="AI204" s="263" t="str">
        <f>IF(Main!BR205&gt;0,Main!BR205,"")</f>
        <v/>
      </c>
      <c r="AJ204" s="263" t="str">
        <f>IF(Main!BQ205&gt;0,Main!BQ205,"")</f>
        <v/>
      </c>
      <c r="AK204" s="263">
        <f>IF(Main!AV205&gt;0,Main!AV205,"")</f>
        <v>42107</v>
      </c>
      <c r="AL204" s="263">
        <f>IF(Main!AU205&gt;0,Main!AU205,"")</f>
        <v>42111</v>
      </c>
      <c r="AM204" s="263">
        <f>IF(Main!AT205&gt;0,Main!AT205,"")</f>
        <v>42105</v>
      </c>
      <c r="AN204" s="259" t="str">
        <f>Main!BW205</f>
        <v>1905 (for processing) 5/1/2015, 2305 (for processing) 5/1/2015, 2316 (2014) - 4/17/2015</v>
      </c>
    </row>
    <row r="205" spans="1:40" x14ac:dyDescent="0.25">
      <c r="A205" s="258">
        <f>Main!C206</f>
        <v>1082422</v>
      </c>
      <c r="B205" s="259" t="str">
        <f>Main!D206</f>
        <v>De Leon, Noel</v>
      </c>
      <c r="C205" s="259" t="str">
        <f>Main!AH206</f>
        <v>Probationary</v>
      </c>
      <c r="D205" s="260">
        <f>Main!B206</f>
        <v>42107</v>
      </c>
      <c r="E205" s="260" t="str">
        <f>IF(Main!AI206&lt;1,"",Main!AI206)</f>
        <v>Jobstreet</v>
      </c>
      <c r="F205" s="260" t="str">
        <f>IF(Main!AJ206&lt;1,"",Main!AJ206)</f>
        <v/>
      </c>
      <c r="G205" s="260" t="str">
        <f>IF(Main!AK206&lt;1,"",Main!AK206)</f>
        <v/>
      </c>
      <c r="H205" s="259" t="str">
        <f>Main!Y206</f>
        <v>Senior Recruiter</v>
      </c>
      <c r="I205" s="259" t="str">
        <f>Main!Z206</f>
        <v>Level 2</v>
      </c>
      <c r="J205" s="259">
        <f>IF(Main!A206&lt;1,"",Main!A206)</f>
        <v>192</v>
      </c>
      <c r="K205" s="260">
        <f>IF(Main!AN206&gt;0,Main!AN206,"")</f>
        <v>32473</v>
      </c>
      <c r="L205" s="258" t="str">
        <f>IF(Main!Q206&gt;0,Main!Q206,"")</f>
        <v>noel.deleon@outlook.com</v>
      </c>
      <c r="M205" s="410">
        <f>VALUE(IF(Main!S206&gt;0,Main!S206,""))</f>
        <v>9176386552</v>
      </c>
      <c r="N205" s="261" t="str">
        <f>Main!T206</f>
        <v/>
      </c>
      <c r="O205" s="258" t="str">
        <f>IF(Main!AO206&gt;0,Main!AO206,"")</f>
        <v/>
      </c>
      <c r="P205" s="258" t="str">
        <f>IF(Main!AP206&gt;0,Main!AP206,"")</f>
        <v/>
      </c>
      <c r="Q205" s="258" t="str">
        <f>IF(Main!AR206&gt;0,Main!AR206,"")</f>
        <v/>
      </c>
      <c r="R205" s="259" t="str">
        <f>IF(Main!AQ206&gt;0,Main!AQ206,"")</f>
        <v/>
      </c>
      <c r="S205" s="259" t="str">
        <f>IF(Main!BD206&gt;0,Main!BD206,"")</f>
        <v/>
      </c>
      <c r="T205" s="259" t="str">
        <f>IF(Main!AX206&gt;0,Main!AX206,"")</f>
        <v/>
      </c>
      <c r="U205" s="259" t="str">
        <f>IF(Main!BH206&gt;0,Main!BH206,"")</f>
        <v/>
      </c>
      <c r="V205" s="268" t="str">
        <f>IF(Main!BF206&gt;0,Main!BF206,"")</f>
        <v/>
      </c>
      <c r="W205" s="263" t="str">
        <f>IF(Main!BS206&gt;0,Main!BS206,"")</f>
        <v/>
      </c>
      <c r="X205" s="263" t="str">
        <f>IF(Main!BT206&gt;0,Main!BT206,"")</f>
        <v/>
      </c>
      <c r="Y205" s="263" t="str">
        <f>IF(Main!BU206&gt;0,Main!BU206,"")</f>
        <v/>
      </c>
      <c r="Z205" s="263" t="str">
        <f>IF(Main!AS206&gt;0,Main!AS206,"")</f>
        <v/>
      </c>
      <c r="AA205" s="263" t="str">
        <f>IF(Main!BJ206&gt;0,Main!BJ206,"")</f>
        <v/>
      </c>
      <c r="AB205" s="263" t="str">
        <f>IF(Main!BC206&gt;0,Main!BC206,"")</f>
        <v/>
      </c>
      <c r="AC205" s="263" t="str">
        <f>IF(Main!AW206&gt;0,Main!AW206,"")</f>
        <v/>
      </c>
      <c r="AD205" s="263" t="str">
        <f>IF(Main!BG206&gt;0,Main!BG206,"")</f>
        <v/>
      </c>
      <c r="AE205" s="263" t="str">
        <f>IF(Main!BE206&gt;0,Main!BE206,"")</f>
        <v/>
      </c>
      <c r="AF205" s="263" t="str">
        <f>IF(Main!BM206&gt;0,Main!BM206,"")</f>
        <v/>
      </c>
      <c r="AG205" s="263" t="str">
        <f>IF(Main!BN206&gt;0,Main!BN206,"")</f>
        <v/>
      </c>
      <c r="AH205" s="263" t="str">
        <f>IF(Main!BO206&gt;0,Main!BO206,"")</f>
        <v/>
      </c>
      <c r="AI205" s="263" t="str">
        <f>IF(Main!BR206&gt;0,Main!BR206,"")</f>
        <v/>
      </c>
      <c r="AJ205" s="263" t="str">
        <f>IF(Main!BQ206&gt;0,Main!BQ206,"")</f>
        <v/>
      </c>
      <c r="AK205" s="263" t="str">
        <f>IF(Main!AV206&gt;0,Main!AV206,"")</f>
        <v/>
      </c>
      <c r="AL205" s="263" t="str">
        <f>IF(Main!AU206&gt;0,Main!AU206,"")</f>
        <v/>
      </c>
      <c r="AM205" s="263">
        <f>IF(Main!AT206&gt;0,Main!AT206,"")</f>
        <v>42105</v>
      </c>
      <c r="AN205" s="259" t="str">
        <f>Main!BW206</f>
        <v/>
      </c>
    </row>
    <row r="206" spans="1:40" x14ac:dyDescent="0.25">
      <c r="A206" s="258">
        <f>Main!C207</f>
        <v>1082423</v>
      </c>
      <c r="B206" s="259" t="str">
        <f>Main!D207</f>
        <v>Nagtalon, Maria Angeles Leaño</v>
      </c>
      <c r="C206" s="259" t="str">
        <f>Main!AH207</f>
        <v>Probationary</v>
      </c>
      <c r="D206" s="260">
        <f>Main!B207</f>
        <v>42107</v>
      </c>
      <c r="E206" s="260" t="str">
        <f>IF(Main!AI207&lt;1,"",Main!AI207)</f>
        <v>Jobstreet</v>
      </c>
      <c r="F206" s="260" t="str">
        <f>IF(Main!AJ207&lt;1,"",Main!AJ207)</f>
        <v/>
      </c>
      <c r="G206" s="260" t="str">
        <f>IF(Main!AK207&lt;1,"",Main!AK207)</f>
        <v/>
      </c>
      <c r="H206" s="259" t="str">
        <f>Main!Y207</f>
        <v>Senior Recruiter</v>
      </c>
      <c r="I206" s="259" t="str">
        <f>Main!Z207</f>
        <v>Level 2</v>
      </c>
      <c r="J206" s="259">
        <f>IF(Main!A207&lt;1,"",Main!A207)</f>
        <v>192</v>
      </c>
      <c r="K206" s="260">
        <f>IF(Main!AN207&gt;0,Main!AN207,"")</f>
        <v>33292</v>
      </c>
      <c r="L206" s="258" t="str">
        <f>IF(Main!Q207&gt;0,Main!Q207,"")</f>
        <v>maan.nagtalon@yahoo.com</v>
      </c>
      <c r="M206" s="410">
        <f>VALUE(IF(Main!S207&gt;0,Main!S207,""))</f>
        <v>9151494955</v>
      </c>
      <c r="N206" s="261" t="str">
        <f>Main!T207</f>
        <v/>
      </c>
      <c r="O206" s="258" t="str">
        <f>IF(Main!AO207&gt;0,Main!AO207,"")</f>
        <v>#65 F. Banaag St. Brgy. Pineda, Pasig City</v>
      </c>
      <c r="P206" s="258" t="str">
        <f>IF(Main!AP207&gt;0,Main!AP207,"")</f>
        <v>#65 F. Banaag St. Brgy. Pineda, Pasig City</v>
      </c>
      <c r="Q206" s="258" t="str">
        <f>IF(Main!AR207&gt;0,Main!AR207,"")</f>
        <v>Single Parent</v>
      </c>
      <c r="R206" s="259" t="str">
        <f>IF(Main!AQ207&gt;0,Main!AQ207,"")</f>
        <v>Female</v>
      </c>
      <c r="S206" s="259" t="str">
        <f>IF(Main!BD207&gt;0,Main!BD207,"")</f>
        <v>34-4033110-3</v>
      </c>
      <c r="T206" s="259" t="str">
        <f>IF(Main!AX207&gt;0,Main!AX207,"")</f>
        <v>314-698-835</v>
      </c>
      <c r="U206" s="259" t="str">
        <f>IF(Main!BH207&gt;0,Main!BH207,"")</f>
        <v/>
      </c>
      <c r="V206" s="268" t="str">
        <f>IF(Main!BF207&gt;0,Main!BF207,"")</f>
        <v/>
      </c>
      <c r="W206" s="263">
        <f>IF(Main!BS207&gt;0,Main!BS207,"")</f>
        <v>42110</v>
      </c>
      <c r="X206" s="263">
        <f>IF(Main!BT207&gt;0,Main!BT207,"")</f>
        <v>42110</v>
      </c>
      <c r="Y206" s="263">
        <f>IF(Main!BU207&gt;0,Main!BU207,"")</f>
        <v>42110</v>
      </c>
      <c r="Z206" s="263">
        <f>IF(Main!AS207&gt;0,Main!AS207,"")</f>
        <v>42111</v>
      </c>
      <c r="AA206" s="263" t="str">
        <f>IF(Main!BJ207&gt;0,Main!BJ207,"")</f>
        <v/>
      </c>
      <c r="AB206" s="263">
        <f>IF(Main!BC207&gt;0,Main!BC207,"")</f>
        <v>42111</v>
      </c>
      <c r="AC206" s="263">
        <f>IF(Main!AW207&gt;0,Main!AW207,"")</f>
        <v>42111</v>
      </c>
      <c r="AD206" s="263" t="str">
        <f>IF(Main!BG207&gt;0,Main!BG207,"")</f>
        <v/>
      </c>
      <c r="AE206" s="263" t="str">
        <f>IF(Main!BE207&gt;0,Main!BE207,"")</f>
        <v/>
      </c>
      <c r="AF206" s="263">
        <f>IF(Main!BM207&gt;0,Main!BM207,"")</f>
        <v>42111</v>
      </c>
      <c r="AG206" s="263" t="str">
        <f>IF(Main!BN207&gt;0,Main!BN207,"")</f>
        <v/>
      </c>
      <c r="AH206" s="263">
        <f>IF(Main!BO207&gt;0,Main!BO207,"")</f>
        <v>42111</v>
      </c>
      <c r="AI206" s="263" t="str">
        <f>IF(Main!BR207&gt;0,Main!BR207,"")</f>
        <v/>
      </c>
      <c r="AJ206" s="263" t="str">
        <f>IF(Main!BQ207&gt;0,Main!BQ207,"")</f>
        <v/>
      </c>
      <c r="AK206" s="263">
        <f>IF(Main!AV207&gt;0,Main!AV207,"")</f>
        <v>42107</v>
      </c>
      <c r="AL206" s="263">
        <f>IF(Main!AU207&gt;0,Main!AU207,"")</f>
        <v>42111</v>
      </c>
      <c r="AM206" s="263">
        <f>IF(Main!AT207&gt;0,Main!AT207,"")</f>
        <v>42105</v>
      </c>
      <c r="AN206" s="259" t="str">
        <f>Main!BW207</f>
        <v xml:space="preserve">1905 4/17/2015, 2305 4/17/2015, </v>
      </c>
    </row>
    <row r="207" spans="1:40" ht="30" x14ac:dyDescent="0.25">
      <c r="A207" s="258">
        <f>Main!C208</f>
        <v>1082424</v>
      </c>
      <c r="B207" s="259" t="str">
        <f>Main!D208</f>
        <v>Bagares, Angelica Pagunsan</v>
      </c>
      <c r="C207" s="259" t="str">
        <f>Main!AH208</f>
        <v>Probationary</v>
      </c>
      <c r="D207" s="260">
        <f>Main!B208</f>
        <v>42107</v>
      </c>
      <c r="E207" s="260" t="str">
        <f>IF(Main!AI208&lt;1,"",Main!AI208)</f>
        <v>Facebook</v>
      </c>
      <c r="F207" s="260" t="str">
        <f>IF(Main!AJ208&lt;1,"",Main!AJ208)</f>
        <v/>
      </c>
      <c r="G207" s="260" t="str">
        <f>IF(Main!AK208&lt;1,"",Main!AK208)</f>
        <v/>
      </c>
      <c r="H207" s="259" t="str">
        <f>Main!Y208</f>
        <v>Recruiter- Consumer Sales</v>
      </c>
      <c r="I207" s="259" t="str">
        <f>Main!Z208</f>
        <v>Level 0</v>
      </c>
      <c r="J207" s="259">
        <f>IF(Main!A208&lt;1,"",Main!A208)</f>
        <v>192</v>
      </c>
      <c r="K207" s="260">
        <f>IF(Main!AN208&gt;0,Main!AN208,"")</f>
        <v>34406</v>
      </c>
      <c r="L207" s="258" t="str">
        <f>IF(Main!Q208&gt;0,Main!Q208,"")</f>
        <v>anje.bagares@yahoo.com</v>
      </c>
      <c r="M207" s="410">
        <f>VALUE(IF(Main!S208&gt;0,Main!S208,""))</f>
        <v>9154910977</v>
      </c>
      <c r="N207" s="261" t="str">
        <f>Main!T208</f>
        <v/>
      </c>
      <c r="O207" s="258" t="str">
        <f>IF(Main!AO208&gt;0,Main!AO208,"")</f>
        <v>23 Tanguile St., Marikina Heights, Marikina City</v>
      </c>
      <c r="P207" s="258" t="str">
        <f>IF(Main!AP208&gt;0,Main!AP208,"")</f>
        <v>23 Tanguile St., Marikina Heights, Marikina City</v>
      </c>
      <c r="Q207" s="258" t="str">
        <f>IF(Main!AR208&gt;0,Main!AR208,"")</f>
        <v>Single</v>
      </c>
      <c r="R207" s="259" t="str">
        <f>IF(Main!AQ208&gt;0,Main!AQ208,"")</f>
        <v>Female</v>
      </c>
      <c r="S207" s="259" t="str">
        <f>IF(Main!BD208&gt;0,Main!BD208,"")</f>
        <v>34-3166246-7</v>
      </c>
      <c r="T207" s="259" t="str">
        <f>IF(Main!AX208&gt;0,Main!AX208,"")</f>
        <v>432-768-271</v>
      </c>
      <c r="U207" s="259" t="str">
        <f>IF(Main!BH208&gt;0,Main!BH208,"")</f>
        <v>03-025491061-5</v>
      </c>
      <c r="V207" s="268" t="str">
        <f>IF(Main!BF208&gt;0,Main!BF208,"")</f>
        <v>1211-0272-0524</v>
      </c>
      <c r="W207" s="263">
        <f>IF(Main!BS208&gt;0,Main!BS208,"")</f>
        <v>42108</v>
      </c>
      <c r="X207" s="263">
        <f>IF(Main!BT208&gt;0,Main!BT208,"")</f>
        <v>42108</v>
      </c>
      <c r="Y207" s="263">
        <f>IF(Main!BU208&gt;0,Main!BU208,"")</f>
        <v>42108</v>
      </c>
      <c r="Z207" s="263">
        <f>IF(Main!AS208&gt;0,Main!AS208,"")</f>
        <v>42122</v>
      </c>
      <c r="AA207" s="263" t="str">
        <f>IF(Main!BJ208&gt;0,Main!BJ208,"")</f>
        <v/>
      </c>
      <c r="AB207" s="263">
        <f>IF(Main!BC208&gt;0,Main!BC208,"")</f>
        <v>42122</v>
      </c>
      <c r="AC207" s="263">
        <f>IF(Main!AW208&gt;0,Main!AW208,"")</f>
        <v>42123</v>
      </c>
      <c r="AD207" s="263">
        <f>IF(Main!BG208&gt;0,Main!BG208,"")</f>
        <v>42122</v>
      </c>
      <c r="AE207" s="263">
        <f>IF(Main!BE208&gt;0,Main!BE208,"")</f>
        <v>42122</v>
      </c>
      <c r="AF207" s="263">
        <f>IF(Main!BM208&gt;0,Main!BM208,"")</f>
        <v>42122</v>
      </c>
      <c r="AG207" s="263" t="str">
        <f>IF(Main!BN208&gt;0,Main!BN208,"")</f>
        <v/>
      </c>
      <c r="AH207" s="263" t="str">
        <f>IF(Main!BO208&gt;0,Main!BO208,"")</f>
        <v/>
      </c>
      <c r="AI207" s="263">
        <f>IF(Main!BR208&gt;0,Main!BR208,"")</f>
        <v>42123</v>
      </c>
      <c r="AJ207" s="263" t="str">
        <f>IF(Main!BQ208&gt;0,Main!BQ208,"")</f>
        <v/>
      </c>
      <c r="AK207" s="263">
        <f>IF(Main!AV208&gt;0,Main!AV208,"")</f>
        <v>42109</v>
      </c>
      <c r="AL207" s="263">
        <f>IF(Main!AU208&gt;0,Main!AU208,"")</f>
        <v>42122</v>
      </c>
      <c r="AM207" s="263">
        <f>IF(Main!AT208&gt;0,Main!AT208,"")</f>
        <v>42105</v>
      </c>
      <c r="AN207" s="259" t="str">
        <f>Main!BW208</f>
        <v xml:space="preserve">1905 (for processing) 4/29/2015, 2305 (for processing) 4/29/2015, MDR 4/28/2015, NBI receipt 5/1/2015, </v>
      </c>
    </row>
    <row r="208" spans="1:40" x14ac:dyDescent="0.25">
      <c r="A208" s="258">
        <f>Main!C209</f>
        <v>1082425</v>
      </c>
      <c r="B208" s="259" t="str">
        <f>Main!D209</f>
        <v>Publico, Dianna Ann Agustin</v>
      </c>
      <c r="C208" s="259" t="str">
        <f>Main!AH209</f>
        <v>Probationary</v>
      </c>
      <c r="D208" s="260">
        <f>Main!B209</f>
        <v>42107</v>
      </c>
      <c r="E208" s="260" t="str">
        <f>IF(Main!AI209&lt;1,"",Main!AI209)</f>
        <v>Facebook</v>
      </c>
      <c r="F208" s="260" t="str">
        <f>IF(Main!AJ209&lt;1,"",Main!AJ209)</f>
        <v/>
      </c>
      <c r="G208" s="260" t="str">
        <f>IF(Main!AK209&lt;1,"",Main!AK209)</f>
        <v/>
      </c>
      <c r="H208" s="259" t="str">
        <f>Main!Y209</f>
        <v>Recruiter- Consumer Sales</v>
      </c>
      <c r="I208" s="259" t="str">
        <f>Main!Z209</f>
        <v>Level 0</v>
      </c>
      <c r="J208" s="259">
        <f>IF(Main!A209&lt;1,"",Main!A209)</f>
        <v>192</v>
      </c>
      <c r="K208" s="260">
        <f>IF(Main!AN209&gt;0,Main!AN209,"")</f>
        <v>32584</v>
      </c>
      <c r="L208" s="258" t="str">
        <f>IF(Main!Q209&gt;0,Main!Q209,"")</f>
        <v>diannapublico@yahoo.com</v>
      </c>
      <c r="M208" s="410">
        <f>VALUE(IF(Main!S209&gt;0,Main!S209,""))</f>
        <v>9194756959</v>
      </c>
      <c r="N208" s="261" t="str">
        <f>Main!T209</f>
        <v/>
      </c>
      <c r="O208" s="258" t="str">
        <f>IF(Main!AO209&gt;0,Main!AO209,"")</f>
        <v>24 E Aniceta, Kaingin Rd., Balintawak, Quezon City</v>
      </c>
      <c r="P208" s="258" t="str">
        <f>IF(Main!AP209&gt;0,Main!AP209,"")</f>
        <v>139A Kaingin Road, Balintawak, Quezon City</v>
      </c>
      <c r="Q208" s="258" t="str">
        <f>IF(Main!AR209&gt;0,Main!AR209,"")</f>
        <v>Single</v>
      </c>
      <c r="R208" s="259" t="str">
        <f>IF(Main!AQ209&gt;0,Main!AQ209,"")</f>
        <v>Female</v>
      </c>
      <c r="S208" s="259" t="str">
        <f>IF(Main!BD209&gt;0,Main!BD209,"")</f>
        <v>34-1653340-1</v>
      </c>
      <c r="T208" s="259" t="str">
        <f>IF(Main!AX209&gt;0,Main!AX209,"")</f>
        <v>278-503-265</v>
      </c>
      <c r="U208" s="259" t="str">
        <f>IF(Main!BH209&gt;0,Main!BH209,"")</f>
        <v>03-050609253-8</v>
      </c>
      <c r="V208" s="268" t="str">
        <f>IF(Main!BF209&gt;0,Main!BF209,"")</f>
        <v>1210-6899-4486</v>
      </c>
      <c r="W208" s="263">
        <f>IF(Main!BS209&gt;0,Main!BS209,"")</f>
        <v>42108</v>
      </c>
      <c r="X208" s="263">
        <f>IF(Main!BT209&gt;0,Main!BT209,"")</f>
        <v>42108</v>
      </c>
      <c r="Y208" s="263">
        <f>IF(Main!BU209&gt;0,Main!BU209,"")</f>
        <v>42108</v>
      </c>
      <c r="Z208" s="263">
        <f>IF(Main!AS209&gt;0,Main!AS209,"")</f>
        <v>42122</v>
      </c>
      <c r="AA208" s="263" t="str">
        <f>IF(Main!BJ209&gt;0,Main!BJ209,"")</f>
        <v/>
      </c>
      <c r="AB208" s="263">
        <f>IF(Main!BC209&gt;0,Main!BC209,"")</f>
        <v>42122</v>
      </c>
      <c r="AC208" s="263">
        <f>IF(Main!AW209&gt;0,Main!AW209,"")</f>
        <v>42122</v>
      </c>
      <c r="AD208" s="263">
        <f>IF(Main!BG209&gt;0,Main!BG209,"")</f>
        <v>42122</v>
      </c>
      <c r="AE208" s="263">
        <f>IF(Main!BE209&gt;0,Main!BE209,"")</f>
        <v>42122</v>
      </c>
      <c r="AF208" s="263">
        <f>IF(Main!BM209&gt;0,Main!BM209,"")</f>
        <v>42122</v>
      </c>
      <c r="AG208" s="263" t="str">
        <f>IF(Main!BN209&gt;0,Main!BN209,"")</f>
        <v/>
      </c>
      <c r="AH208" s="263">
        <f>IF(Main!BO209&gt;0,Main!BO209,"")</f>
        <v>42122</v>
      </c>
      <c r="AI208" s="263" t="str">
        <f>IF(Main!BR209&gt;0,Main!BR209,"")</f>
        <v/>
      </c>
      <c r="AJ208" s="263" t="str">
        <f>IF(Main!BQ209&gt;0,Main!BQ209,"")</f>
        <v/>
      </c>
      <c r="AK208" s="263">
        <f>IF(Main!AV209&gt;0,Main!AV209,"")</f>
        <v>42109</v>
      </c>
      <c r="AL208" s="263">
        <f>IF(Main!AU209&gt;0,Main!AU209,"")</f>
        <v>42122</v>
      </c>
      <c r="AM208" s="263">
        <f>IF(Main!AT209&gt;0,Main!AT209,"")</f>
        <v>42105</v>
      </c>
      <c r="AN208" s="259" t="str">
        <f>Main!BW209</f>
        <v>1905 (for processing) 4/28/2015, Affidavit of Discrepancy - 04/28/2015</v>
      </c>
    </row>
    <row r="209" spans="1:40" x14ac:dyDescent="0.25">
      <c r="A209" s="258">
        <f>Main!C210</f>
        <v>1082426</v>
      </c>
      <c r="B209" s="259" t="str">
        <f>Main!D210</f>
        <v>Guzman, Maria Chavala Castro</v>
      </c>
      <c r="C209" s="259" t="str">
        <f>Main!AH210</f>
        <v>Probationary</v>
      </c>
      <c r="D209" s="260">
        <f>Main!B210</f>
        <v>42107</v>
      </c>
      <c r="E209" s="260" t="str">
        <f>IF(Main!AI210&lt;1,"",Main!AI210)</f>
        <v>ARP</v>
      </c>
      <c r="F209" s="260" t="str">
        <f>IF(Main!AJ210&lt;1,"",Main!AJ210)</f>
        <v/>
      </c>
      <c r="G209" s="260" t="str">
        <f>IF(Main!AK210&lt;1,"",Main!AK210)</f>
        <v/>
      </c>
      <c r="H209" s="259" t="str">
        <f>Main!Y210</f>
        <v>Recruiter- Consumer Sales</v>
      </c>
      <c r="I209" s="259" t="str">
        <f>Main!Z210</f>
        <v>Level 0</v>
      </c>
      <c r="J209" s="259">
        <f>IF(Main!A210&lt;1,"",Main!A210)</f>
        <v>192</v>
      </c>
      <c r="K209" s="260">
        <f>IF(Main!AN210&gt;0,Main!AN210,"")</f>
        <v>32069</v>
      </c>
      <c r="L209" s="258" t="str">
        <f>IF(Main!Q210&gt;0,Main!Q210,"")</f>
        <v>chavalaguzman@hotmail.com</v>
      </c>
      <c r="M209" s="410">
        <f>VALUE(IF(Main!S210&gt;0,Main!S210,""))</f>
        <v>9175894160</v>
      </c>
      <c r="N209" s="261" t="str">
        <f>Main!T210</f>
        <v/>
      </c>
      <c r="O209" s="258" t="str">
        <f>IF(Main!AO210&gt;0,Main!AO210,"")</f>
        <v>1405 Tayuman St, Sta. Cruz, Manila</v>
      </c>
      <c r="P209" s="258" t="str">
        <f>IF(Main!AP210&gt;0,Main!AP210,"")</f>
        <v>63 Phase 74 Gardenia St. Greenwoods Exec. Village Cainta, Rizal</v>
      </c>
      <c r="Q209" s="258" t="str">
        <f>IF(Main!AR210&gt;0,Main!AR210,"")</f>
        <v>Single</v>
      </c>
      <c r="R209" s="259" t="str">
        <f>IF(Main!AQ210&gt;0,Main!AQ210,"")</f>
        <v>Female</v>
      </c>
      <c r="S209" s="259" t="str">
        <f>IF(Main!BD210&gt;0,Main!BD210,"")</f>
        <v>34-0993233-6</v>
      </c>
      <c r="T209" s="259" t="str">
        <f>IF(Main!AX210&gt;0,Main!AX210,"")</f>
        <v>281-266-974</v>
      </c>
      <c r="U209" s="259" t="str">
        <f>IF(Main!BH210&gt;0,Main!BH210,"")</f>
        <v>02-050920044-1</v>
      </c>
      <c r="V209" s="268" t="str">
        <f>IF(Main!BF210&gt;0,Main!BF210,"")</f>
        <v>1210-6535-3335</v>
      </c>
      <c r="W209" s="263">
        <f>IF(Main!BS210&gt;0,Main!BS210,"")</f>
        <v>42108</v>
      </c>
      <c r="X209" s="263">
        <f>IF(Main!BT210&gt;0,Main!BT210,"")</f>
        <v>42108</v>
      </c>
      <c r="Y209" s="263">
        <f>IF(Main!BU210&gt;0,Main!BU210,"")</f>
        <v>42108</v>
      </c>
      <c r="Z209" s="263">
        <f>IF(Main!AS210&gt;0,Main!AS210,"")</f>
        <v>42111</v>
      </c>
      <c r="AA209" s="263">
        <f>IF(Main!BJ210&gt;0,Main!BJ210,"")</f>
        <v>42109</v>
      </c>
      <c r="AB209" s="263">
        <f>IF(Main!BC210&gt;0,Main!BC210,"")</f>
        <v>42118</v>
      </c>
      <c r="AC209" s="263">
        <f>IF(Main!AW210&gt;0,Main!AW210,"")</f>
        <v>42109</v>
      </c>
      <c r="AD209" s="263">
        <f>IF(Main!BG210&gt;0,Main!BG210,"")</f>
        <v>42123</v>
      </c>
      <c r="AE209" s="263">
        <f>IF(Main!BE210&gt;0,Main!BE210,"")</f>
        <v>42118</v>
      </c>
      <c r="AF209" s="263">
        <f>IF(Main!BM210&gt;0,Main!BM210,"")</f>
        <v>42109</v>
      </c>
      <c r="AG209" s="263" t="str">
        <f>IF(Main!BN210&gt;0,Main!BN210,"")</f>
        <v/>
      </c>
      <c r="AH209" s="263" t="str">
        <f>IF(Main!BO210&gt;0,Main!BO210,"")</f>
        <v/>
      </c>
      <c r="AI209" s="263">
        <f>IF(Main!BR210&gt;0,Main!BR210,"")</f>
        <v>42109</v>
      </c>
      <c r="AJ209" s="263">
        <f>IF(Main!BQ210&gt;0,Main!BQ210,"")</f>
        <v>42118</v>
      </c>
      <c r="AK209" s="263">
        <f>IF(Main!AV210&gt;0,Main!AV210,"")</f>
        <v>42109</v>
      </c>
      <c r="AL209" s="263">
        <f>IF(Main!AU210&gt;0,Main!AU210,"")</f>
        <v>42109</v>
      </c>
      <c r="AM209" s="263">
        <f>IF(Main!AT210&gt;0,Main!AT210,"")</f>
        <v>42109</v>
      </c>
      <c r="AN209" s="259" t="str">
        <f>Main!BW210</f>
        <v xml:space="preserve">1905 4/15/2015, 2305 4/15/2015, MDR 4/29/2015, </v>
      </c>
    </row>
    <row r="210" spans="1:40" x14ac:dyDescent="0.25">
      <c r="A210" s="258">
        <f>Main!C211</f>
        <v>1082427</v>
      </c>
      <c r="B210" s="259" t="str">
        <f>Main!D211</f>
        <v>Batulayan, Lara Evadne De Sagun</v>
      </c>
      <c r="C210" s="259" t="str">
        <f>Main!AH211</f>
        <v>Probationary</v>
      </c>
      <c r="D210" s="260">
        <f>Main!B211</f>
        <v>42107</v>
      </c>
      <c r="E210" s="260" t="str">
        <f>IF(Main!AI211&lt;1,"",Main!AI211)</f>
        <v>ERP - Bezaleel Climacosa</v>
      </c>
      <c r="F210" s="260" t="str">
        <f>IF(Main!AJ211&lt;1,"",Main!AJ211)</f>
        <v>Bezaleel Climacosa</v>
      </c>
      <c r="G210" s="260" t="str">
        <f>IF(Main!AK211&lt;1,"",Main!AK211)</f>
        <v/>
      </c>
      <c r="H210" s="259" t="str">
        <f>Main!Y211</f>
        <v>Recruiter- Consumer Sales</v>
      </c>
      <c r="I210" s="259" t="str">
        <f>Main!Z211</f>
        <v>Level 0</v>
      </c>
      <c r="J210" s="259">
        <f>IF(Main!A211&lt;1,"",Main!A211)</f>
        <v>192</v>
      </c>
      <c r="K210" s="260">
        <f>IF(Main!AN211&gt;0,Main!AN211,"")</f>
        <v>32228</v>
      </c>
      <c r="L210" s="258" t="str">
        <f>IF(Main!Q211&gt;0,Main!Q211,"")</f>
        <v>lesbatulayan@gmail.com</v>
      </c>
      <c r="M210" s="410">
        <f>VALUE(IF(Main!S211&gt;0,Main!S211,""))</f>
        <v>9178161337</v>
      </c>
      <c r="N210" s="261" t="str">
        <f>Main!T211</f>
        <v/>
      </c>
      <c r="O210" s="258" t="str">
        <f>IF(Main!AO211&gt;0,Main!AO211,"")</f>
        <v>8407 E Mayapis St, San Antonio Vill, Makati</v>
      </c>
      <c r="P210" s="258" t="str">
        <f>IF(Main!AP211&gt;0,Main!AP211,"")</f>
        <v>Adventist University of the Philippines Putting Kahoy, Silang Cavite</v>
      </c>
      <c r="Q210" s="258" t="str">
        <f>IF(Main!AR211&gt;0,Main!AR211,"")</f>
        <v/>
      </c>
      <c r="R210" s="259" t="str">
        <f>IF(Main!AQ211&gt;0,Main!AQ211,"")</f>
        <v>Female</v>
      </c>
      <c r="S210" s="259" t="str">
        <f>IF(Main!BD211&gt;0,Main!BD211,"")</f>
        <v>34-4308724-7</v>
      </c>
      <c r="T210" s="259" t="str">
        <f>IF(Main!AX211&gt;0,Main!AX211,"")</f>
        <v>277-909-138</v>
      </c>
      <c r="U210" s="259" t="str">
        <f>IF(Main!BH211&gt;0,Main!BH211,"")</f>
        <v>01-051820386-5</v>
      </c>
      <c r="V210" s="268" t="str">
        <f>IF(Main!BF211&gt;0,Main!BF211,"")</f>
        <v>1211-0857-1709</v>
      </c>
      <c r="W210" s="263">
        <f>IF(Main!BS211&gt;0,Main!BS211,"")</f>
        <v>42108</v>
      </c>
      <c r="X210" s="263">
        <f>IF(Main!BT211&gt;0,Main!BT211,"")</f>
        <v>42108</v>
      </c>
      <c r="Y210" s="263">
        <f>IF(Main!BU211&gt;0,Main!BU211,"")</f>
        <v>42108</v>
      </c>
      <c r="Z210" s="263">
        <f>IF(Main!AS211&gt;0,Main!AS211,"")</f>
        <v>42118</v>
      </c>
      <c r="AA210" s="263">
        <f>IF(Main!BJ211&gt;0,Main!BJ211,"")</f>
        <v>42118</v>
      </c>
      <c r="AB210" s="263">
        <f>IF(Main!BC211&gt;0,Main!BC211,"")</f>
        <v>42118</v>
      </c>
      <c r="AC210" s="263">
        <f>IF(Main!AW211&gt;0,Main!AW211,"")</f>
        <v>42136</v>
      </c>
      <c r="AD210" s="263">
        <f>IF(Main!BG211&gt;0,Main!BG211,"")</f>
        <v>42122</v>
      </c>
      <c r="AE210" s="263">
        <f>IF(Main!BE211&gt;0,Main!BE211,"")</f>
        <v>42118</v>
      </c>
      <c r="AF210" s="263">
        <f>IF(Main!BM211&gt;0,Main!BM211,"")</f>
        <v>42118</v>
      </c>
      <c r="AG210" s="263" t="str">
        <f>IF(Main!BN211&gt;0,Main!BN211,"")</f>
        <v/>
      </c>
      <c r="AH210" s="263" t="str">
        <f>IF(Main!BO211&gt;0,Main!BO211,"")</f>
        <v/>
      </c>
      <c r="AI210" s="263" t="str">
        <f>IF(Main!BR211&gt;0,Main!BR211,"")</f>
        <v/>
      </c>
      <c r="AJ210" s="263">
        <f>IF(Main!BQ211&gt;0,Main!BQ211,"")</f>
        <v>42118</v>
      </c>
      <c r="AK210" s="263">
        <f>IF(Main!AV211&gt;0,Main!AV211,"")</f>
        <v>42109</v>
      </c>
      <c r="AL210" s="263">
        <f>IF(Main!AU211&gt;0,Main!AU211,"")</f>
        <v>42118</v>
      </c>
      <c r="AM210" s="263">
        <f>IF(Main!AT211&gt;0,Main!AT211,"")</f>
        <v>42105</v>
      </c>
      <c r="AN210" s="259" t="str">
        <f>Main!BW211</f>
        <v xml:space="preserve">1905 (for processing) 5/12/2015, 2305 (for processing) 5/12/2015, MDR 4/28/2015, </v>
      </c>
    </row>
    <row r="211" spans="1:40" x14ac:dyDescent="0.25">
      <c r="A211" s="258">
        <f>Main!C212</f>
        <v>1082428</v>
      </c>
      <c r="B211" s="259" t="str">
        <f>Main!D212</f>
        <v>Roxas, Jett Andrew Francisco</v>
      </c>
      <c r="C211" s="259" t="str">
        <f>Main!AH212</f>
        <v>Probationary</v>
      </c>
      <c r="D211" s="260">
        <f>Main!B212</f>
        <v>42107</v>
      </c>
      <c r="E211" s="260" t="str">
        <f>IF(Main!AI212&lt;1,"",Main!AI212)</f>
        <v>Jobstreet</v>
      </c>
      <c r="F211" s="260" t="str">
        <f>IF(Main!AJ212&lt;1,"",Main!AJ212)</f>
        <v/>
      </c>
      <c r="G211" s="260" t="str">
        <f>IF(Main!AK212&lt;1,"",Main!AK212)</f>
        <v/>
      </c>
      <c r="H211" s="259" t="str">
        <f>Main!Y212</f>
        <v>Recruiter- Consumer Sales</v>
      </c>
      <c r="I211" s="259" t="str">
        <f>Main!Z212</f>
        <v>Level 0</v>
      </c>
      <c r="J211" s="259">
        <f>IF(Main!A212&lt;1,"",Main!A212)</f>
        <v>192</v>
      </c>
      <c r="K211" s="260">
        <f>IF(Main!AN212&gt;0,Main!AN212,"")</f>
        <v>31162</v>
      </c>
      <c r="L211" s="258" t="str">
        <f>IF(Main!Q212&gt;0,Main!Q212,"")</f>
        <v>jettandrewroxas@outlook.com</v>
      </c>
      <c r="M211" s="410">
        <f>VALUE(IF(Main!S212&gt;0,Main!S212,""))</f>
        <v>9164461712</v>
      </c>
      <c r="N211" s="261" t="str">
        <f>Main!T212</f>
        <v/>
      </c>
      <c r="O211" s="258" t="str">
        <f>IF(Main!AO212&gt;0,Main!AO212,"")</f>
        <v>95 Balubad St, Nangka, Marikina City</v>
      </c>
      <c r="P211" s="258" t="str">
        <f>IF(Main!AP212&gt;0,Main!AP212,"")</f>
        <v>95 Balubad St, Nangka, Marikina City</v>
      </c>
      <c r="Q211" s="258" t="str">
        <f>IF(Main!AR212&gt;0,Main!AR212,"")</f>
        <v>Single</v>
      </c>
      <c r="R211" s="259" t="str">
        <f>IF(Main!AQ212&gt;0,Main!AQ212,"")</f>
        <v>Male</v>
      </c>
      <c r="S211" s="259" t="str">
        <f>IF(Main!BD212&gt;0,Main!BD212,"")</f>
        <v>34-0135476-3</v>
      </c>
      <c r="T211" s="259" t="str">
        <f>IF(Main!AX212&gt;0,Main!AX212,"")</f>
        <v>286-834-753</v>
      </c>
      <c r="U211" s="259" t="str">
        <f>IF(Main!BH212&gt;0,Main!BH212,"")</f>
        <v>03-050668989-5</v>
      </c>
      <c r="V211" s="268" t="str">
        <f>IF(Main!BF212&gt;0,Main!BF212,"")</f>
        <v>1210-1163-5372</v>
      </c>
      <c r="W211" s="263">
        <f>IF(Main!BS212&gt;0,Main!BS212,"")</f>
        <v>42108</v>
      </c>
      <c r="X211" s="263">
        <f>IF(Main!BT212&gt;0,Main!BT212,"")</f>
        <v>42108</v>
      </c>
      <c r="Y211" s="263">
        <f>IF(Main!BU212&gt;0,Main!BU212,"")</f>
        <v>42108</v>
      </c>
      <c r="Z211" s="263">
        <f>IF(Main!AS212&gt;0,Main!AS212,"")</f>
        <v>42109</v>
      </c>
      <c r="AA211" s="263">
        <f>IF(Main!BJ212&gt;0,Main!BJ212,"")</f>
        <v>42109</v>
      </c>
      <c r="AB211" s="263">
        <f>IF(Main!BC212&gt;0,Main!BC212,"")</f>
        <v>42109</v>
      </c>
      <c r="AC211" s="263">
        <f>IF(Main!AW212&gt;0,Main!AW212,"")</f>
        <v>42109</v>
      </c>
      <c r="AD211" s="263">
        <f>IF(Main!BG212&gt;0,Main!BG212,"")</f>
        <v>42109</v>
      </c>
      <c r="AE211" s="263">
        <f>IF(Main!BE212&gt;0,Main!BE212,"")</f>
        <v>42109</v>
      </c>
      <c r="AF211" s="263">
        <f>IF(Main!BM212&gt;0,Main!BM212,"")</f>
        <v>42109</v>
      </c>
      <c r="AG211" s="263" t="str">
        <f>IF(Main!BN212&gt;0,Main!BN212,"")</f>
        <v/>
      </c>
      <c r="AH211" s="263" t="str">
        <f>IF(Main!BO212&gt;0,Main!BO212,"")</f>
        <v/>
      </c>
      <c r="AI211" s="263">
        <f>IF(Main!BR212&gt;0,Main!BR212,"")</f>
        <v>42109</v>
      </c>
      <c r="AJ211" s="263">
        <f>IF(Main!BQ212&gt;0,Main!BQ212,"")</f>
        <v>42109</v>
      </c>
      <c r="AK211" s="263">
        <f>IF(Main!AV212&gt;0,Main!AV212,"")</f>
        <v>42109</v>
      </c>
      <c r="AL211" s="263">
        <f>IF(Main!AU212&gt;0,Main!AU212,"")</f>
        <v>42109</v>
      </c>
      <c r="AM211" s="263">
        <f>IF(Main!AT212&gt;0,Main!AT212,"")</f>
        <v>42105</v>
      </c>
      <c r="AN211" s="259" t="str">
        <f>Main!BW212</f>
        <v xml:space="preserve">2305 4/15/2015, </v>
      </c>
    </row>
    <row r="212" spans="1:40" x14ac:dyDescent="0.25">
      <c r="A212" s="258">
        <f>Main!C213</f>
        <v>1082429</v>
      </c>
      <c r="B212" s="259" t="str">
        <f>Main!D213</f>
        <v>Dela Cruz, Sarah Jane Cruz</v>
      </c>
      <c r="C212" s="259" t="str">
        <f>Main!AH213</f>
        <v>Probationary</v>
      </c>
      <c r="D212" s="260">
        <f>Main!B213</f>
        <v>42107</v>
      </c>
      <c r="E212" s="260" t="str">
        <f>IF(Main!AI213&lt;1,"",Main!AI213)</f>
        <v>Jobstreet</v>
      </c>
      <c r="F212" s="260" t="str">
        <f>IF(Main!AJ213&lt;1,"",Main!AJ213)</f>
        <v/>
      </c>
      <c r="G212" s="260" t="str">
        <f>IF(Main!AK213&lt;1,"",Main!AK213)</f>
        <v/>
      </c>
      <c r="H212" s="259" t="str">
        <f>Main!Y213</f>
        <v>Recruiter- Consumer Sales</v>
      </c>
      <c r="I212" s="259" t="str">
        <f>Main!Z213</f>
        <v>Level 0</v>
      </c>
      <c r="J212" s="259">
        <f>IF(Main!A213&lt;1,"",Main!A213)</f>
        <v>192</v>
      </c>
      <c r="K212" s="260">
        <f>IF(Main!AN213&gt;0,Main!AN213,"")</f>
        <v>32739</v>
      </c>
      <c r="L212" s="258" t="str">
        <f>IF(Main!Q213&gt;0,Main!Q213,"")</f>
        <v>crmsarahjanedelacruz@gmail.com</v>
      </c>
      <c r="M212" s="410">
        <f>VALUE(IF(Main!S213&gt;0,Main!S213,""))</f>
        <v>9333650772</v>
      </c>
      <c r="N212" s="261" t="str">
        <f>Main!T213</f>
        <v/>
      </c>
      <c r="O212" s="258" t="str">
        <f>IF(Main!AO213&gt;0,Main!AO213,"")</f>
        <v>888 Sta. Ana, Bulakan, Bulacan</v>
      </c>
      <c r="P212" s="258" t="str">
        <f>IF(Main!AP213&gt;0,Main!AP213,"")</f>
        <v>888 Sta. Ana, Bulakan, Bulacan</v>
      </c>
      <c r="Q212" s="258" t="str">
        <f>IF(Main!AR213&gt;0,Main!AR213,"")</f>
        <v>Single</v>
      </c>
      <c r="R212" s="259" t="str">
        <f>IF(Main!AQ213&gt;0,Main!AQ213,"")</f>
        <v>Female</v>
      </c>
      <c r="S212" s="259" t="str">
        <f>IF(Main!BD213&gt;0,Main!BD213,"")</f>
        <v>34-11800977</v>
      </c>
      <c r="T212" s="259" t="str">
        <f>IF(Main!AX213&gt;0,Main!AX213,"")</f>
        <v>500-044-206</v>
      </c>
      <c r="U212" s="259" t="str">
        <f>IF(Main!BH213&gt;0,Main!BH213,"")</f>
        <v>01-051445603-3</v>
      </c>
      <c r="V212" s="268" t="str">
        <f>IF(Main!BF213&gt;0,Main!BF213,"")</f>
        <v>1211-3902-8135</v>
      </c>
      <c r="W212" s="263">
        <f>IF(Main!BS213&gt;0,Main!BS213,"")</f>
        <v>42108</v>
      </c>
      <c r="X212" s="263">
        <f>IF(Main!BT213&gt;0,Main!BT213,"")</f>
        <v>42108</v>
      </c>
      <c r="Y212" s="263">
        <f>IF(Main!BU213&gt;0,Main!BU213,"")</f>
        <v>42108</v>
      </c>
      <c r="Z212" s="263">
        <f>IF(Main!AS213&gt;0,Main!AS213,"")</f>
        <v>42109</v>
      </c>
      <c r="AA212" s="263">
        <f>IF(Main!BJ213&gt;0,Main!BJ213,"")</f>
        <v>42137</v>
      </c>
      <c r="AB212" s="263">
        <f>IF(Main!BC213&gt;0,Main!BC213,"")</f>
        <v>42118</v>
      </c>
      <c r="AC212" s="263">
        <f>IF(Main!AW213&gt;0,Main!AW213,"")</f>
        <v>42131</v>
      </c>
      <c r="AD212" s="263">
        <f>IF(Main!BG213&gt;0,Main!BG213,"")</f>
        <v>42122</v>
      </c>
      <c r="AE212" s="263">
        <f>IF(Main!BE213&gt;0,Main!BE213,"")</f>
        <v>42109</v>
      </c>
      <c r="AF212" s="263">
        <f>IF(Main!BM213&gt;0,Main!BM213,"")</f>
        <v>42109</v>
      </c>
      <c r="AG212" s="263" t="str">
        <f>IF(Main!BN213&gt;0,Main!BN213,"")</f>
        <v/>
      </c>
      <c r="AH212" s="263">
        <f>IF(Main!BO213&gt;0,Main!BO213,"")</f>
        <v>42114</v>
      </c>
      <c r="AI212" s="263" t="str">
        <f>IF(Main!BR213&gt;0,Main!BR213,"")</f>
        <v/>
      </c>
      <c r="AJ212" s="263" t="str">
        <f>IF(Main!BQ213&gt;0,Main!BQ213,"")</f>
        <v/>
      </c>
      <c r="AK212" s="263">
        <f>IF(Main!AV213&gt;0,Main!AV213,"")</f>
        <v>42137</v>
      </c>
      <c r="AL212" s="263">
        <f>IF(Main!AU213&gt;0,Main!AU213,"")</f>
        <v>42109</v>
      </c>
      <c r="AM212" s="263">
        <f>IF(Main!AT213&gt;0,Main!AT213,"")</f>
        <v>42109</v>
      </c>
      <c r="AN212" s="259" t="str">
        <f>Main!BW213</f>
        <v xml:space="preserve">MDR 4/28/2015, NBI receipt 5/1/2015, </v>
      </c>
    </row>
    <row r="213" spans="1:40" x14ac:dyDescent="0.25">
      <c r="A213" s="258">
        <f>Main!C214</f>
        <v>1082430</v>
      </c>
      <c r="B213" s="259" t="str">
        <f>Main!D214</f>
        <v>Bacolod, Shayne Angeles</v>
      </c>
      <c r="C213" s="259" t="str">
        <f>Main!AH214</f>
        <v>Probationary</v>
      </c>
      <c r="D213" s="260">
        <f>Main!B214</f>
        <v>42114</v>
      </c>
      <c r="E213" s="260" t="str">
        <f>IF(Main!AI214&lt;1,"",Main!AI214)</f>
        <v>Jobstreet</v>
      </c>
      <c r="F213" s="260" t="str">
        <f>IF(Main!AJ214&lt;1,"",Main!AJ214)</f>
        <v/>
      </c>
      <c r="G213" s="260" t="str">
        <f>IF(Main!AK214&lt;1,"",Main!AK214)</f>
        <v/>
      </c>
      <c r="H213" s="259" t="str">
        <f>Main!Y214</f>
        <v>Senior Recruiter</v>
      </c>
      <c r="I213" s="259" t="str">
        <f>Main!Z214</f>
        <v>Level 2</v>
      </c>
      <c r="J213" s="259">
        <f>IF(Main!A214&lt;1,"",Main!A214)</f>
        <v>193</v>
      </c>
      <c r="K213" s="260">
        <f>IF(Main!AN214&gt;0,Main!AN214,"")</f>
        <v>31778</v>
      </c>
      <c r="L213" s="258" t="str">
        <f>IF(Main!Q214&gt;0,Main!Q214,"")</f>
        <v/>
      </c>
      <c r="M213" s="410">
        <f>VALUE(IF(Main!S214&gt;0,Main!S214,""))</f>
        <v>9227803009</v>
      </c>
      <c r="N213" s="261" t="str">
        <f>Main!T214</f>
        <v/>
      </c>
      <c r="O213" s="258" t="str">
        <f>IF(Main!AO214&gt;0,Main!AO214,"")</f>
        <v>5519 Gumamela Duplex Comp. Gen. T. De Leon Velenzuela City</v>
      </c>
      <c r="P213" s="258" t="str">
        <f>IF(Main!AP214&gt;0,Main!AP214,"")</f>
        <v>5519 Gumamela Duplex Comp. Gen. T. De Leon Velenzuela City</v>
      </c>
      <c r="Q213" s="258" t="str">
        <f>IF(Main!AR214&gt;0,Main!AR214,"")</f>
        <v>Single</v>
      </c>
      <c r="R213" s="259" t="str">
        <f>IF(Main!AQ214&gt;0,Main!AQ214,"")</f>
        <v>Female</v>
      </c>
      <c r="S213" s="259" t="str">
        <f>IF(Main!BD214&gt;0,Main!BD214,"")</f>
        <v>34-1087418-2</v>
      </c>
      <c r="T213" s="259" t="str">
        <f>IF(Main!AX214&gt;0,Main!AX214,"")</f>
        <v>265-422-254</v>
      </c>
      <c r="U213" s="259" t="str">
        <f>IF(Main!BH214&gt;0,Main!BH214,"")</f>
        <v>01-050712799-7</v>
      </c>
      <c r="V213" s="268" t="str">
        <f>IF(Main!BF214&gt;0,Main!BF214,"")</f>
        <v>1020-0262-8944</v>
      </c>
      <c r="W213" s="263">
        <f>IF(Main!BS214&gt;0,Main!BS214,"")</f>
        <v>42118</v>
      </c>
      <c r="X213" s="263">
        <f>IF(Main!BT214&gt;0,Main!BT214,"")</f>
        <v>42118</v>
      </c>
      <c r="Y213" s="263">
        <f>IF(Main!BU214&gt;0,Main!BU214,"")</f>
        <v>42118</v>
      </c>
      <c r="Z213" s="263">
        <f>IF(Main!AS214&gt;0,Main!AS214,"")</f>
        <v>42118</v>
      </c>
      <c r="AA213" s="263" t="str">
        <f>IF(Main!BJ214&gt;0,Main!BJ214,"")</f>
        <v/>
      </c>
      <c r="AB213" s="263">
        <f>IF(Main!BC214&gt;0,Main!BC214,"")</f>
        <v>42118</v>
      </c>
      <c r="AC213" s="263">
        <f>IF(Main!AW214&gt;0,Main!AW214,"")</f>
        <v>42118</v>
      </c>
      <c r="AD213" s="263">
        <f>IF(Main!BG214&gt;0,Main!BG214,"")</f>
        <v>42118</v>
      </c>
      <c r="AE213" s="263">
        <f>IF(Main!BE214&gt;0,Main!BE214,"")</f>
        <v>42118</v>
      </c>
      <c r="AF213" s="263">
        <f>IF(Main!BM214&gt;0,Main!BM214,"")</f>
        <v>42118</v>
      </c>
      <c r="AG213" s="263" t="str">
        <f>IF(Main!BN214&gt;0,Main!BN214,"")</f>
        <v/>
      </c>
      <c r="AH213" s="263" t="str">
        <f>IF(Main!BO214&gt;0,Main!BO214,"")</f>
        <v/>
      </c>
      <c r="AI213" s="263" t="str">
        <f>IF(Main!BR214&gt;0,Main!BR214,"")</f>
        <v/>
      </c>
      <c r="AJ213" s="263">
        <f>IF(Main!BQ214&gt;0,Main!BQ214,"")</f>
        <v>42118</v>
      </c>
      <c r="AK213" s="263" t="str">
        <f>IF(Main!AV214&gt;0,Main!AV214,"")</f>
        <v/>
      </c>
      <c r="AL213" s="263">
        <f>IF(Main!AU214&gt;0,Main!AU214,"")</f>
        <v>42118</v>
      </c>
      <c r="AM213" s="263">
        <f>IF(Main!AT214&gt;0,Main!AT214,"")</f>
        <v>42118</v>
      </c>
      <c r="AN213" s="259" t="str">
        <f>Main!BW214</f>
        <v/>
      </c>
    </row>
    <row r="214" spans="1:40" x14ac:dyDescent="0.25">
      <c r="A214" s="258">
        <f>Main!C215</f>
        <v>1082431</v>
      </c>
      <c r="B214" s="259" t="str">
        <f>Main!D215</f>
        <v>Castillo, Heide Ann</v>
      </c>
      <c r="C214" s="259" t="str">
        <f>Main!AH215</f>
        <v>Probationary</v>
      </c>
      <c r="D214" s="260">
        <f>Main!B215</f>
        <v>42114</v>
      </c>
      <c r="E214" s="260" t="str">
        <f>IF(Main!AI215&lt;1,"",Main!AI215)</f>
        <v>Jobstreet</v>
      </c>
      <c r="F214" s="260" t="str">
        <f>IF(Main!AJ215&lt;1,"",Main!AJ215)</f>
        <v/>
      </c>
      <c r="G214" s="260" t="str">
        <f>IF(Main!AK215&lt;1,"",Main!AK215)</f>
        <v/>
      </c>
      <c r="H214" s="259" t="str">
        <f>Main!Y215</f>
        <v>Senior Recruiter</v>
      </c>
      <c r="I214" s="259" t="str">
        <f>Main!Z215</f>
        <v>Level 1</v>
      </c>
      <c r="J214" s="259">
        <f>IF(Main!A215&lt;1,"",Main!A215)</f>
        <v>193</v>
      </c>
      <c r="K214" s="260">
        <f>IF(Main!AN215&gt;0,Main!AN215,"")</f>
        <v>32378</v>
      </c>
      <c r="L214" s="258" t="str">
        <f>IF(Main!Q215&gt;0,Main!Q215,"")</f>
        <v>castillo.heide@gmail.com</v>
      </c>
      <c r="M214" s="410">
        <f>VALUE(IF(Main!S215&gt;0,Main!S215,""))</f>
        <v>9156624755</v>
      </c>
      <c r="N214" s="261" t="str">
        <f>Main!T215</f>
        <v/>
      </c>
      <c r="O214" s="258" t="str">
        <f>IF(Main!AO215&gt;0,Main!AO215,"")</f>
        <v>229 G. Reyes St., Leveriza, Pasay City</v>
      </c>
      <c r="P214" s="258" t="str">
        <f>IF(Main!AP215&gt;0,Main!AP215,"")</f>
        <v># 19 PPSC RTS-9 Camp. F. T.  Marcos, Pasonanca, Zamboanga City</v>
      </c>
      <c r="Q214" s="258" t="str">
        <f>IF(Main!AR215&gt;0,Main!AR215,"")</f>
        <v>Single</v>
      </c>
      <c r="R214" s="259" t="str">
        <f>IF(Main!AQ215&gt;0,Main!AQ215,"")</f>
        <v>Female</v>
      </c>
      <c r="S214" s="259" t="str">
        <f>IF(Main!BD215&gt;0,Main!BD215,"")</f>
        <v>10-0905845-0</v>
      </c>
      <c r="T214" s="259" t="str">
        <f>IF(Main!AX215&gt;0,Main!AX215,"")</f>
        <v>296-785-902</v>
      </c>
      <c r="U214" s="259" t="str">
        <f>IF(Main!BH215&gt;0,Main!BH215,"")</f>
        <v>14-050132590-9</v>
      </c>
      <c r="V214" s="268" t="str">
        <f>IF(Main!BF215&gt;0,Main!BF215,"")</f>
        <v>1210-1219-0005</v>
      </c>
      <c r="W214" s="263">
        <f>IF(Main!BS215&gt;0,Main!BS215,"")</f>
        <v>42118</v>
      </c>
      <c r="X214" s="263">
        <f>IF(Main!BT215&gt;0,Main!BT215,"")</f>
        <v>42118</v>
      </c>
      <c r="Y214" s="263">
        <f>IF(Main!BU215&gt;0,Main!BU215,"")</f>
        <v>42118</v>
      </c>
      <c r="Z214" s="263">
        <f>IF(Main!AS215&gt;0,Main!AS215,"")</f>
        <v>42123</v>
      </c>
      <c r="AA214" s="263">
        <f>IF(Main!BJ215&gt;0,Main!BJ215,"")</f>
        <v>42123</v>
      </c>
      <c r="AB214" s="263">
        <f>IF(Main!BC215&gt;0,Main!BC215,"")</f>
        <v>42125</v>
      </c>
      <c r="AC214" s="263">
        <f>IF(Main!AW215&gt;0,Main!AW215,"")</f>
        <v>42123</v>
      </c>
      <c r="AD214" s="263">
        <f>IF(Main!BG215&gt;0,Main!BG215,"")</f>
        <v>42125</v>
      </c>
      <c r="AE214" s="263">
        <f>IF(Main!BE215&gt;0,Main!BE215,"")</f>
        <v>42132</v>
      </c>
      <c r="AF214" s="263">
        <f>IF(Main!BM215&gt;0,Main!BM215,"")</f>
        <v>42123</v>
      </c>
      <c r="AG214" s="263" t="str">
        <f>IF(Main!BN215&gt;0,Main!BN215,"")</f>
        <v/>
      </c>
      <c r="AH214" s="263" t="str">
        <f>IF(Main!BO215&gt;0,Main!BO215,"")</f>
        <v/>
      </c>
      <c r="AI214" s="263" t="str">
        <f>IF(Main!BR215&gt;0,Main!BR215,"")</f>
        <v/>
      </c>
      <c r="AJ214" s="263">
        <f>IF(Main!BQ215&gt;0,Main!BQ215,"")</f>
        <v>42123</v>
      </c>
      <c r="AK214" s="263">
        <f>IF(Main!AV215&gt;0,Main!AV215,"")</f>
        <v>42108</v>
      </c>
      <c r="AL214" s="263">
        <f>IF(Main!AU215&gt;0,Main!AU215,"")</f>
        <v>42123</v>
      </c>
      <c r="AM214" s="263">
        <f>IF(Main!AT215&gt;0,Main!AT215,"")</f>
        <v>42123</v>
      </c>
      <c r="AN214" s="259" t="str">
        <f>Main!BW215</f>
        <v xml:space="preserve">1905 (for processing) 4/29/2015, 2305 (for processing) 4/29/2015, MDR 5/1/2015, </v>
      </c>
    </row>
    <row r="215" spans="1:40" x14ac:dyDescent="0.25">
      <c r="A215" s="258">
        <f>Main!C216</f>
        <v>1082432</v>
      </c>
      <c r="B215" s="259" t="str">
        <f>Main!D216</f>
        <v>De Los Reyes, Cyrus Ezra Palomaria</v>
      </c>
      <c r="C215" s="259" t="str">
        <f>Main!AH216</f>
        <v>Probationary</v>
      </c>
      <c r="D215" s="260">
        <f>Main!B216</f>
        <v>42114</v>
      </c>
      <c r="E215" s="260" t="str">
        <f>IF(Main!AI216&lt;1,"",Main!AI216)</f>
        <v>Facebook</v>
      </c>
      <c r="F215" s="260" t="str">
        <f>IF(Main!AJ216&lt;1,"",Main!AJ216)</f>
        <v/>
      </c>
      <c r="G215" s="260" t="str">
        <f>IF(Main!AK216&lt;1,"",Main!AK216)</f>
        <v/>
      </c>
      <c r="H215" s="259" t="str">
        <f>Main!Y216</f>
        <v>Senior Recruiter</v>
      </c>
      <c r="I215" s="259" t="str">
        <f>Main!Z216</f>
        <v>Level 2</v>
      </c>
      <c r="J215" s="259">
        <f>IF(Main!A216&lt;1,"",Main!A216)</f>
        <v>193</v>
      </c>
      <c r="K215" s="260">
        <f>IF(Main!AN216&gt;0,Main!AN216,"")</f>
        <v>34015</v>
      </c>
      <c r="L215" s="258" t="str">
        <f>IF(Main!Q216&gt;0,Main!Q216,"")</f>
        <v>cyrus.delosreyes15@gmail.com</v>
      </c>
      <c r="M215" s="410">
        <f>VALUE(IF(Main!S216&gt;0,Main!S216,""))</f>
        <v>9773241107</v>
      </c>
      <c r="N215" s="261" t="str">
        <f>Main!T216</f>
        <v/>
      </c>
      <c r="O215" s="258" t="str">
        <f>IF(Main!AO216&gt;0,Main!AO216,"")</f>
        <v>15 B Saint Mary St. Jpa Subd Tunasan Muntinlupa City</v>
      </c>
      <c r="P215" s="258" t="str">
        <f>IF(Main!AP216&gt;0,Main!AP216,"")</f>
        <v>094 Purok 1 Brgy. Bangyas Calauan Laguna</v>
      </c>
      <c r="Q215" s="258" t="str">
        <f>IF(Main!AR216&gt;0,Main!AR216,"")</f>
        <v>Single</v>
      </c>
      <c r="R215" s="259" t="str">
        <f>IF(Main!AQ216&gt;0,Main!AQ216,"")</f>
        <v>Male</v>
      </c>
      <c r="S215" s="259" t="str">
        <f>IF(Main!BD216&gt;0,Main!BD216,"")</f>
        <v>04-2418579-2</v>
      </c>
      <c r="T215" s="259" t="str">
        <f>IF(Main!AX216&gt;0,Main!AX216,"")</f>
        <v>309-651-813</v>
      </c>
      <c r="U215" s="259" t="str">
        <f>IF(Main!BH216&gt;0,Main!BH216,"")</f>
        <v>01-051689563-8</v>
      </c>
      <c r="V215" s="268" t="str">
        <f>IF(Main!BF216&gt;0,Main!BF216,"")</f>
        <v>1210-4120-6142</v>
      </c>
      <c r="W215" s="263">
        <f>IF(Main!BS216&gt;0,Main!BS216,"")</f>
        <v>42118</v>
      </c>
      <c r="X215" s="263">
        <f>IF(Main!BT216&gt;0,Main!BT216,"")</f>
        <v>42118</v>
      </c>
      <c r="Y215" s="263">
        <f>IF(Main!BU216&gt;0,Main!BU216,"")</f>
        <v>42118</v>
      </c>
      <c r="Z215" s="263">
        <f>IF(Main!AS216&gt;0,Main!AS216,"")</f>
        <v>42118</v>
      </c>
      <c r="AA215" s="263">
        <f>IF(Main!BJ216&gt;0,Main!BJ216,"")</f>
        <v>42118</v>
      </c>
      <c r="AB215" s="263">
        <f>IF(Main!BC216&gt;0,Main!BC216,"")</f>
        <v>42118</v>
      </c>
      <c r="AC215" s="263">
        <f>IF(Main!AW216&gt;0,Main!AW216,"")</f>
        <v>42118</v>
      </c>
      <c r="AD215" s="263">
        <f>IF(Main!BG216&gt;0,Main!BG216,"")</f>
        <v>42118</v>
      </c>
      <c r="AE215" s="263">
        <f>IF(Main!BE216&gt;0,Main!BE216,"")</f>
        <v>42118</v>
      </c>
      <c r="AF215" s="263">
        <f>IF(Main!BM216&gt;0,Main!BM216,"")</f>
        <v>42118</v>
      </c>
      <c r="AG215" s="263" t="str">
        <f>IF(Main!BN216&gt;0,Main!BN216,"")</f>
        <v/>
      </c>
      <c r="AH215" s="263" t="str">
        <f>IF(Main!BO216&gt;0,Main!BO216,"")</f>
        <v/>
      </c>
      <c r="AI215" s="263" t="str">
        <f>IF(Main!BR216&gt;0,Main!BR216,"")</f>
        <v/>
      </c>
      <c r="AJ215" s="263" t="str">
        <f>IF(Main!BQ216&gt;0,Main!BQ216,"")</f>
        <v/>
      </c>
      <c r="AK215" s="263">
        <f>IF(Main!AV216&gt;0,Main!AV216,"")</f>
        <v>42125</v>
      </c>
      <c r="AL215" s="263">
        <f>IF(Main!AU216&gt;0,Main!AU216,"")</f>
        <v>42118</v>
      </c>
      <c r="AM215" s="263">
        <f>IF(Main!AT216&gt;0,Main!AT216,"")</f>
        <v>42118</v>
      </c>
      <c r="AN215" s="259" t="str">
        <f>Main!BW216</f>
        <v xml:space="preserve">1905 (for processing) 5/1/2015, 2305 (for processing) 5/1/2015, </v>
      </c>
    </row>
    <row r="216" spans="1:40" x14ac:dyDescent="0.25">
      <c r="A216" s="258">
        <f>Main!C217</f>
        <v>1082433</v>
      </c>
      <c r="B216" s="259" t="str">
        <f>Main!D217</f>
        <v>Ganadillo, Aillen Linga</v>
      </c>
      <c r="C216" s="259" t="str">
        <f>Main!AH217</f>
        <v>Probationary</v>
      </c>
      <c r="D216" s="260">
        <f>Main!B217</f>
        <v>42114</v>
      </c>
      <c r="E216" s="260" t="str">
        <f>IF(Main!AI217&lt;1,"",Main!AI217)</f>
        <v>Jobstreet</v>
      </c>
      <c r="F216" s="260" t="str">
        <f>IF(Main!AJ217&lt;1,"",Main!AJ217)</f>
        <v/>
      </c>
      <c r="G216" s="260" t="str">
        <f>IF(Main!AK217&lt;1,"",Main!AK217)</f>
        <v/>
      </c>
      <c r="H216" s="259" t="str">
        <f>Main!Y217</f>
        <v>Senior Recruiter</v>
      </c>
      <c r="I216" s="259" t="str">
        <f>Main!Z217</f>
        <v>Level 2</v>
      </c>
      <c r="J216" s="259">
        <f>IF(Main!A217&lt;1,"",Main!A217)</f>
        <v>193</v>
      </c>
      <c r="K216" s="260">
        <f>IF(Main!AN217&gt;0,Main!AN217,"")</f>
        <v>31192</v>
      </c>
      <c r="L216" s="258" t="str">
        <f>IF(Main!Q217&gt;0,Main!Q217,"")</f>
        <v>aillen_ganadillo@yahoo.com</v>
      </c>
      <c r="M216" s="410">
        <f>VALUE(IF(Main!S217&gt;0,Main!S217,""))</f>
        <v>9154887107</v>
      </c>
      <c r="N216" s="261" t="str">
        <f>Main!T217</f>
        <v/>
      </c>
      <c r="O216" s="258" t="str">
        <f>IF(Main!AO217&gt;0,Main!AO217,"")</f>
        <v>1408B  El Pueblo Sta. Mesa Manila</v>
      </c>
      <c r="P216" s="258" t="str">
        <f>IF(Main!AP217&gt;0,Main!AP217,"")</f>
        <v>1408B  El Pueblo Sta. Mesa Manila</v>
      </c>
      <c r="Q216" s="258" t="str">
        <f>IF(Main!AR217&gt;0,Main!AR217,"")</f>
        <v>Single</v>
      </c>
      <c r="R216" s="259" t="str">
        <f>IF(Main!AQ217&gt;0,Main!AQ217,"")</f>
        <v>Female</v>
      </c>
      <c r="S216" s="259" t="str">
        <f>IF(Main!BD217&gt;0,Main!BD217,"")</f>
        <v>34-0028053-7</v>
      </c>
      <c r="T216" s="259" t="str">
        <f>IF(Main!AX217&gt;0,Main!AX217,"")</f>
        <v>304-849-623</v>
      </c>
      <c r="U216" s="259" t="str">
        <f>IF(Main!BH217&gt;0,Main!BH217,"")</f>
        <v>01-050462782-4</v>
      </c>
      <c r="V216" s="268" t="str">
        <f>IF(Main!BF217&gt;0,Main!BF217,"")</f>
        <v>1211-3706-6260</v>
      </c>
      <c r="W216" s="263">
        <f>IF(Main!BS217&gt;0,Main!BS217,"")</f>
        <v>42118</v>
      </c>
      <c r="X216" s="263">
        <f>IF(Main!BT217&gt;0,Main!BT217,"")</f>
        <v>42118</v>
      </c>
      <c r="Y216" s="263">
        <f>IF(Main!BU217&gt;0,Main!BU217,"")</f>
        <v>42118</v>
      </c>
      <c r="Z216" s="263">
        <f>IF(Main!AS217&gt;0,Main!AS217,"")</f>
        <v>42118</v>
      </c>
      <c r="AA216" s="263">
        <f>IF(Main!BJ217&gt;0,Main!BJ217,"")</f>
        <v>42118</v>
      </c>
      <c r="AB216" s="263">
        <f>IF(Main!BC217&gt;0,Main!BC217,"")</f>
        <v>42118</v>
      </c>
      <c r="AC216" s="263">
        <f>IF(Main!AW217&gt;0,Main!AW217,"")</f>
        <v>42118</v>
      </c>
      <c r="AD216" s="263">
        <f>IF(Main!BG217&gt;0,Main!BG217,"")</f>
        <v>42118</v>
      </c>
      <c r="AE216" s="263">
        <f>IF(Main!BE217&gt;0,Main!BE217,"")</f>
        <v>42118</v>
      </c>
      <c r="AF216" s="263">
        <f>IF(Main!BM217&gt;0,Main!BM217,"")</f>
        <v>42118</v>
      </c>
      <c r="AG216" s="263" t="str">
        <f>IF(Main!BN217&gt;0,Main!BN217,"")</f>
        <v/>
      </c>
      <c r="AH216" s="263" t="str">
        <f>IF(Main!BO217&gt;0,Main!BO217,"")</f>
        <v/>
      </c>
      <c r="AI216" s="263" t="str">
        <f>IF(Main!BR217&gt;0,Main!BR217,"")</f>
        <v/>
      </c>
      <c r="AJ216" s="263" t="str">
        <f>IF(Main!BQ217&gt;0,Main!BQ217,"")</f>
        <v/>
      </c>
      <c r="AK216" s="263">
        <f>IF(Main!AV217&gt;0,Main!AV217,"")</f>
        <v>42118</v>
      </c>
      <c r="AL216" s="263">
        <f>IF(Main!AU217&gt;0,Main!AU217,"")</f>
        <v>42118</v>
      </c>
      <c r="AM216" s="263">
        <f>IF(Main!AT217&gt;0,Main!AT217,"")</f>
        <v>42118</v>
      </c>
      <c r="AN216" s="259" t="str">
        <f>Main!BW217</f>
        <v xml:space="preserve">1905 (for processing) 4/24/2015, MDR 4/30/2015, </v>
      </c>
    </row>
    <row r="217" spans="1:40" x14ac:dyDescent="0.25">
      <c r="A217" s="258">
        <f>Main!C218</f>
        <v>1082434</v>
      </c>
      <c r="B217" s="259" t="str">
        <f>Main!D218</f>
        <v>Ira, Rod John Olazo</v>
      </c>
      <c r="C217" s="259" t="str">
        <f>Main!AH218</f>
        <v>Probationary</v>
      </c>
      <c r="D217" s="260">
        <f>Main!B218</f>
        <v>42114</v>
      </c>
      <c r="E217" s="260" t="str">
        <f>IF(Main!AI218&lt;1,"",Main!AI218)</f>
        <v>ARP</v>
      </c>
      <c r="F217" s="260" t="str">
        <f>IF(Main!AJ218&lt;1,"",Main!AJ218)</f>
        <v/>
      </c>
      <c r="G217" s="260" t="str">
        <f>IF(Main!AK218&lt;1,"",Main!AK218)</f>
        <v/>
      </c>
      <c r="H217" s="259" t="str">
        <f>Main!Y218</f>
        <v>Senior Recruiter</v>
      </c>
      <c r="I217" s="259" t="str">
        <f>Main!Z218</f>
        <v>Level 1</v>
      </c>
      <c r="J217" s="259">
        <f>IF(Main!A218&lt;1,"",Main!A218)</f>
        <v>193</v>
      </c>
      <c r="K217" s="260">
        <f>IF(Main!AN218&gt;0,Main!AN218,"")</f>
        <v>34142</v>
      </c>
      <c r="L217" s="258" t="str">
        <f>IF(Main!Q218&gt;0,Main!Q218,"")</f>
        <v>rodjohn.ira@gmail.com</v>
      </c>
      <c r="M217" s="410">
        <f>VALUE(IF(Main!S218&gt;0,Main!S218,""))</f>
        <v>9351252538</v>
      </c>
      <c r="N217" s="261" t="str">
        <f>Main!T218</f>
        <v/>
      </c>
      <c r="O217" s="258" t="str">
        <f>IF(Main!AO218&gt;0,Main!AO218,"")</f>
        <v/>
      </c>
      <c r="P217" s="258" t="str">
        <f>IF(Main!AP218&gt;0,Main!AP218,"")</f>
        <v/>
      </c>
      <c r="Q217" s="258" t="str">
        <f>IF(Main!AR218&gt;0,Main!AR218,"")</f>
        <v/>
      </c>
      <c r="R217" s="259" t="str">
        <f>IF(Main!AQ218&gt;0,Main!AQ218,"")</f>
        <v/>
      </c>
      <c r="S217" s="259" t="str">
        <f>IF(Main!BD218&gt;0,Main!BD218,"")</f>
        <v>34-4036260-6</v>
      </c>
      <c r="T217" s="259" t="str">
        <f>IF(Main!AX218&gt;0,Main!AX218,"")</f>
        <v>314-842-714</v>
      </c>
      <c r="U217" s="259" t="str">
        <f>IF(Main!BH218&gt;0,Main!BH218,"")</f>
        <v>01-051740752-1</v>
      </c>
      <c r="V217" s="268" t="str">
        <f>IF(Main!BF218&gt;0,Main!BF218,"")</f>
        <v>1210-9744-2908</v>
      </c>
      <c r="W217" s="263">
        <f>IF(Main!BS218&gt;0,Main!BS218,"")</f>
        <v>42118</v>
      </c>
      <c r="X217" s="263">
        <f>IF(Main!BT218&gt;0,Main!BT218,"")</f>
        <v>42118</v>
      </c>
      <c r="Y217" s="263">
        <f>IF(Main!BU218&gt;0,Main!BU218,"")</f>
        <v>42118</v>
      </c>
      <c r="Z217" s="263" t="str">
        <f>IF(Main!AS218&gt;0,Main!AS218,"")</f>
        <v/>
      </c>
      <c r="AA217" s="263">
        <f>IF(Main!BJ218&gt;0,Main!BJ218,"")</f>
        <v>42117</v>
      </c>
      <c r="AB217" s="263">
        <f>IF(Main!BC218&gt;0,Main!BC218,"")</f>
        <v>42119</v>
      </c>
      <c r="AC217" s="263">
        <f>IF(Main!AW218&gt;0,Main!AW218,"")</f>
        <v>42119</v>
      </c>
      <c r="AD217" s="263">
        <f>IF(Main!BG218&gt;0,Main!BG218,"")</f>
        <v>42119</v>
      </c>
      <c r="AE217" s="263">
        <f>IF(Main!BE218&gt;0,Main!BE218,"")</f>
        <v>42123</v>
      </c>
      <c r="AF217" s="263">
        <f>IF(Main!BM218&gt;0,Main!BM218,"")</f>
        <v>42117</v>
      </c>
      <c r="AG217" s="263" t="str">
        <f>IF(Main!BN218&gt;0,Main!BN218,"")</f>
        <v/>
      </c>
      <c r="AH217" s="263" t="str">
        <f>IF(Main!BO218&gt;0,Main!BO218,"")</f>
        <v/>
      </c>
      <c r="AI217" s="263">
        <f>IF(Main!BR218&gt;0,Main!BR218,"")</f>
        <v>42117</v>
      </c>
      <c r="AJ217" s="263" t="str">
        <f>IF(Main!BQ218&gt;0,Main!BQ218,"")</f>
        <v/>
      </c>
      <c r="AK217" s="263" t="str">
        <f>IF(Main!AV218&gt;0,Main!AV218,"")</f>
        <v/>
      </c>
      <c r="AL217" s="263">
        <f>IF(Main!AU218&gt;0,Main!AU218,"")</f>
        <v>42117</v>
      </c>
      <c r="AM217" s="263">
        <f>IF(Main!AT218&gt;0,Main!AT218,"")</f>
        <v>42117</v>
      </c>
      <c r="AN217" s="259" t="str">
        <f>Main!BW218</f>
        <v xml:space="preserve">1905 (for processing) 4/25/2015, 2305 (for processing) 4/25/2015, </v>
      </c>
    </row>
    <row r="218" spans="1:40" x14ac:dyDescent="0.25">
      <c r="A218" s="258">
        <f>Main!C219</f>
        <v>1082435</v>
      </c>
      <c r="B218" s="259" t="str">
        <f>Main!D219</f>
        <v>Isidro, Anne Lorraine De Guzman</v>
      </c>
      <c r="C218" s="259" t="str">
        <f>Main!AH219</f>
        <v>Probationary</v>
      </c>
      <c r="D218" s="260">
        <f>Main!B219</f>
        <v>42114</v>
      </c>
      <c r="E218" s="260" t="str">
        <f>IF(Main!AI219&lt;1,"",Main!AI219)</f>
        <v>Jobstreet</v>
      </c>
      <c r="F218" s="260" t="str">
        <f>IF(Main!AJ219&lt;1,"",Main!AJ219)</f>
        <v/>
      </c>
      <c r="G218" s="260" t="str">
        <f>IF(Main!AK219&lt;1,"",Main!AK219)</f>
        <v/>
      </c>
      <c r="H218" s="259" t="str">
        <f>Main!Y219</f>
        <v>Senior Recruiter</v>
      </c>
      <c r="I218" s="259" t="str">
        <f>Main!Z219</f>
        <v>Level 2</v>
      </c>
      <c r="J218" s="259">
        <f>IF(Main!A219&lt;1,"",Main!A219)</f>
        <v>193</v>
      </c>
      <c r="K218" s="260">
        <f>IF(Main!AN219&gt;0,Main!AN219,"")</f>
        <v>34185</v>
      </c>
      <c r="L218" s="258" t="str">
        <f>IF(Main!Q219&gt;0,Main!Q219,"")</f>
        <v>isidroanne07@yahoo.com</v>
      </c>
      <c r="M218" s="410">
        <f>VALUE(IF(Main!S219&gt;0,Main!S219,""))</f>
        <v>9174321818</v>
      </c>
      <c r="N218" s="261" t="str">
        <f>Main!T219</f>
        <v/>
      </c>
      <c r="O218" s="258" t="str">
        <f>IF(Main!AO219&gt;0,Main!AO219,"")</f>
        <v>17 Santiago St. Santolan Pasig City</v>
      </c>
      <c r="P218" s="258" t="str">
        <f>IF(Main!AP219&gt;0,Main!AP219,"")</f>
        <v>17 Santiago St. Santolan Pasig City</v>
      </c>
      <c r="Q218" s="258" t="str">
        <f>IF(Main!AR219&gt;0,Main!AR219,"")</f>
        <v>Single</v>
      </c>
      <c r="R218" s="259" t="str">
        <f>IF(Main!AQ219&gt;0,Main!AQ219,"")</f>
        <v>Female</v>
      </c>
      <c r="S218" s="259" t="str">
        <f>IF(Main!BD219&gt;0,Main!BD219,"")</f>
        <v>34-2930922-4</v>
      </c>
      <c r="T218" s="259" t="str">
        <f>IF(Main!AX219&gt;0,Main!AX219,"")</f>
        <v>310-118-191</v>
      </c>
      <c r="U218" s="259" t="str">
        <f>IF(Main!BH219&gt;0,Main!BH219,"")</f>
        <v>01-051450076-8</v>
      </c>
      <c r="V218" s="268" t="str">
        <f>IF(Main!BF219&gt;0,Main!BF219,"")</f>
        <v>1210-3399-1046</v>
      </c>
      <c r="W218" s="263">
        <f>IF(Main!BS219&gt;0,Main!BS219,"")</f>
        <v>42118</v>
      </c>
      <c r="X218" s="263">
        <f>IF(Main!BT219&gt;0,Main!BT219,"")</f>
        <v>42118</v>
      </c>
      <c r="Y218" s="263">
        <f>IF(Main!BU219&gt;0,Main!BU219,"")</f>
        <v>42118</v>
      </c>
      <c r="Z218" s="263">
        <f>IF(Main!AS219&gt;0,Main!AS219,"")</f>
        <v>42125</v>
      </c>
      <c r="AA218" s="263" t="str">
        <f>IF(Main!BJ219&gt;0,Main!BJ219,"")</f>
        <v/>
      </c>
      <c r="AB218" s="263">
        <f>IF(Main!BC219&gt;0,Main!BC219,"")</f>
        <v>42125</v>
      </c>
      <c r="AC218" s="263">
        <f>IF(Main!AW219&gt;0,Main!AW219,"")</f>
        <v>42136</v>
      </c>
      <c r="AD218" s="263">
        <f>IF(Main!BG219&gt;0,Main!BG219,"")</f>
        <v>42125</v>
      </c>
      <c r="AE218" s="263">
        <f>IF(Main!BE219&gt;0,Main!BE219,"")</f>
        <v>42130</v>
      </c>
      <c r="AF218" s="263">
        <f>IF(Main!BM219&gt;0,Main!BM219,"")</f>
        <v>42125</v>
      </c>
      <c r="AG218" s="263" t="str">
        <f>IF(Main!BN219&gt;0,Main!BN219,"")</f>
        <v/>
      </c>
      <c r="AH218" s="263" t="str">
        <f>IF(Main!BO219&gt;0,Main!BO219,"")</f>
        <v/>
      </c>
      <c r="AI218" s="263" t="str">
        <f>IF(Main!BR219&gt;0,Main!BR219,"")</f>
        <v/>
      </c>
      <c r="AJ218" s="263" t="str">
        <f>IF(Main!BQ219&gt;0,Main!BQ219,"")</f>
        <v/>
      </c>
      <c r="AK218" s="263" t="str">
        <f>IF(Main!AV219&gt;0,Main!AV219,"")</f>
        <v/>
      </c>
      <c r="AL218" s="263">
        <f>IF(Main!AU219&gt;0,Main!AU219,"")</f>
        <v>42125</v>
      </c>
      <c r="AM218" s="263">
        <f>IF(Main!AT219&gt;0,Main!AT219,"")</f>
        <v>42125</v>
      </c>
      <c r="AN218" s="259" t="str">
        <f>Main!BW219</f>
        <v xml:space="preserve">1905 (for processing) 5/12/2015, 2305 (for processing) 5/6/2015, NBI receipt 5/6/2015, </v>
      </c>
    </row>
    <row r="219" spans="1:40" x14ac:dyDescent="0.25">
      <c r="A219" s="258">
        <f>Main!C220</f>
        <v>1082436</v>
      </c>
      <c r="B219" s="259" t="str">
        <f>Main!D220</f>
        <v>Natividad, Lester Adrian Arevalo</v>
      </c>
      <c r="C219" s="259" t="str">
        <f>Main!AH220</f>
        <v>Probationary</v>
      </c>
      <c r="D219" s="260">
        <f>Main!B220</f>
        <v>42114</v>
      </c>
      <c r="E219" s="260" t="str">
        <f>IF(Main!AI220&lt;1,"",Main!AI220)</f>
        <v>Jobstreet</v>
      </c>
      <c r="F219" s="260" t="str">
        <f>IF(Main!AJ220&lt;1,"",Main!AJ220)</f>
        <v/>
      </c>
      <c r="G219" s="260" t="str">
        <f>IF(Main!AK220&lt;1,"",Main!AK220)</f>
        <v/>
      </c>
      <c r="H219" s="259" t="str">
        <f>Main!Y220</f>
        <v>Senior Recruiter</v>
      </c>
      <c r="I219" s="259" t="str">
        <f>Main!Z220</f>
        <v>Level 2</v>
      </c>
      <c r="J219" s="259">
        <f>IF(Main!A220&lt;1,"",Main!A220)</f>
        <v>193</v>
      </c>
      <c r="K219" s="260">
        <f>IF(Main!AN220&gt;0,Main!AN220,"")</f>
        <v>32849</v>
      </c>
      <c r="L219" s="258" t="str">
        <f>IF(Main!Q220&gt;0,Main!Q220,"")</f>
        <v>lester_natividad@yahoo.com</v>
      </c>
      <c r="M219" s="410">
        <f>VALUE(IF(Main!S220&gt;0,Main!S220,""))</f>
        <v>9164683475</v>
      </c>
      <c r="N219" s="261" t="str">
        <f>Main!T220</f>
        <v/>
      </c>
      <c r="O219" s="258" t="str">
        <f>IF(Main!AO220&gt;0,Main!AO220,"")</f>
        <v>Unit 419 Residencias de Manila Bldg 2 Jesus St. Pandacan Manila</v>
      </c>
      <c r="P219" s="258" t="str">
        <f>IF(Main!AP220&gt;0,Main!AP220,"")</f>
        <v>Unit 419 Residencias de Manila Bldg 2 Jesus St. Pandacan Manila</v>
      </c>
      <c r="Q219" s="258" t="str">
        <f>IF(Main!AR220&gt;0,Main!AR220,"")</f>
        <v>Single</v>
      </c>
      <c r="R219" s="259" t="str">
        <f>IF(Main!AQ220&gt;0,Main!AQ220,"")</f>
        <v>Male</v>
      </c>
      <c r="S219" s="259" t="str">
        <f>IF(Main!BD220&gt;0,Main!BD220,"")</f>
        <v>33-1776623-5</v>
      </c>
      <c r="T219" s="259" t="str">
        <f>IF(Main!AX220&gt;0,Main!AX220,"")</f>
        <v>296-729-243</v>
      </c>
      <c r="U219" s="259" t="str">
        <f>IF(Main!BH220&gt;0,Main!BH220,"")</f>
        <v>01-051102885-5</v>
      </c>
      <c r="V219" s="268" t="str">
        <f>IF(Main!BF220&gt;0,Main!BF220,"")</f>
        <v>1210-3294-0671</v>
      </c>
      <c r="W219" s="263">
        <f>IF(Main!BS220&gt;0,Main!BS220,"")</f>
        <v>42118</v>
      </c>
      <c r="X219" s="263">
        <f>IF(Main!BT220&gt;0,Main!BT220,"")</f>
        <v>42118</v>
      </c>
      <c r="Y219" s="263">
        <f>IF(Main!BU220&gt;0,Main!BU220,"")</f>
        <v>42118</v>
      </c>
      <c r="Z219" s="263">
        <f>IF(Main!AS220&gt;0,Main!AS220,"")</f>
        <v>42131</v>
      </c>
      <c r="AA219" s="263" t="str">
        <f>IF(Main!BJ220&gt;0,Main!BJ220,"")</f>
        <v/>
      </c>
      <c r="AB219" s="263">
        <f>IF(Main!BC220&gt;0,Main!BC220,"")</f>
        <v>42131</v>
      </c>
      <c r="AC219" s="263">
        <f>IF(Main!AW220&gt;0,Main!AW220,"")</f>
        <v>42118</v>
      </c>
      <c r="AD219" s="263">
        <f>IF(Main!BG220&gt;0,Main!BG220,"")</f>
        <v>42118</v>
      </c>
      <c r="AE219" s="263">
        <f>IF(Main!BE220&gt;0,Main!BE220,"")</f>
        <v>42131</v>
      </c>
      <c r="AF219" s="263">
        <f>IF(Main!BM220&gt;0,Main!BM220,"")</f>
        <v>42118</v>
      </c>
      <c r="AG219" s="263" t="str">
        <f>IF(Main!BN220&gt;0,Main!BN220,"")</f>
        <v/>
      </c>
      <c r="AH219" s="263" t="str">
        <f>IF(Main!BO220&gt;0,Main!BO220,"")</f>
        <v/>
      </c>
      <c r="AI219" s="263" t="str">
        <f>IF(Main!BR220&gt;0,Main!BR220,"")</f>
        <v/>
      </c>
      <c r="AJ219" s="263" t="str">
        <f>IF(Main!BQ220&gt;0,Main!BQ220,"")</f>
        <v/>
      </c>
      <c r="AK219" s="263" t="str">
        <f>IF(Main!AV220&gt;0,Main!AV220,"")</f>
        <v/>
      </c>
      <c r="AL219" s="263">
        <f>IF(Main!AU220&gt;0,Main!AU220,"")</f>
        <v>42131</v>
      </c>
      <c r="AM219" s="263">
        <f>IF(Main!AT220&gt;0,Main!AT220,"")</f>
        <v>42131</v>
      </c>
      <c r="AN219" s="259" t="str">
        <f>Main!BW220</f>
        <v xml:space="preserve">2305 5/7/2015, </v>
      </c>
    </row>
    <row r="220" spans="1:40" ht="30" x14ac:dyDescent="0.25">
      <c r="A220" s="258">
        <f>Main!C221</f>
        <v>1082437</v>
      </c>
      <c r="B220" s="259" t="str">
        <f>Main!D221</f>
        <v>Paz, Maria Micah Dela Cruz</v>
      </c>
      <c r="C220" s="259" t="str">
        <f>Main!AH221</f>
        <v>Probationary</v>
      </c>
      <c r="D220" s="260">
        <f>Main!B221</f>
        <v>42114</v>
      </c>
      <c r="E220" s="260" t="str">
        <f>IF(Main!AI221&lt;1,"",Main!AI221)</f>
        <v>Jobstreet</v>
      </c>
      <c r="F220" s="260" t="str">
        <f>IF(Main!AJ221&lt;1,"",Main!AJ221)</f>
        <v/>
      </c>
      <c r="G220" s="260" t="str">
        <f>IF(Main!AK221&lt;1,"",Main!AK221)</f>
        <v/>
      </c>
      <c r="H220" s="259" t="str">
        <f>Main!Y221</f>
        <v>Senior Recruiter</v>
      </c>
      <c r="I220" s="259" t="str">
        <f>Main!Z221</f>
        <v>Level 2</v>
      </c>
      <c r="J220" s="259">
        <f>IF(Main!A221&lt;1,"",Main!A221)</f>
        <v>193</v>
      </c>
      <c r="K220" s="260">
        <f>IF(Main!AN221&gt;0,Main!AN221,"")</f>
        <v>33866</v>
      </c>
      <c r="L220" s="258" t="str">
        <f>IF(Main!Q221&gt;0,Main!Q221,"")</f>
        <v>micsily@yahoo.com</v>
      </c>
      <c r="M220" s="410">
        <f>VALUE(IF(Main!S221&gt;0,Main!S221,""))</f>
        <v>9363230900</v>
      </c>
      <c r="N220" s="261" t="str">
        <f>Main!T221</f>
        <v/>
      </c>
      <c r="O220" s="258" t="str">
        <f>IF(Main!AO221&gt;0,Main!AO221,"")</f>
        <v>7509 Santillan St. Unit 4E, Pio Del Pilar Makati City</v>
      </c>
      <c r="P220" s="258" t="str">
        <f>IF(Main!AP221&gt;0,Main!AP221,"")</f>
        <v>26 Davao St. Bago Bantay Quezon City</v>
      </c>
      <c r="Q220" s="258" t="str">
        <f>IF(Main!AR221&gt;0,Main!AR221,"")</f>
        <v>Married</v>
      </c>
      <c r="R220" s="259" t="str">
        <f>IF(Main!AQ221&gt;0,Main!AQ221,"")</f>
        <v>Female</v>
      </c>
      <c r="S220" s="259" t="str">
        <f>IF(Main!BD221&gt;0,Main!BD221,"")</f>
        <v>34-3644941-0</v>
      </c>
      <c r="T220" s="259" t="str">
        <f>IF(Main!AX221&gt;0,Main!AX221,"")</f>
        <v>314-057-052</v>
      </c>
      <c r="U220" s="259" t="str">
        <f>IF(Main!BH221&gt;0,Main!BH221,"")</f>
        <v>01-051671570-2</v>
      </c>
      <c r="V220" s="268" t="str">
        <f>IF(Main!BF221&gt;0,Main!BF221,"")</f>
        <v>1210-8022-6607</v>
      </c>
      <c r="W220" s="263">
        <f>IF(Main!BS221&gt;0,Main!BS221,"")</f>
        <v>42118</v>
      </c>
      <c r="X220" s="263">
        <f>IF(Main!BT221&gt;0,Main!BT221,"")</f>
        <v>42118</v>
      </c>
      <c r="Y220" s="263">
        <f>IF(Main!BU221&gt;0,Main!BU221,"")</f>
        <v>42118</v>
      </c>
      <c r="Z220" s="263">
        <f>IF(Main!AS221&gt;0,Main!AS221,"")</f>
        <v>42118</v>
      </c>
      <c r="AA220" s="263">
        <f>IF(Main!BJ221&gt;0,Main!BJ221,"")</f>
        <v>42122</v>
      </c>
      <c r="AB220" s="263">
        <f>IF(Main!BC221&gt;0,Main!BC221,"")</f>
        <v>42118</v>
      </c>
      <c r="AC220" s="263">
        <f>IF(Main!AW221&gt;0,Main!AW221,"")</f>
        <v>42118</v>
      </c>
      <c r="AD220" s="263">
        <f>IF(Main!BG221&gt;0,Main!BG221,"")</f>
        <v>42118</v>
      </c>
      <c r="AE220" s="263">
        <f>IF(Main!BE221&gt;0,Main!BE221,"")</f>
        <v>42118</v>
      </c>
      <c r="AF220" s="263">
        <f>IF(Main!BM221&gt;0,Main!BM221,"")</f>
        <v>42118</v>
      </c>
      <c r="AG220" s="263">
        <f>IF(Main!BN221&gt;0,Main!BN221,"")</f>
        <v>42118</v>
      </c>
      <c r="AH220" s="263">
        <f>IF(Main!BO221&gt;0,Main!BO221,"")</f>
        <v>42118</v>
      </c>
      <c r="AI220" s="263">
        <f>IF(Main!BR221&gt;0,Main!BR221,"")</f>
        <v>42118</v>
      </c>
      <c r="AJ220" s="263" t="str">
        <f>IF(Main!BQ221&gt;0,Main!BQ221,"")</f>
        <v/>
      </c>
      <c r="AK220" s="263">
        <f>IF(Main!AV221&gt;0,Main!AV221,"")</f>
        <v>42122</v>
      </c>
      <c r="AL220" s="263">
        <f>IF(Main!AU221&gt;0,Main!AU221,"")</f>
        <v>42118</v>
      </c>
      <c r="AM220" s="263">
        <f>IF(Main!AT221&gt;0,Main!AT221,"")</f>
        <v>42118</v>
      </c>
      <c r="AN220" s="259" t="str">
        <f>Main!BW221</f>
        <v xml:space="preserve">1905 (for processing) 4/28/2015, 2305 (for processing) 4/28/2015, MDR 4/28/2015, NBI receipt 4/24/2015, </v>
      </c>
    </row>
    <row r="221" spans="1:40" x14ac:dyDescent="0.25">
      <c r="A221" s="258">
        <f>Main!C222</f>
        <v>1082438</v>
      </c>
      <c r="B221" s="259" t="str">
        <f>Main!D222</f>
        <v>Perez, Monica Stephanie Bunac</v>
      </c>
      <c r="C221" s="259" t="str">
        <f>Main!AH222</f>
        <v>Probationary</v>
      </c>
      <c r="D221" s="260">
        <f>Main!B222</f>
        <v>42114</v>
      </c>
      <c r="E221" s="260" t="str">
        <f>IF(Main!AI222&lt;1,"",Main!AI222)</f>
        <v>Jobstreet</v>
      </c>
      <c r="F221" s="260" t="str">
        <f>IF(Main!AJ222&lt;1,"",Main!AJ222)</f>
        <v/>
      </c>
      <c r="G221" s="260" t="str">
        <f>IF(Main!AK222&lt;1,"",Main!AK222)</f>
        <v/>
      </c>
      <c r="H221" s="259" t="str">
        <f>Main!Y222</f>
        <v>Senior Recruiter</v>
      </c>
      <c r="I221" s="259" t="str">
        <f>Main!Z222</f>
        <v>Level 1</v>
      </c>
      <c r="J221" s="259">
        <f>IF(Main!A222&lt;1,"",Main!A222)</f>
        <v>193</v>
      </c>
      <c r="K221" s="260">
        <f>IF(Main!AN222&gt;0,Main!AN222,"")</f>
        <v>33225</v>
      </c>
      <c r="L221" s="258" t="str">
        <f>IF(Main!Q222&gt;0,Main!Q222,"")</f>
        <v>monicastephanieperez@ymail.com</v>
      </c>
      <c r="M221" s="410">
        <f>VALUE(IF(Main!S222&gt;0,Main!S222,""))</f>
        <v>9279324134</v>
      </c>
      <c r="N221" s="261" t="str">
        <f>Main!T222</f>
        <v>9082884870</v>
      </c>
      <c r="O221" s="258" t="str">
        <f>IF(Main!AO222&gt;0,Main!AO222,"")</f>
        <v># 80 19th Avenue Cubao, Quezon City</v>
      </c>
      <c r="P221" s="258" t="str">
        <f>IF(Main!AP222&gt;0,Main!AP222,"")</f>
        <v>Blk 6 Lot 7 Belen Executive Homes, Damilag Manolo Fortich Bukidnon</v>
      </c>
      <c r="Q221" s="258" t="str">
        <f>IF(Main!AR222&gt;0,Main!AR222,"")</f>
        <v>Single</v>
      </c>
      <c r="R221" s="259" t="str">
        <f>IF(Main!AQ222&gt;0,Main!AQ222,"")</f>
        <v>Female</v>
      </c>
      <c r="S221" s="259" t="str">
        <f>IF(Main!BD222&gt;0,Main!BD222,"")</f>
        <v>08-1763824-1</v>
      </c>
      <c r="T221" s="259" t="str">
        <f>IF(Main!AX222&gt;0,Main!AX222,"")</f>
        <v>433-985-289</v>
      </c>
      <c r="U221" s="259" t="str">
        <f>IF(Main!BH222&gt;0,Main!BH222,"")</f>
        <v>15-050238065-8</v>
      </c>
      <c r="V221" s="268" t="str">
        <f>IF(Main!BF222&gt;0,Main!BF222,"")</f>
        <v>1210-9597-1960</v>
      </c>
      <c r="W221" s="263">
        <f>IF(Main!BS222&gt;0,Main!BS222,"")</f>
        <v>42118</v>
      </c>
      <c r="X221" s="263">
        <f>IF(Main!BT222&gt;0,Main!BT222,"")</f>
        <v>42118</v>
      </c>
      <c r="Y221" s="263">
        <f>IF(Main!BU222&gt;0,Main!BU222,"")</f>
        <v>42118</v>
      </c>
      <c r="Z221" s="263">
        <f>IF(Main!AS222&gt;0,Main!AS222,"")</f>
        <v>42118</v>
      </c>
      <c r="AA221" s="263">
        <f>IF(Main!BJ222&gt;0,Main!BJ222,"")</f>
        <v>42118</v>
      </c>
      <c r="AB221" s="263">
        <f>IF(Main!BC222&gt;0,Main!BC222,"")</f>
        <v>42118</v>
      </c>
      <c r="AC221" s="263">
        <f>IF(Main!AW222&gt;0,Main!AW222,"")</f>
        <v>42118</v>
      </c>
      <c r="AD221" s="263">
        <f>IF(Main!BG222&gt;0,Main!BG222,"")</f>
        <v>42118</v>
      </c>
      <c r="AE221" s="263">
        <f>IF(Main!BE222&gt;0,Main!BE222,"")</f>
        <v>42118</v>
      </c>
      <c r="AF221" s="263">
        <f>IF(Main!BM222&gt;0,Main!BM222,"")</f>
        <v>42118</v>
      </c>
      <c r="AG221" s="263" t="str">
        <f>IF(Main!BN222&gt;0,Main!BN222,"")</f>
        <v/>
      </c>
      <c r="AH221" s="263" t="str">
        <f>IF(Main!BO222&gt;0,Main!BO222,"")</f>
        <v/>
      </c>
      <c r="AI221" s="263">
        <f>IF(Main!BR222&gt;0,Main!BR222,"")</f>
        <v>42118</v>
      </c>
      <c r="AJ221" s="263">
        <f>IF(Main!BQ222&gt;0,Main!BQ222,"")</f>
        <v>42118</v>
      </c>
      <c r="AK221" s="263">
        <f>IF(Main!AV222&gt;0,Main!AV222,"")</f>
        <v>42118</v>
      </c>
      <c r="AL221" s="263">
        <f>IF(Main!AU222&gt;0,Main!AU222,"")</f>
        <v>42118</v>
      </c>
      <c r="AM221" s="263">
        <f>IF(Main!AT222&gt;0,Main!AT222,"")</f>
        <v>42118</v>
      </c>
      <c r="AN221" s="259" t="str">
        <f>Main!BW222</f>
        <v xml:space="preserve">2305 (for processing) 4/24/2015, MDR 4/28/2015, </v>
      </c>
    </row>
    <row r="222" spans="1:40" x14ac:dyDescent="0.25">
      <c r="A222" s="258">
        <f>Main!C223</f>
        <v>1082439</v>
      </c>
      <c r="B222" s="259" t="str">
        <f>Main!D223</f>
        <v>Rigo, Julio Rosauro Castro</v>
      </c>
      <c r="C222" s="259" t="str">
        <f>Main!AH223</f>
        <v>Probationary</v>
      </c>
      <c r="D222" s="260">
        <f>Main!B223</f>
        <v>42114</v>
      </c>
      <c r="E222" s="260" t="str">
        <f>IF(Main!AI223&lt;1,"",Main!AI223)</f>
        <v>ERP - Christine Dela Cruz</v>
      </c>
      <c r="F222" s="260" t="str">
        <f>IF(Main!AJ223&lt;1,"",Main!AJ223)</f>
        <v>Christine Dela Cruz</v>
      </c>
      <c r="G222" s="260" t="str">
        <f>IF(Main!AK223&lt;1,"",Main!AK223)</f>
        <v/>
      </c>
      <c r="H222" s="259" t="str">
        <f>Main!Y223</f>
        <v>Senior Recruiter</v>
      </c>
      <c r="I222" s="259" t="str">
        <f>Main!Z223</f>
        <v>Level 2</v>
      </c>
      <c r="J222" s="259">
        <f>IF(Main!A223&lt;1,"",Main!A223)</f>
        <v>193</v>
      </c>
      <c r="K222" s="260">
        <f>IF(Main!AN223&gt;0,Main!AN223,"")</f>
        <v>31494</v>
      </c>
      <c r="L222" s="258" t="str">
        <f>IF(Main!Q223&gt;0,Main!Q223,"")</f>
        <v>juliorosaurorigo@gmail.com</v>
      </c>
      <c r="M222" s="410">
        <f>VALUE(IF(Main!S223&gt;0,Main!S223,""))</f>
        <v>9222824422</v>
      </c>
      <c r="N222" s="261" t="str">
        <f>Main!T223</f>
        <v/>
      </c>
      <c r="O222" s="258" t="str">
        <f>IF(Main!AO223&gt;0,Main!AO223,"")</f>
        <v>B3 L6 Gold Ave. Maryhomes Subd. Molino IV Bacoor Cavite</v>
      </c>
      <c r="P222" s="258" t="str">
        <f>IF(Main!AP223&gt;0,Main!AP223,"")</f>
        <v>B3 L6 Gold Ave. Maryhomes Subd. Molino IV Bacoor Cavite</v>
      </c>
      <c r="Q222" s="258" t="str">
        <f>IF(Main!AR223&gt;0,Main!AR223,"")</f>
        <v/>
      </c>
      <c r="R222" s="259" t="str">
        <f>IF(Main!AQ223&gt;0,Main!AQ223,"")</f>
        <v>Male</v>
      </c>
      <c r="S222" s="259" t="str">
        <f>IF(Main!BD223&gt;0,Main!BD223,"")</f>
        <v>01-2052975-9</v>
      </c>
      <c r="T222" s="259" t="str">
        <f>IF(Main!AX223&gt;0,Main!AX223,"")</f>
        <v>400-120-343</v>
      </c>
      <c r="U222" s="259" t="str">
        <f>IF(Main!BH223&gt;0,Main!BH223,"")</f>
        <v>01-0511525949-5</v>
      </c>
      <c r="V222" s="268" t="str">
        <f>IF(Main!BF223&gt;0,Main!BF223,"")</f>
        <v>1210-4309-3721</v>
      </c>
      <c r="W222" s="263">
        <f>IF(Main!BS223&gt;0,Main!BS223,"")</f>
        <v>42118</v>
      </c>
      <c r="X222" s="263">
        <f>IF(Main!BT223&gt;0,Main!BT223,"")</f>
        <v>42118</v>
      </c>
      <c r="Y222" s="263">
        <f>IF(Main!BU223&gt;0,Main!BU223,"")</f>
        <v>42118</v>
      </c>
      <c r="Z222" s="263">
        <f>IF(Main!AS223&gt;0,Main!AS223,"")</f>
        <v>42118</v>
      </c>
      <c r="AA222" s="263">
        <f>IF(Main!BJ223&gt;0,Main!BJ223,"")</f>
        <v>42118</v>
      </c>
      <c r="AB222" s="263">
        <f>IF(Main!BC223&gt;0,Main!BC223,"")</f>
        <v>42116</v>
      </c>
      <c r="AC222" s="263">
        <f>IF(Main!AW223&gt;0,Main!AW223,"")</f>
        <v>42116</v>
      </c>
      <c r="AD222" s="263">
        <f>IF(Main!BG223&gt;0,Main!BG223,"")</f>
        <v>42116</v>
      </c>
      <c r="AE222" s="263">
        <f>IF(Main!BE223&gt;0,Main!BE223,"")</f>
        <v>42118</v>
      </c>
      <c r="AF222" s="263">
        <f>IF(Main!BM223&gt;0,Main!BM223,"")</f>
        <v>42116</v>
      </c>
      <c r="AG222" s="263" t="str">
        <f>IF(Main!BN223&gt;0,Main!BN223,"")</f>
        <v/>
      </c>
      <c r="AH222" s="263">
        <f>IF(Main!BO223&gt;0,Main!BO223,"")</f>
        <v>42118</v>
      </c>
      <c r="AI222" s="263" t="str">
        <f>IF(Main!BR223&gt;0,Main!BR223,"")</f>
        <v/>
      </c>
      <c r="AJ222" s="263" t="str">
        <f>IF(Main!BQ223&gt;0,Main!BQ223,"")</f>
        <v/>
      </c>
      <c r="AK222" s="263">
        <f>IF(Main!AV223&gt;0,Main!AV223,"")</f>
        <v>42118</v>
      </c>
      <c r="AL222" s="263">
        <f>IF(Main!AU223&gt;0,Main!AU223,"")</f>
        <v>42116</v>
      </c>
      <c r="AM222" s="263">
        <f>IF(Main!AT223&gt;0,Main!AT223,"")</f>
        <v>42116</v>
      </c>
      <c r="AN222" s="259" t="str">
        <f>Main!BW223</f>
        <v xml:space="preserve">1905 (for processing) 4/22/2015, 2305 (for processing) 4/23/2015, MDR 4/22/2015, </v>
      </c>
    </row>
    <row r="223" spans="1:40" x14ac:dyDescent="0.25">
      <c r="A223" s="258">
        <f>Main!C224</f>
        <v>1082440</v>
      </c>
      <c r="B223" s="259" t="str">
        <f>Main!D224</f>
        <v>Rivera, John Ericson Julian</v>
      </c>
      <c r="C223" s="259" t="str">
        <f>Main!AH224</f>
        <v>Probationary</v>
      </c>
      <c r="D223" s="260">
        <f>Main!B224</f>
        <v>42114</v>
      </c>
      <c r="E223" s="260" t="str">
        <f>IF(Main!AI224&lt;1,"",Main!AI224)</f>
        <v>Jobstreet</v>
      </c>
      <c r="F223" s="260" t="str">
        <f>IF(Main!AJ224&lt;1,"",Main!AJ224)</f>
        <v/>
      </c>
      <c r="G223" s="260" t="str">
        <f>IF(Main!AK224&lt;1,"",Main!AK224)</f>
        <v/>
      </c>
      <c r="H223" s="259" t="str">
        <f>Main!Y224</f>
        <v>Senior Recruiter</v>
      </c>
      <c r="I223" s="259" t="str">
        <f>Main!Z224</f>
        <v>Level 1</v>
      </c>
      <c r="J223" s="259">
        <f>IF(Main!A224&lt;1,"",Main!A224)</f>
        <v>193</v>
      </c>
      <c r="K223" s="260">
        <f>IF(Main!AN224&gt;0,Main!AN224,"")</f>
        <v>32124</v>
      </c>
      <c r="L223" s="258" t="str">
        <f>IF(Main!Q224&gt;0,Main!Q224,"")</f>
        <v>rainhart_00@yahoo.com</v>
      </c>
      <c r="M223" s="410">
        <f>VALUE(IF(Main!S224&gt;0,Main!S224,""))</f>
        <v>9153279512</v>
      </c>
      <c r="N223" s="261" t="str">
        <f>Main!T224</f>
        <v/>
      </c>
      <c r="O223" s="258" t="str">
        <f>IF(Main!AO224&gt;0,Main!AO224,"")</f>
        <v>#18 Platinum St., Blk 42 Lot 17, Ph. 3, Golden City, Imus, Cavite</v>
      </c>
      <c r="P223" s="258" t="str">
        <f>IF(Main!AP224&gt;0,Main!AP224,"")</f>
        <v>#18 Platinum St., Blk 42 Lot 17, Ph. 3, Golden City, Imus, Cavite</v>
      </c>
      <c r="Q223" s="258" t="str">
        <f>IF(Main!AR224&gt;0,Main!AR224,"")</f>
        <v>Single</v>
      </c>
      <c r="R223" s="259" t="str">
        <f>IF(Main!AQ224&gt;0,Main!AQ224,"")</f>
        <v>Male</v>
      </c>
      <c r="S223" s="259" t="str">
        <f>IF(Main!BD224&gt;0,Main!BD224,"")</f>
        <v>34-2382581-4</v>
      </c>
      <c r="T223" s="259" t="str">
        <f>IF(Main!AX224&gt;0,Main!AX224,"")</f>
        <v>257-675-572</v>
      </c>
      <c r="U223" s="259" t="str">
        <f>IF(Main!BH224&gt;0,Main!BH224,"")</f>
        <v>01-051572529-1</v>
      </c>
      <c r="V223" s="268" t="str">
        <f>IF(Main!BF224&gt;0,Main!BF224,"")</f>
        <v>1211-3361-3502</v>
      </c>
      <c r="W223" s="263">
        <f>IF(Main!BS224&gt;0,Main!BS224,"")</f>
        <v>42118</v>
      </c>
      <c r="X223" s="263">
        <f>IF(Main!BT224&gt;0,Main!BT224,"")</f>
        <v>42118</v>
      </c>
      <c r="Y223" s="263">
        <f>IF(Main!BU224&gt;0,Main!BU224,"")</f>
        <v>42118</v>
      </c>
      <c r="Z223" s="263">
        <f>IF(Main!AS224&gt;0,Main!AS224,"")</f>
        <v>42130</v>
      </c>
      <c r="AA223" s="263">
        <f>IF(Main!BJ224&gt;0,Main!BJ224,"")</f>
        <v>42118</v>
      </c>
      <c r="AB223" s="263">
        <f>IF(Main!BC224&gt;0,Main!BC224,"")</f>
        <v>42130</v>
      </c>
      <c r="AC223" s="263">
        <f>IF(Main!AW224&gt;0,Main!AW224,"")</f>
        <v>42117</v>
      </c>
      <c r="AD223" s="263">
        <f>IF(Main!BG224&gt;0,Main!BG224,"")</f>
        <v>42130</v>
      </c>
      <c r="AE223" s="263">
        <f>IF(Main!BE224&gt;0,Main!BE224,"")</f>
        <v>42130</v>
      </c>
      <c r="AF223" s="263" t="str">
        <f>IF(Main!BM224&gt;0,Main!BM224,"")</f>
        <v/>
      </c>
      <c r="AG223" s="263" t="str">
        <f>IF(Main!BN224&gt;0,Main!BN224,"")</f>
        <v/>
      </c>
      <c r="AH223" s="263" t="str">
        <f>IF(Main!BO224&gt;0,Main!BO224,"")</f>
        <v/>
      </c>
      <c r="AI223" s="263" t="str">
        <f>IF(Main!BR224&gt;0,Main!BR224,"")</f>
        <v/>
      </c>
      <c r="AJ223" s="263" t="str">
        <f>IF(Main!BQ224&gt;0,Main!BQ224,"")</f>
        <v/>
      </c>
      <c r="AK223" s="263">
        <f>IF(Main!AV224&gt;0,Main!AV224,"")</f>
        <v>42117</v>
      </c>
      <c r="AL223" s="263">
        <f>IF(Main!AU224&gt;0,Main!AU224,"")</f>
        <v>42117</v>
      </c>
      <c r="AM223" s="263">
        <f>IF(Main!AT224&gt;0,Main!AT224,"")</f>
        <v>42117</v>
      </c>
      <c r="AN223" s="259" t="str">
        <f>Main!BW224</f>
        <v>1905 (for processing) 5/6/2015, 2316 (2013) - 4/24/2015</v>
      </c>
    </row>
    <row r="224" spans="1:40" x14ac:dyDescent="0.25">
      <c r="A224" s="258">
        <f>Main!C225</f>
        <v>1082441</v>
      </c>
      <c r="B224" s="259" t="str">
        <f>Main!D225</f>
        <v>Sabas, Junefer Lañas</v>
      </c>
      <c r="C224" s="259" t="str">
        <f>Main!AH225</f>
        <v>Probationary</v>
      </c>
      <c r="D224" s="260">
        <f>Main!B225</f>
        <v>42114</v>
      </c>
      <c r="E224" s="260" t="str">
        <f>IF(Main!AI225&lt;1,"",Main!AI225)</f>
        <v>Jobstreet</v>
      </c>
      <c r="F224" s="260" t="str">
        <f>IF(Main!AJ225&lt;1,"",Main!AJ225)</f>
        <v/>
      </c>
      <c r="G224" s="260" t="str">
        <f>IF(Main!AK225&lt;1,"",Main!AK225)</f>
        <v/>
      </c>
      <c r="H224" s="259" t="str">
        <f>Main!Y225</f>
        <v>Senior Recruiter</v>
      </c>
      <c r="I224" s="259" t="str">
        <f>Main!Z225</f>
        <v>Level 1</v>
      </c>
      <c r="J224" s="259">
        <f>IF(Main!A225&lt;1,"",Main!A225)</f>
        <v>193</v>
      </c>
      <c r="K224" s="260">
        <f>IF(Main!AN225&gt;0,Main!AN225,"")</f>
        <v>32836</v>
      </c>
      <c r="L224" s="258" t="str">
        <f>IF(Main!Q225&gt;0,Main!Q225,"")</f>
        <v>jalabaha@yahoo.com</v>
      </c>
      <c r="M224" s="410">
        <f>VALUE(IF(Main!S225&gt;0,Main!S225,""))</f>
        <v>9063659631</v>
      </c>
      <c r="N224" s="261" t="str">
        <f>Main!T225</f>
        <v/>
      </c>
      <c r="O224" s="258" t="str">
        <f>IF(Main!AO225&gt;0,Main!AO225,"")</f>
        <v/>
      </c>
      <c r="P224" s="258" t="str">
        <f>IF(Main!AP225&gt;0,Main!AP225,"")</f>
        <v/>
      </c>
      <c r="Q224" s="258" t="str">
        <f>IF(Main!AR225&gt;0,Main!AR225,"")</f>
        <v/>
      </c>
      <c r="R224" s="259" t="str">
        <f>IF(Main!AQ225&gt;0,Main!AQ225,"")</f>
        <v/>
      </c>
      <c r="S224" s="259" t="str">
        <f>IF(Main!BD225&gt;0,Main!BD225,"")</f>
        <v>34-1957433-1</v>
      </c>
      <c r="T224" s="259" t="str">
        <f>IF(Main!AX225&gt;0,Main!AX225,"")</f>
        <v>290-301-817</v>
      </c>
      <c r="U224" s="259" t="str">
        <f>IF(Main!BH225&gt;0,Main!BH225,"")</f>
        <v>01-050922514-7</v>
      </c>
      <c r="V224" s="268" t="str">
        <f>IF(Main!BF225&gt;0,Main!BF225,"")</f>
        <v>1210-6613-4294</v>
      </c>
      <c r="W224" s="263">
        <f>IF(Main!BS225&gt;0,Main!BS225,"")</f>
        <v>42118</v>
      </c>
      <c r="X224" s="263">
        <f>IF(Main!BT225&gt;0,Main!BT225,"")</f>
        <v>42118</v>
      </c>
      <c r="Y224" s="263">
        <f>IF(Main!BU225&gt;0,Main!BU225,"")</f>
        <v>42118</v>
      </c>
      <c r="Z224" s="263" t="str">
        <f>IF(Main!AS225&gt;0,Main!AS225,"")</f>
        <v/>
      </c>
      <c r="AA224" s="263">
        <f>IF(Main!BJ225&gt;0,Main!BJ225,"")</f>
        <v>42133</v>
      </c>
      <c r="AB224" s="263">
        <f>IF(Main!BC225&gt;0,Main!BC225,"")</f>
        <v>42133</v>
      </c>
      <c r="AC224" s="263">
        <f>IF(Main!AW225&gt;0,Main!AW225,"")</f>
        <v>42133</v>
      </c>
      <c r="AD224" s="263">
        <f>IF(Main!BG225&gt;0,Main!BG225,"")</f>
        <v>42133</v>
      </c>
      <c r="AE224" s="263">
        <f>IF(Main!BE225&gt;0,Main!BE225,"")</f>
        <v>42133</v>
      </c>
      <c r="AF224" s="263" t="str">
        <f>IF(Main!BM225&gt;0,Main!BM225,"")</f>
        <v/>
      </c>
      <c r="AG224" s="263" t="str">
        <f>IF(Main!BN225&gt;0,Main!BN225,"")</f>
        <v/>
      </c>
      <c r="AH224" s="263" t="str">
        <f>IF(Main!BO225&gt;0,Main!BO225,"")</f>
        <v/>
      </c>
      <c r="AI224" s="263" t="str">
        <f>IF(Main!BR225&gt;0,Main!BR225,"")</f>
        <v/>
      </c>
      <c r="AJ224" s="263" t="str">
        <f>IF(Main!BQ225&gt;0,Main!BQ225,"")</f>
        <v/>
      </c>
      <c r="AK224" s="263" t="str">
        <f>IF(Main!AV225&gt;0,Main!AV225,"")</f>
        <v/>
      </c>
      <c r="AL224" s="263" t="str">
        <f>IF(Main!AU225&gt;0,Main!AU225,"")</f>
        <v/>
      </c>
      <c r="AM224" s="263" t="str">
        <f>IF(Main!AT225&gt;0,Main!AT225,"")</f>
        <v/>
      </c>
      <c r="AN224" s="259" t="str">
        <f>Main!BW225</f>
        <v xml:space="preserve">1905 (for processing) 5/9/2015, </v>
      </c>
    </row>
    <row r="225" spans="1:40" x14ac:dyDescent="0.25">
      <c r="A225" s="258">
        <f>Main!C226</f>
        <v>1082442</v>
      </c>
      <c r="B225" s="259" t="str">
        <f>Main!D226</f>
        <v>Tarronas, Enif Bondad</v>
      </c>
      <c r="C225" s="259" t="str">
        <f>Main!AH226</f>
        <v>Probationary</v>
      </c>
      <c r="D225" s="260">
        <f>Main!B226</f>
        <v>42114</v>
      </c>
      <c r="E225" s="260" t="str">
        <f>IF(Main!AI226&lt;1,"",Main!AI226)</f>
        <v>ERP - Justin Calanog</v>
      </c>
      <c r="F225" s="260" t="str">
        <f>IF(Main!AJ226&lt;1,"",Main!AJ226)</f>
        <v>Justin Calanog</v>
      </c>
      <c r="G225" s="260" t="str">
        <f>IF(Main!AK226&lt;1,"",Main!AK226)</f>
        <v/>
      </c>
      <c r="H225" s="259" t="str">
        <f>Main!Y226</f>
        <v>Senior Recruiter</v>
      </c>
      <c r="I225" s="259" t="str">
        <f>Main!Z226</f>
        <v>Level 1</v>
      </c>
      <c r="J225" s="259">
        <f>IF(Main!A226&lt;1,"",Main!A226)</f>
        <v>193</v>
      </c>
      <c r="K225" s="260">
        <f>IF(Main!AN226&gt;0,Main!AN226,"")</f>
        <v>33969</v>
      </c>
      <c r="L225" s="258" t="str">
        <f>IF(Main!Q226&gt;0,Main!Q226,"")</f>
        <v>eniftaronas@ymail.com</v>
      </c>
      <c r="M225" s="410">
        <f>VALUE(IF(Main!S226&gt;0,Main!S226,""))</f>
        <v>9187449999</v>
      </c>
      <c r="N225" s="261" t="str">
        <f>Main!T226</f>
        <v/>
      </c>
      <c r="O225" s="258" t="str">
        <f>IF(Main!AO226&gt;0,Main!AO226,"")</f>
        <v>Blk 7 Lot 13 Acacia St. Corner Kalantas St. Meadowood Executive Village Bacoor, Cavite</v>
      </c>
      <c r="P225" s="258" t="str">
        <f>IF(Main!AP226&gt;0,Main!AP226,"")</f>
        <v>Blk 6 Lot 3 Virgo St. Silver Homes 2 Justineville Subd Bacoor Cavite</v>
      </c>
      <c r="Q225" s="258" t="str">
        <f>IF(Main!AR226&gt;0,Main!AR226,"")</f>
        <v>Single</v>
      </c>
      <c r="R225" s="259" t="str">
        <f>IF(Main!AQ226&gt;0,Main!AQ226,"")</f>
        <v>Male</v>
      </c>
      <c r="S225" s="259" t="str">
        <f>IF(Main!BD226&gt;0,Main!BD226,"")</f>
        <v>34-4044849-4</v>
      </c>
      <c r="T225" s="259" t="str">
        <f>IF(Main!AX226&gt;0,Main!AX226,"")</f>
        <v>314-837-651</v>
      </c>
      <c r="U225" s="259" t="str">
        <f>IF(Main!BH226&gt;0,Main!BH226,"")</f>
        <v>01-051739858-1</v>
      </c>
      <c r="V225" s="268" t="str">
        <f>IF(Main!BF226&gt;0,Main!BF226,"")</f>
        <v>1210-9721-6440</v>
      </c>
      <c r="W225" s="263">
        <f>IF(Main!BS226&gt;0,Main!BS226,"")</f>
        <v>42118</v>
      </c>
      <c r="X225" s="263">
        <f>IF(Main!BT226&gt;0,Main!BT226,"")</f>
        <v>42118</v>
      </c>
      <c r="Y225" s="263">
        <f>IF(Main!BU226&gt;0,Main!BU226,"")</f>
        <v>42118</v>
      </c>
      <c r="Z225" s="263">
        <f>IF(Main!AS226&gt;0,Main!AS226,"")</f>
        <v>42117</v>
      </c>
      <c r="AA225" s="263">
        <f>IF(Main!BJ226&gt;0,Main!BJ226,"")</f>
        <v>42117</v>
      </c>
      <c r="AB225" s="263">
        <f>IF(Main!BC226&gt;0,Main!BC226,"")</f>
        <v>42119</v>
      </c>
      <c r="AC225" s="263">
        <f>IF(Main!AW226&gt;0,Main!AW226,"")</f>
        <v>42119</v>
      </c>
      <c r="AD225" s="263">
        <f>IF(Main!BG226&gt;0,Main!BG226,"")</f>
        <v>42117</v>
      </c>
      <c r="AE225" s="263">
        <f>IF(Main!BE226&gt;0,Main!BE226,"")</f>
        <v>42117</v>
      </c>
      <c r="AF225" s="263">
        <f>IF(Main!BM226&gt;0,Main!BM226,"")</f>
        <v>42119</v>
      </c>
      <c r="AG225" s="263" t="str">
        <f>IF(Main!BN226&gt;0,Main!BN226,"")</f>
        <v/>
      </c>
      <c r="AH225" s="263" t="str">
        <f>IF(Main!BO226&gt;0,Main!BO226,"")</f>
        <v/>
      </c>
      <c r="AI225" s="263">
        <f>IF(Main!BR226&gt;0,Main!BR226,"")</f>
        <v>42117</v>
      </c>
      <c r="AJ225" s="263" t="str">
        <f>IF(Main!BQ226&gt;0,Main!BQ226,"")</f>
        <v/>
      </c>
      <c r="AK225" s="263">
        <f>IF(Main!AV226&gt;0,Main!AV226,"")</f>
        <v>42119</v>
      </c>
      <c r="AL225" s="263">
        <f>IF(Main!AU226&gt;0,Main!AU226,"")</f>
        <v>42117</v>
      </c>
      <c r="AM225" s="263">
        <f>IF(Main!AT226&gt;0,Main!AT226,"")</f>
        <v>42117</v>
      </c>
      <c r="AN225" s="259" t="str">
        <f>Main!BW226</f>
        <v xml:space="preserve">1905 (for processing) 4/25/2015, 2305 (for processing) 4/25/2015, </v>
      </c>
    </row>
    <row r="226" spans="1:40" ht="30" x14ac:dyDescent="0.25">
      <c r="A226" s="258">
        <f>Main!C227</f>
        <v>1082443</v>
      </c>
      <c r="B226" s="259" t="str">
        <f>Main!D227</f>
        <v>Vibar, Helena Hazel Del Rosario</v>
      </c>
      <c r="C226" s="259" t="str">
        <f>Main!AH227</f>
        <v>Probationary</v>
      </c>
      <c r="D226" s="260">
        <f>Main!B227</f>
        <v>42114</v>
      </c>
      <c r="E226" s="260" t="str">
        <f>IF(Main!AI227&lt;1,"",Main!AI227)</f>
        <v>Jobstreet</v>
      </c>
      <c r="F226" s="260" t="str">
        <f>IF(Main!AJ227&lt;1,"",Main!AJ227)</f>
        <v/>
      </c>
      <c r="G226" s="260" t="str">
        <f>IF(Main!AK227&lt;1,"",Main!AK227)</f>
        <v/>
      </c>
      <c r="H226" s="259" t="str">
        <f>Main!Y227</f>
        <v>Senior Recruiter</v>
      </c>
      <c r="I226" s="259" t="str">
        <f>Main!Z227</f>
        <v>Level 2</v>
      </c>
      <c r="J226" s="259">
        <f>IF(Main!A227&lt;1,"",Main!A227)</f>
        <v>193</v>
      </c>
      <c r="K226" s="260">
        <f>IF(Main!AN227&gt;0,Main!AN227,"")</f>
        <v>33383</v>
      </c>
      <c r="L226" s="258" t="str">
        <f>IF(Main!Q227&gt;0,Main!Q227,"")</f>
        <v>vibar.helena@gmail.com</v>
      </c>
      <c r="M226" s="410">
        <f>VALUE(IF(Main!S227&gt;0,Main!S227,""))</f>
        <v>9261931158</v>
      </c>
      <c r="N226" s="261" t="str">
        <f>Main!T227</f>
        <v/>
      </c>
      <c r="O226" s="258" t="str">
        <f>IF(Main!AO227&gt;0,Main!AO227,"")</f>
        <v># 346 Don Bosco St. Mayapa, Calamba City, Laguna</v>
      </c>
      <c r="P226" s="258" t="str">
        <f>IF(Main!AP227&gt;0,Main!AP227,"")</f>
        <v># 346 Don Bosco St. Mayapa, Calamba City, Laguna</v>
      </c>
      <c r="Q226" s="258" t="str">
        <f>IF(Main!AR227&gt;0,Main!AR227,"")</f>
        <v>Single</v>
      </c>
      <c r="R226" s="259" t="str">
        <f>IF(Main!AQ227&gt;0,Main!AQ227,"")</f>
        <v>Female</v>
      </c>
      <c r="S226" s="259" t="str">
        <f>IF(Main!BD227&gt;0,Main!BD227,"")</f>
        <v>04-2670928-6</v>
      </c>
      <c r="T226" s="259" t="str">
        <f>IF(Main!AX227&gt;0,Main!AX227,"")</f>
        <v>313-297-104</v>
      </c>
      <c r="U226" s="259" t="str">
        <f>IF(Main!BH227&gt;0,Main!BH227,"")</f>
        <v>01-051734944-0</v>
      </c>
      <c r="V226" s="268" t="str">
        <f>IF(Main!BF227&gt;0,Main!BF227,"")</f>
        <v>1211-1928-4950</v>
      </c>
      <c r="W226" s="263">
        <f>IF(Main!BS227&gt;0,Main!BS227,"")</f>
        <v>42118</v>
      </c>
      <c r="X226" s="263">
        <f>IF(Main!BT227&gt;0,Main!BT227,"")</f>
        <v>42118</v>
      </c>
      <c r="Y226" s="263">
        <f>IF(Main!BU227&gt;0,Main!BU227,"")</f>
        <v>42118</v>
      </c>
      <c r="Z226" s="263">
        <f>IF(Main!AS227&gt;0,Main!AS227,"")</f>
        <v>42136</v>
      </c>
      <c r="AA226" s="263">
        <f>IF(Main!BJ227&gt;0,Main!BJ227,"")</f>
        <v>42136</v>
      </c>
      <c r="AB226" s="263">
        <f>IF(Main!BC227&gt;0,Main!BC227,"")</f>
        <v>42122</v>
      </c>
      <c r="AC226" s="263">
        <f>IF(Main!AW227&gt;0,Main!AW227,"")</f>
        <v>42118</v>
      </c>
      <c r="AD226" s="263">
        <f>IF(Main!BG227&gt;0,Main!BG227,"")</f>
        <v>42122</v>
      </c>
      <c r="AE226" s="263">
        <f>IF(Main!BE227&gt;0,Main!BE227,"")</f>
        <v>42130</v>
      </c>
      <c r="AF226" s="263">
        <f>IF(Main!BM227&gt;0,Main!BM227,"")</f>
        <v>42118</v>
      </c>
      <c r="AG226" s="263" t="str">
        <f>IF(Main!BN227&gt;0,Main!BN227,"")</f>
        <v/>
      </c>
      <c r="AH226" s="263" t="str">
        <f>IF(Main!BO227&gt;0,Main!BO227,"")</f>
        <v/>
      </c>
      <c r="AI226" s="263" t="str">
        <f>IF(Main!BR227&gt;0,Main!BR227,"")</f>
        <v/>
      </c>
      <c r="AJ226" s="263">
        <f>IF(Main!BQ227&gt;0,Main!BQ227,"")</f>
        <v>42122</v>
      </c>
      <c r="AK226" s="263">
        <f>IF(Main!AV227&gt;0,Main!AV227,"")</f>
        <v>42117</v>
      </c>
      <c r="AL226" s="263">
        <f>IF(Main!AU227&gt;0,Main!AU227,"")</f>
        <v>42118</v>
      </c>
      <c r="AM226" s="263">
        <f>IF(Main!AT227&gt;0,Main!AT227,"")</f>
        <v>42117</v>
      </c>
      <c r="AN226" s="259" t="str">
        <f>Main!BW227</f>
        <v>1905 (for processing) 4/24/2015, 2305 (for processing) 5/12/2015, MDR 5/6/2015, 2316 (2014) - 4/24/2015</v>
      </c>
    </row>
    <row r="227" spans="1:40" x14ac:dyDescent="0.25">
      <c r="A227" s="258">
        <f>Main!C228</f>
        <v>1082444</v>
      </c>
      <c r="B227" s="259" t="str">
        <f>Main!D228</f>
        <v>Viernes, Olivia Sorreda</v>
      </c>
      <c r="C227" s="259" t="str">
        <f>Main!AH228</f>
        <v>Probationary</v>
      </c>
      <c r="D227" s="260">
        <f>Main!B228</f>
        <v>42114</v>
      </c>
      <c r="E227" s="260" t="str">
        <f>IF(Main!AI228&lt;1,"",Main!AI228)</f>
        <v>Facebook</v>
      </c>
      <c r="F227" s="260" t="str">
        <f>IF(Main!AJ228&lt;1,"",Main!AJ228)</f>
        <v/>
      </c>
      <c r="G227" s="260" t="str">
        <f>IF(Main!AK228&lt;1,"",Main!AK228)</f>
        <v/>
      </c>
      <c r="H227" s="259" t="str">
        <f>Main!Y228</f>
        <v>Senior Recruiter</v>
      </c>
      <c r="I227" s="259" t="str">
        <f>Main!Z228</f>
        <v>Level 1</v>
      </c>
      <c r="J227" s="259">
        <f>IF(Main!A228&lt;1,"",Main!A228)</f>
        <v>193</v>
      </c>
      <c r="K227" s="260">
        <f>IF(Main!AN228&gt;0,Main!AN228,"")</f>
        <v>31566</v>
      </c>
      <c r="L227" s="258" t="str">
        <f>IF(Main!Q228&gt;0,Main!Q228,"")</f>
        <v>olivia_viernes@yahoo.com</v>
      </c>
      <c r="M227" s="410">
        <f>VALUE(IF(Main!S228&gt;0,Main!S228,""))</f>
        <v>9215496974</v>
      </c>
      <c r="N227" s="261" t="str">
        <f>Main!T228</f>
        <v/>
      </c>
      <c r="O227" s="258" t="str">
        <f>IF(Main!AO228&gt;0,Main!AO228,"")</f>
        <v>430 Banaba St. Cembo, Makati City</v>
      </c>
      <c r="P227" s="258" t="str">
        <f>IF(Main!AP228&gt;0,Main!AP228,"")</f>
        <v>Kabayalangan St. Brgy 7 Sucsuquen, Piddig Ilocos Norte, 2912</v>
      </c>
      <c r="Q227" s="258" t="str">
        <f>IF(Main!AR228&gt;0,Main!AR228,"")</f>
        <v>Single</v>
      </c>
      <c r="R227" s="259" t="str">
        <f>IF(Main!AQ228&gt;0,Main!AQ228,"")</f>
        <v>Female</v>
      </c>
      <c r="S227" s="259" t="str">
        <f>IF(Main!BD228&gt;0,Main!BD228,"")</f>
        <v>34-0631998-1</v>
      </c>
      <c r="T227" s="259" t="str">
        <f>IF(Main!AX228&gt;0,Main!AX228,"")</f>
        <v>432-041-556</v>
      </c>
      <c r="U227" s="259" t="str">
        <f>IF(Main!BH228&gt;0,Main!BH228,"")</f>
        <v>01-051749387-8</v>
      </c>
      <c r="V227" s="268" t="str">
        <f>IF(Main!BF228&gt;0,Main!BF228,"")</f>
        <v>1211-0056-1963</v>
      </c>
      <c r="W227" s="263">
        <f>IF(Main!BS228&gt;0,Main!BS228,"")</f>
        <v>42118</v>
      </c>
      <c r="X227" s="263">
        <f>IF(Main!BT228&gt;0,Main!BT228,"")</f>
        <v>42118</v>
      </c>
      <c r="Y227" s="263">
        <f>IF(Main!BU228&gt;0,Main!BU228,"")</f>
        <v>42118</v>
      </c>
      <c r="Z227" s="263">
        <f>IF(Main!AS228&gt;0,Main!AS228,"")</f>
        <v>42118</v>
      </c>
      <c r="AA227" s="263">
        <f>IF(Main!BJ228&gt;0,Main!BJ228,"")</f>
        <v>42118</v>
      </c>
      <c r="AB227" s="263">
        <f>IF(Main!BC228&gt;0,Main!BC228,"")</f>
        <v>42131</v>
      </c>
      <c r="AC227" s="263">
        <f>IF(Main!AW228&gt;0,Main!AW228,"")</f>
        <v>42131</v>
      </c>
      <c r="AD227" s="263">
        <f>IF(Main!BG228&gt;0,Main!BG228,"")</f>
        <v>42131</v>
      </c>
      <c r="AE227" s="263">
        <f>IF(Main!BE228&gt;0,Main!BE228,"")</f>
        <v>42131</v>
      </c>
      <c r="AF227" s="263">
        <f>IF(Main!BM228&gt;0,Main!BM228,"")</f>
        <v>42118</v>
      </c>
      <c r="AG227" s="263" t="str">
        <f>IF(Main!BN228&gt;0,Main!BN228,"")</f>
        <v/>
      </c>
      <c r="AH227" s="263" t="str">
        <f>IF(Main!BO228&gt;0,Main!BO228,"")</f>
        <v/>
      </c>
      <c r="AI227" s="263" t="str">
        <f>IF(Main!BR228&gt;0,Main!BR228,"")</f>
        <v/>
      </c>
      <c r="AJ227" s="263">
        <f>IF(Main!BQ228&gt;0,Main!BQ228,"")</f>
        <v>42118</v>
      </c>
      <c r="AK227" s="263">
        <f>IF(Main!AV228&gt;0,Main!AV228,"")</f>
        <v>42132</v>
      </c>
      <c r="AL227" s="263">
        <f>IF(Main!AU228&gt;0,Main!AU228,"")</f>
        <v>42118</v>
      </c>
      <c r="AM227" s="263">
        <f>IF(Main!AT228&gt;0,Main!AT228,"")</f>
        <v>42118</v>
      </c>
      <c r="AN227" s="259" t="str">
        <f>Main!BW228</f>
        <v xml:space="preserve">1905 (for processing) 5/7/2015, 2305 (for processing) 5/8/2015, </v>
      </c>
    </row>
    <row r="228" spans="1:40" x14ac:dyDescent="0.25">
      <c r="A228" s="258">
        <f>Main!C229</f>
        <v>1082445</v>
      </c>
      <c r="B228" s="259" t="str">
        <f>Main!D229</f>
        <v>Villarosa, Noe Christian Relota</v>
      </c>
      <c r="C228" s="259" t="str">
        <f>Main!AH229</f>
        <v>Probationary</v>
      </c>
      <c r="D228" s="260">
        <f>Main!B229</f>
        <v>42114</v>
      </c>
      <c r="E228" s="260" t="str">
        <f>IF(Main!AI229&lt;1,"",Main!AI229)</f>
        <v>Jobstreet</v>
      </c>
      <c r="F228" s="260" t="str">
        <f>IF(Main!AJ229&lt;1,"",Main!AJ229)</f>
        <v/>
      </c>
      <c r="G228" s="260" t="str">
        <f>IF(Main!AK229&lt;1,"",Main!AK229)</f>
        <v/>
      </c>
      <c r="H228" s="259" t="str">
        <f>Main!Y229</f>
        <v>Senior Recruiter</v>
      </c>
      <c r="I228" s="259" t="str">
        <f>Main!Z229</f>
        <v>Level 2</v>
      </c>
      <c r="J228" s="259">
        <f>IF(Main!A229&lt;1,"",Main!A229)</f>
        <v>193</v>
      </c>
      <c r="K228" s="260">
        <f>IF(Main!AN229&gt;0,Main!AN229,"")</f>
        <v>32852</v>
      </c>
      <c r="L228" s="258" t="str">
        <f>IF(Main!Q229&gt;0,Main!Q229,"")</f>
        <v>noechristianvillarosa@yahoo.com</v>
      </c>
      <c r="M228" s="410">
        <f>VALUE(IF(Main!S229&gt;0,Main!S229,""))</f>
        <v>9176101871</v>
      </c>
      <c r="N228" s="261" t="str">
        <f>Main!T229</f>
        <v/>
      </c>
      <c r="O228" s="258" t="str">
        <f>IF(Main!AO229&gt;0,Main!AO229,"")</f>
        <v/>
      </c>
      <c r="P228" s="258" t="str">
        <f>IF(Main!AP229&gt;0,Main!AP229,"")</f>
        <v/>
      </c>
      <c r="Q228" s="258" t="str">
        <f>IF(Main!AR229&gt;0,Main!AR229,"")</f>
        <v/>
      </c>
      <c r="R228" s="259" t="str">
        <f>IF(Main!AQ229&gt;0,Main!AQ229,"")</f>
        <v/>
      </c>
      <c r="S228" s="259" t="str">
        <f>IF(Main!BD229&gt;0,Main!BD229,"")</f>
        <v/>
      </c>
      <c r="T228" s="259" t="str">
        <f>IF(Main!AX229&gt;0,Main!AX229,"")</f>
        <v>312-620-213</v>
      </c>
      <c r="U228" s="259" t="str">
        <f>IF(Main!BH229&gt;0,Main!BH229,"")</f>
        <v>03-026177228-9</v>
      </c>
      <c r="V228" s="268" t="str">
        <f>IF(Main!BF229&gt;0,Main!BF229,"")</f>
        <v>1211-0081-3830</v>
      </c>
      <c r="W228" s="263">
        <f>IF(Main!BS229&gt;0,Main!BS229,"")</f>
        <v>42118</v>
      </c>
      <c r="X228" s="263">
        <f>IF(Main!BT229&gt;0,Main!BT229,"")</f>
        <v>42118</v>
      </c>
      <c r="Y228" s="263">
        <f>IF(Main!BU229&gt;0,Main!BU229,"")</f>
        <v>42118</v>
      </c>
      <c r="Z228" s="263" t="str">
        <f>IF(Main!AS229&gt;0,Main!AS229,"")</f>
        <v/>
      </c>
      <c r="AA228" s="263" t="str">
        <f>IF(Main!BJ229&gt;0,Main!BJ229,"")</f>
        <v/>
      </c>
      <c r="AB228" s="263" t="str">
        <f>IF(Main!BC229&gt;0,Main!BC229,"")</f>
        <v/>
      </c>
      <c r="AC228" s="263">
        <f>IF(Main!AW229&gt;0,Main!AW229,"")</f>
        <v>42118</v>
      </c>
      <c r="AD228" s="263">
        <f>IF(Main!BG229&gt;0,Main!BG229,"")</f>
        <v>42133</v>
      </c>
      <c r="AE228" s="263">
        <f>IF(Main!BE229&gt;0,Main!BE229,"")</f>
        <v>42136</v>
      </c>
      <c r="AF228" s="263">
        <f>IF(Main!BM229&gt;0,Main!BM229,"")</f>
        <v>42120</v>
      </c>
      <c r="AG228" s="263" t="str">
        <f>IF(Main!BN229&gt;0,Main!BN229,"")</f>
        <v/>
      </c>
      <c r="AH228" s="263" t="str">
        <f>IF(Main!BO229&gt;0,Main!BO229,"")</f>
        <v/>
      </c>
      <c r="AI228" s="263">
        <f>IF(Main!BR229&gt;0,Main!BR229,"")</f>
        <v>42118</v>
      </c>
      <c r="AJ228" s="263">
        <f>IF(Main!BQ229&gt;0,Main!BQ229,"")</f>
        <v>42136</v>
      </c>
      <c r="AK228" s="263">
        <f>IF(Main!AV229&gt;0,Main!AV229,"")</f>
        <v>42136</v>
      </c>
      <c r="AL228" s="263" t="str">
        <f>IF(Main!AU229&gt;0,Main!AU229,"")</f>
        <v/>
      </c>
      <c r="AM228" s="263">
        <f>IF(Main!AT229&gt;0,Main!AT229,"")</f>
        <v>42136</v>
      </c>
      <c r="AN228" s="259" t="str">
        <f>Main!BW229</f>
        <v>2316 (2014) - 4/24/2015, Police Clearance - 04/27/2015</v>
      </c>
    </row>
    <row r="229" spans="1:40" x14ac:dyDescent="0.25">
      <c r="A229" s="258">
        <f>Main!C230</f>
        <v>1082446</v>
      </c>
      <c r="B229" s="259" t="str">
        <f>Main!D230</f>
        <v>Fausto, Cherry Anne Catacutan</v>
      </c>
      <c r="C229" s="259" t="str">
        <f>Main!AH230</f>
        <v>Probationary</v>
      </c>
      <c r="D229" s="260">
        <f>Main!B230</f>
        <v>42114</v>
      </c>
      <c r="E229" s="260" t="str">
        <f>IF(Main!AI230&lt;1,"",Main!AI230)</f>
        <v>Jobstreet</v>
      </c>
      <c r="F229" s="260" t="str">
        <f>IF(Main!AJ230&lt;1,"",Main!AJ230)</f>
        <v/>
      </c>
      <c r="G229" s="260" t="str">
        <f>IF(Main!AK230&lt;1,"",Main!AK230)</f>
        <v/>
      </c>
      <c r="H229" s="259" t="str">
        <f>Main!Y230</f>
        <v>Senior Recruiter</v>
      </c>
      <c r="I229" s="259" t="str">
        <f>Main!Z230</f>
        <v>Level 2</v>
      </c>
      <c r="J229" s="259">
        <f>IF(Main!A230&lt;1,"",Main!A230)</f>
        <v>193</v>
      </c>
      <c r="K229" s="260">
        <f>IF(Main!AN230&gt;0,Main!AN230,"")</f>
        <v>32833</v>
      </c>
      <c r="L229" s="258" t="str">
        <f>IF(Main!Q230&gt;0,Main!Q230,"")</f>
        <v>faustocherry@yahoo.com.ph</v>
      </c>
      <c r="M229" s="410">
        <f>VALUE(IF(Main!S230&gt;0,Main!S230,""))</f>
        <v>9165025438</v>
      </c>
      <c r="N229" s="261" t="str">
        <f>Main!T230</f>
        <v/>
      </c>
      <c r="O229" s="258" t="str">
        <f>IF(Main!AO230&gt;0,Main!AO230,"")</f>
        <v/>
      </c>
      <c r="P229" s="258" t="str">
        <f>IF(Main!AP230&gt;0,Main!AP230,"")</f>
        <v/>
      </c>
      <c r="Q229" s="258" t="str">
        <f>IF(Main!AR230&gt;0,Main!AR230,"")</f>
        <v/>
      </c>
      <c r="R229" s="259" t="str">
        <f>IF(Main!AQ230&gt;0,Main!AQ230,"")</f>
        <v/>
      </c>
      <c r="S229" s="259" t="str">
        <f>IF(Main!BD230&gt;0,Main!BD230,"")</f>
        <v/>
      </c>
      <c r="T229" s="259" t="str">
        <f>IF(Main!AX230&gt;0,Main!AX230,"")</f>
        <v/>
      </c>
      <c r="U229" s="259" t="str">
        <f>IF(Main!BH230&gt;0,Main!BH230,"")</f>
        <v/>
      </c>
      <c r="V229" s="268" t="str">
        <f>IF(Main!BF230&gt;0,Main!BF230,"")</f>
        <v/>
      </c>
      <c r="W229" s="263">
        <f>IF(Main!BS230&gt;0,Main!BS230,"")</f>
        <v>42118</v>
      </c>
      <c r="X229" s="263">
        <f>IF(Main!BT230&gt;0,Main!BT230,"")</f>
        <v>42118</v>
      </c>
      <c r="Y229" s="263">
        <f>IF(Main!BU230&gt;0,Main!BU230,"")</f>
        <v>42118</v>
      </c>
      <c r="Z229" s="263" t="str">
        <f>IF(Main!AS230&gt;0,Main!AS230,"")</f>
        <v/>
      </c>
      <c r="AA229" s="263" t="str">
        <f>IF(Main!BJ230&gt;0,Main!BJ230,"")</f>
        <v/>
      </c>
      <c r="AB229" s="263" t="str">
        <f>IF(Main!BC230&gt;0,Main!BC230,"")</f>
        <v/>
      </c>
      <c r="AC229" s="263" t="str">
        <f>IF(Main!AW230&gt;0,Main!AW230,"")</f>
        <v/>
      </c>
      <c r="AD229" s="263" t="str">
        <f>IF(Main!BG230&gt;0,Main!BG230,"")</f>
        <v/>
      </c>
      <c r="AE229" s="263" t="str">
        <f>IF(Main!BE230&gt;0,Main!BE230,"")</f>
        <v/>
      </c>
      <c r="AF229" s="263" t="str">
        <f>IF(Main!BM230&gt;0,Main!BM230,"")</f>
        <v/>
      </c>
      <c r="AG229" s="263" t="str">
        <f>IF(Main!BN230&gt;0,Main!BN230,"")</f>
        <v/>
      </c>
      <c r="AH229" s="263" t="str">
        <f>IF(Main!BO230&gt;0,Main!BO230,"")</f>
        <v/>
      </c>
      <c r="AI229" s="263" t="str">
        <f>IF(Main!BR230&gt;0,Main!BR230,"")</f>
        <v/>
      </c>
      <c r="AJ229" s="263" t="str">
        <f>IF(Main!BQ230&gt;0,Main!BQ230,"")</f>
        <v/>
      </c>
      <c r="AK229" s="263" t="str">
        <f>IF(Main!AV230&gt;0,Main!AV230,"")</f>
        <v/>
      </c>
      <c r="AL229" s="263" t="str">
        <f>IF(Main!AU230&gt;0,Main!AU230,"")</f>
        <v/>
      </c>
      <c r="AM229" s="263" t="str">
        <f>IF(Main!AT230&gt;0,Main!AT230,"")</f>
        <v/>
      </c>
      <c r="AN229" s="259" t="str">
        <f>Main!BW230</f>
        <v/>
      </c>
    </row>
    <row r="230" spans="1:40" x14ac:dyDescent="0.25">
      <c r="A230" s="258">
        <f>Main!C231</f>
        <v>1082447</v>
      </c>
      <c r="B230" s="259" t="str">
        <f>Main!D231</f>
        <v>Lambunao, Aristheo Domingo</v>
      </c>
      <c r="C230" s="259" t="str">
        <f>Main!AH231</f>
        <v>Probationary</v>
      </c>
      <c r="D230" s="260">
        <f>Main!B231</f>
        <v>42114</v>
      </c>
      <c r="E230" s="260" t="str">
        <f>IF(Main!AI231&lt;1,"",Main!AI231)</f>
        <v>Jobstreet</v>
      </c>
      <c r="F230" s="260" t="str">
        <f>IF(Main!AJ231&lt;1,"",Main!AJ231)</f>
        <v/>
      </c>
      <c r="G230" s="260" t="str">
        <f>IF(Main!AK231&lt;1,"",Main!AK231)</f>
        <v/>
      </c>
      <c r="H230" s="259" t="str">
        <f>Main!Y231</f>
        <v>Senior Recruiter</v>
      </c>
      <c r="I230" s="259" t="str">
        <f>Main!Z231</f>
        <v>Level 2</v>
      </c>
      <c r="J230" s="259">
        <f>IF(Main!A231&lt;1,"",Main!A231)</f>
        <v>193</v>
      </c>
      <c r="K230" s="260">
        <f>IF(Main!AN231&gt;0,Main!AN231,"")</f>
        <v>31351</v>
      </c>
      <c r="L230" s="258" t="str">
        <f>IF(Main!Q231&gt;0,Main!Q231,"")</f>
        <v>theolambunao@gmail.com</v>
      </c>
      <c r="M230" s="410">
        <f>VALUE(IF(Main!S231&gt;0,Main!S231,""))</f>
        <v>9067217662</v>
      </c>
      <c r="N230" s="261" t="str">
        <f>Main!T231</f>
        <v/>
      </c>
      <c r="O230" s="258" t="str">
        <f>IF(Main!AO231&gt;0,Main!AO231,"")</f>
        <v>70 Chile St. Greenheights 2 Concepcion Marikina</v>
      </c>
      <c r="P230" s="258" t="str">
        <f>IF(Main!AP231&gt;0,Main!AP231,"")</f>
        <v>70 Chile St. Greenheights 2 Concepcion Marikina</v>
      </c>
      <c r="Q230" s="258" t="str">
        <f>IF(Main!AR231&gt;0,Main!AR231,"")</f>
        <v>Single</v>
      </c>
      <c r="R230" s="259" t="str">
        <f>IF(Main!AQ231&gt;0,Main!AQ231,"")</f>
        <v>Male</v>
      </c>
      <c r="S230" s="259" t="str">
        <f>IF(Main!BD231&gt;0,Main!BD231,"")</f>
        <v>34-0155078-7</v>
      </c>
      <c r="T230" s="259" t="str">
        <f>IF(Main!AX231&gt;0,Main!AX231,"")</f>
        <v>303-264-800</v>
      </c>
      <c r="U230" s="259" t="str">
        <f>IF(Main!BH231&gt;0,Main!BH231,"")</f>
        <v>01-050411826-1</v>
      </c>
      <c r="V230" s="268" t="str">
        <f>IF(Main!BF231&gt;0,Main!BF231,"")</f>
        <v>1010-0135-6148</v>
      </c>
      <c r="W230" s="263">
        <f>IF(Main!BS231&gt;0,Main!BS231,"")</f>
        <v>42118</v>
      </c>
      <c r="X230" s="263">
        <f>IF(Main!BT231&gt;0,Main!BT231,"")</f>
        <v>42118</v>
      </c>
      <c r="Y230" s="263">
        <f>IF(Main!BU231&gt;0,Main!BU231,"")</f>
        <v>42118</v>
      </c>
      <c r="Z230" s="263">
        <f>IF(Main!AS231&gt;0,Main!AS231,"")</f>
        <v>42125</v>
      </c>
      <c r="AA230" s="263">
        <f>IF(Main!BJ231&gt;0,Main!BJ231,"")</f>
        <v>42125</v>
      </c>
      <c r="AB230" s="263">
        <f>IF(Main!BC231&gt;0,Main!BC231,"")</f>
        <v>42125</v>
      </c>
      <c r="AC230" s="263">
        <f>IF(Main!AW231&gt;0,Main!AW231,"")</f>
        <v>42125</v>
      </c>
      <c r="AD230" s="263">
        <f>IF(Main!BG231&gt;0,Main!BG231,"")</f>
        <v>42125</v>
      </c>
      <c r="AE230" s="263">
        <f>IF(Main!BE231&gt;0,Main!BE231,"")</f>
        <v>42125</v>
      </c>
      <c r="AF230" s="263">
        <f>IF(Main!BM231&gt;0,Main!BM231,"")</f>
        <v>42125</v>
      </c>
      <c r="AG230" s="263" t="str">
        <f>IF(Main!BN231&gt;0,Main!BN231,"")</f>
        <v/>
      </c>
      <c r="AH230" s="263" t="str">
        <f>IF(Main!BO231&gt;0,Main!BO231,"")</f>
        <v/>
      </c>
      <c r="AI230" s="263" t="str">
        <f>IF(Main!BR231&gt;0,Main!BR231,"")</f>
        <v/>
      </c>
      <c r="AJ230" s="263" t="str">
        <f>IF(Main!BQ231&gt;0,Main!BQ231,"")</f>
        <v/>
      </c>
      <c r="AK230" s="263">
        <f>IF(Main!AV231&gt;0,Main!AV231,"")</f>
        <v>42125</v>
      </c>
      <c r="AL230" s="263">
        <f>IF(Main!AU231&gt;0,Main!AU231,"")</f>
        <v>42125</v>
      </c>
      <c r="AM230" s="263">
        <f>IF(Main!AT231&gt;0,Main!AT231,"")</f>
        <v>42125</v>
      </c>
      <c r="AN230" s="259" t="str">
        <f>Main!BW231</f>
        <v/>
      </c>
    </row>
    <row r="231" spans="1:40" ht="30" x14ac:dyDescent="0.25">
      <c r="A231" s="258">
        <f>Main!C232</f>
        <v>1082448</v>
      </c>
      <c r="B231" s="259" t="str">
        <f>Main!D232</f>
        <v>Ropa, May-Ann Atienza</v>
      </c>
      <c r="C231" s="259" t="str">
        <f>Main!AH232</f>
        <v>Probationary</v>
      </c>
      <c r="D231" s="260">
        <f>Main!B232</f>
        <v>42114</v>
      </c>
      <c r="E231" s="260" t="str">
        <f>IF(Main!AI232&lt;1,"",Main!AI232)</f>
        <v>ERP - Feliz Gonzales</v>
      </c>
      <c r="F231" s="260" t="str">
        <f>IF(Main!AJ232&lt;1,"",Main!AJ232)</f>
        <v>Feliz Gonzales</v>
      </c>
      <c r="G231" s="260" t="str">
        <f>IF(Main!AK232&lt;1,"",Main!AK232)</f>
        <v/>
      </c>
      <c r="H231" s="259" t="str">
        <f>Main!Y232</f>
        <v>Senior Team Manager</v>
      </c>
      <c r="I231" s="259" t="str">
        <f>Main!Z232</f>
        <v>N/A</v>
      </c>
      <c r="J231" s="259">
        <f>IF(Main!A232&lt;1,"",Main!A232)</f>
        <v>193</v>
      </c>
      <c r="K231" s="260">
        <f>IF(Main!AN232&gt;0,Main!AN232,"")</f>
        <v>31543</v>
      </c>
      <c r="L231" s="258" t="str">
        <f>IF(Main!Q232&gt;0,Main!Q232,"")</f>
        <v>mayann.atienza@gmail.com</v>
      </c>
      <c r="M231" s="410">
        <f>VALUE(IF(Main!S232&gt;0,Main!S232,""))</f>
        <v>9088149638</v>
      </c>
      <c r="N231" s="261" t="str">
        <f>Main!T232</f>
        <v/>
      </c>
      <c r="O231" s="258" t="str">
        <f>IF(Main!AO232&gt;0,Main!AO232,"")</f>
        <v>B6L6 Molave St, Dacon Homes, Kasibulan Village, Cainta, Rizal 1900</v>
      </c>
      <c r="P231" s="258" t="str">
        <f>IF(Main!AP232&gt;0,Main!AP232,"")</f>
        <v># 156 San Isidro Ave, Bugaan West, Laurel, Batangeas 4221</v>
      </c>
      <c r="Q231" s="258" t="str">
        <f>IF(Main!AR232&gt;0,Main!AR232,"")</f>
        <v>Widow</v>
      </c>
      <c r="R231" s="259" t="str">
        <f>IF(Main!AQ232&gt;0,Main!AQ232,"")</f>
        <v>Female</v>
      </c>
      <c r="S231" s="259" t="str">
        <f>IF(Main!BD232&gt;0,Main!BD232,"")</f>
        <v>33-9998236-0</v>
      </c>
      <c r="T231" s="259" t="str">
        <f>IF(Main!AX232&gt;0,Main!AX232,"")</f>
        <v>302-456-248</v>
      </c>
      <c r="U231" s="259" t="str">
        <f>IF(Main!BH232&gt;0,Main!BH232,"")</f>
        <v>09-026122996-0</v>
      </c>
      <c r="V231" s="268" t="str">
        <f>IF(Main!BF232&gt;0,Main!BF232,"")</f>
        <v>1210-1063-8809</v>
      </c>
      <c r="W231" s="263">
        <f>IF(Main!BS232&gt;0,Main!BS232,"")</f>
        <v>42118</v>
      </c>
      <c r="X231" s="263" t="str">
        <f>IF(Main!BT232&gt;0,Main!BT232,"")</f>
        <v/>
      </c>
      <c r="Y231" s="263">
        <f>IF(Main!BU232&gt;0,Main!BU232,"")</f>
        <v>42118</v>
      </c>
      <c r="Z231" s="263">
        <f>IF(Main!AS232&gt;0,Main!AS232,"")</f>
        <v>42118</v>
      </c>
      <c r="AA231" s="263">
        <f>IF(Main!BJ232&gt;0,Main!BJ232,"")</f>
        <v>42118</v>
      </c>
      <c r="AB231" s="263">
        <f>IF(Main!BC232&gt;0,Main!BC232,"")</f>
        <v>42118</v>
      </c>
      <c r="AC231" s="263">
        <f>IF(Main!AW232&gt;0,Main!AW232,"")</f>
        <v>42118</v>
      </c>
      <c r="AD231" s="263">
        <f>IF(Main!BG232&gt;0,Main!BG232,"")</f>
        <v>42118</v>
      </c>
      <c r="AE231" s="263">
        <f>IF(Main!BE232&gt;0,Main!BE232,"")</f>
        <v>42118</v>
      </c>
      <c r="AF231" s="263">
        <f>IF(Main!BM232&gt;0,Main!BM232,"")</f>
        <v>42118</v>
      </c>
      <c r="AG231" s="263">
        <f>IF(Main!BN232&gt;0,Main!BN232,"")</f>
        <v>42118</v>
      </c>
      <c r="AH231" s="263">
        <f>IF(Main!BO232&gt;0,Main!BO232,"")</f>
        <v>42118</v>
      </c>
      <c r="AI231" s="263">
        <f>IF(Main!BR232&gt;0,Main!BR232,"")</f>
        <v>42118</v>
      </c>
      <c r="AJ231" s="263">
        <f>IF(Main!BQ232&gt;0,Main!BQ232,"")</f>
        <v>42118</v>
      </c>
      <c r="AK231" s="263">
        <f>IF(Main!AV232&gt;0,Main!AV232,"")</f>
        <v>42130</v>
      </c>
      <c r="AL231" s="263">
        <f>IF(Main!AU232&gt;0,Main!AU232,"")</f>
        <v>42118</v>
      </c>
      <c r="AM231" s="263">
        <f>IF(Main!AT232&gt;0,Main!AT232,"")</f>
        <v>42118</v>
      </c>
      <c r="AN231" s="259" t="str">
        <f>Main!BW232</f>
        <v>1905 (for processing) 5/6/2015, 2305 (for processing) 4/24/2015, MDR 4/24/2015, Certificate of Death for Husband 4/24/2015</v>
      </c>
    </row>
    <row r="232" spans="1:40" x14ac:dyDescent="0.25">
      <c r="A232" s="258">
        <f>Main!C233</f>
        <v>1082449</v>
      </c>
      <c r="B232" s="259" t="str">
        <f>Main!D233</f>
        <v>Celis III, Dioscoro Dela Cruz</v>
      </c>
      <c r="C232" s="259" t="str">
        <f>Main!AH233</f>
        <v>Probationary</v>
      </c>
      <c r="D232" s="260">
        <f>Main!B233</f>
        <v>42121</v>
      </c>
      <c r="E232" s="260" t="str">
        <f>IF(Main!AI233&lt;1,"",Main!AI233)</f>
        <v>Jobstreet</v>
      </c>
      <c r="F232" s="260" t="str">
        <f>IF(Main!AJ233&lt;1,"",Main!AJ233)</f>
        <v/>
      </c>
      <c r="G232" s="260" t="str">
        <f>IF(Main!AK233&lt;1,"",Main!AK233)</f>
        <v/>
      </c>
      <c r="H232" s="259" t="str">
        <f>Main!Y233</f>
        <v>Senior Recruiter</v>
      </c>
      <c r="I232" s="259" t="str">
        <f>Main!Z233</f>
        <v>Level 1</v>
      </c>
      <c r="J232" s="259">
        <f>IF(Main!A233&lt;1,"",Main!A233)</f>
        <v>194</v>
      </c>
      <c r="K232" s="260">
        <f>IF(Main!AN233&gt;0,Main!AN233,"")</f>
        <v>33538</v>
      </c>
      <c r="L232" s="258" t="str">
        <f>IF(Main!Q233&gt;0,Main!Q233,"")</f>
        <v>dioscoro.celis@gmail.com</v>
      </c>
      <c r="M232" s="410">
        <f>VALUE(IF(Main!S233&gt;0,Main!S233,""))</f>
        <v>9083789158</v>
      </c>
      <c r="N232" s="261" t="str">
        <f>Main!T233</f>
        <v/>
      </c>
      <c r="O232" s="258" t="str">
        <f>IF(Main!AO233&gt;0,Main!AO233,"")</f>
        <v>36 A Romulus St., BF Resort Village, Garden Homes, Las Piñas City</v>
      </c>
      <c r="P232" s="258" t="str">
        <f>IF(Main!AP233&gt;0,Main!AP233,"")</f>
        <v>Clement St, Brgy Poblacion Zone II Estancia Iloilo</v>
      </c>
      <c r="Q232" s="258" t="str">
        <f>IF(Main!AR233&gt;0,Main!AR233,"")</f>
        <v>Single</v>
      </c>
      <c r="R232" s="259" t="str">
        <f>IF(Main!AQ233&gt;0,Main!AQ233,"")</f>
        <v>Male</v>
      </c>
      <c r="S232" s="259" t="str">
        <f>IF(Main!BD233&gt;0,Main!BD233,"")</f>
        <v>34-4013632-4</v>
      </c>
      <c r="T232" s="259" t="str">
        <f>IF(Main!AX233&gt;0,Main!AX233,"")</f>
        <v>419-949-025</v>
      </c>
      <c r="U232" s="259" t="str">
        <f>IF(Main!BH233&gt;0,Main!BH233,"")</f>
        <v>03-025446570-0</v>
      </c>
      <c r="V232" s="268" t="str">
        <f>IF(Main!BF233&gt;0,Main!BF233,"")</f>
        <v>1211-0081-3830</v>
      </c>
      <c r="W232" s="263">
        <f>IF(Main!BS233&gt;0,Main!BS233,"")</f>
        <v>42124</v>
      </c>
      <c r="X232" s="263">
        <f>IF(Main!BT233&gt;0,Main!BT233,"")</f>
        <v>42124</v>
      </c>
      <c r="Y232" s="263">
        <f>IF(Main!BU233&gt;0,Main!BU233,"")</f>
        <v>42124</v>
      </c>
      <c r="Z232" s="263">
        <f>IF(Main!AS233&gt;0,Main!AS233,"")</f>
        <v>42124</v>
      </c>
      <c r="AA232" s="263" t="str">
        <f>IF(Main!BJ233&gt;0,Main!BJ233,"")</f>
        <v/>
      </c>
      <c r="AB232" s="263">
        <f>IF(Main!BC233&gt;0,Main!BC233,"")</f>
        <v>42124</v>
      </c>
      <c r="AC232" s="263">
        <f>IF(Main!AW233&gt;0,Main!AW233,"")</f>
        <v>42124</v>
      </c>
      <c r="AD232" s="263">
        <f>IF(Main!BG233&gt;0,Main!BG233,"")</f>
        <v>42124</v>
      </c>
      <c r="AE232" s="263">
        <f>IF(Main!BE233&gt;0,Main!BE233,"")</f>
        <v>42135</v>
      </c>
      <c r="AF232" s="263">
        <f>IF(Main!BM233&gt;0,Main!BM233,"")</f>
        <v>42131</v>
      </c>
      <c r="AG232" s="263" t="str">
        <f>IF(Main!BN233&gt;0,Main!BN233,"")</f>
        <v/>
      </c>
      <c r="AH232" s="263" t="str">
        <f>IF(Main!BO233&gt;0,Main!BO233,"")</f>
        <v/>
      </c>
      <c r="AI232" s="263">
        <f>IF(Main!BR233&gt;0,Main!BR233,"")</f>
        <v>42124</v>
      </c>
      <c r="AJ232" s="263">
        <f>IF(Main!BQ233&gt;0,Main!BQ233,"")</f>
        <v>42124</v>
      </c>
      <c r="AK232" s="263" t="str">
        <f>IF(Main!AV233&gt;0,Main!AV233,"")</f>
        <v/>
      </c>
      <c r="AL232" s="263">
        <f>IF(Main!AU233&gt;0,Main!AU233,"")</f>
        <v>42124</v>
      </c>
      <c r="AM232" s="263" t="str">
        <f>IF(Main!AT233&gt;0,Main!AT233,"")</f>
        <v/>
      </c>
      <c r="AN232" s="259" t="str">
        <f>Main!BW233</f>
        <v xml:space="preserve">2305 (for processing) 4/30/2015, </v>
      </c>
    </row>
    <row r="233" spans="1:40" x14ac:dyDescent="0.25">
      <c r="A233" s="258">
        <f>Main!C234</f>
        <v>1082450</v>
      </c>
      <c r="B233" s="259" t="str">
        <f>Main!D234</f>
        <v>Cruz, Lawrence May Rafa</v>
      </c>
      <c r="C233" s="259" t="str">
        <f>Main!AH234</f>
        <v>Probationary</v>
      </c>
      <c r="D233" s="260">
        <f>Main!B234</f>
        <v>42121</v>
      </c>
      <c r="E233" s="260" t="str">
        <f>IF(Main!AI234&lt;1,"",Main!AI234)</f>
        <v>Jobstreet</v>
      </c>
      <c r="F233" s="260" t="str">
        <f>IF(Main!AJ234&lt;1,"",Main!AJ234)</f>
        <v/>
      </c>
      <c r="G233" s="260" t="str">
        <f>IF(Main!AK234&lt;1,"",Main!AK234)</f>
        <v/>
      </c>
      <c r="H233" s="259" t="str">
        <f>Main!Y234</f>
        <v>Senior Recruiter</v>
      </c>
      <c r="I233" s="259" t="str">
        <f>Main!Z234</f>
        <v>Level 2</v>
      </c>
      <c r="J233" s="259">
        <f>IF(Main!A234&lt;1,"",Main!A234)</f>
        <v>194</v>
      </c>
      <c r="K233" s="260">
        <f>IF(Main!AN234&gt;0,Main!AN234,"")</f>
        <v>31919</v>
      </c>
      <c r="L233" s="258" t="str">
        <f>IF(Main!Q234&gt;0,Main!Q234,"")</f>
        <v>lilluputian_22@gmail.com</v>
      </c>
      <c r="M233" s="410">
        <f>VALUE(IF(Main!S234&gt;0,Main!S234,""))</f>
        <v>9215227445</v>
      </c>
      <c r="N233" s="261" t="str">
        <f>Main!T234</f>
        <v/>
      </c>
      <c r="O233" s="258" t="str">
        <f>IF(Main!AO234&gt;0,Main!AO234,"")</f>
        <v/>
      </c>
      <c r="P233" s="258" t="str">
        <f>IF(Main!AP234&gt;0,Main!AP234,"")</f>
        <v/>
      </c>
      <c r="Q233" s="258" t="str">
        <f>IF(Main!AR234&gt;0,Main!AR234,"")</f>
        <v/>
      </c>
      <c r="R233" s="259" t="str">
        <f>IF(Main!AQ234&gt;0,Main!AQ234,"")</f>
        <v/>
      </c>
      <c r="S233" s="259" t="str">
        <f>IF(Main!BD234&gt;0,Main!BD234,"")</f>
        <v>33-9528169-6</v>
      </c>
      <c r="T233" s="259" t="str">
        <f>IF(Main!AX234&gt;0,Main!AX234,"")</f>
        <v>409-955-758</v>
      </c>
      <c r="U233" s="259" t="str">
        <f>IF(Main!BH234&gt;0,Main!BH234,"")</f>
        <v>01-051203425-5</v>
      </c>
      <c r="V233" s="268" t="str">
        <f>IF(Main!BF234&gt;0,Main!BF234,"")</f>
        <v>1210-1261-6321</v>
      </c>
      <c r="W233" s="263">
        <f>IF(Main!BS234&gt;0,Main!BS234,"")</f>
        <v>42124</v>
      </c>
      <c r="X233" s="263">
        <f>IF(Main!BT234&gt;0,Main!BT234,"")</f>
        <v>42124</v>
      </c>
      <c r="Y233" s="263">
        <f>IF(Main!BU234&gt;0,Main!BU234,"")</f>
        <v>42124</v>
      </c>
      <c r="Z233" s="263" t="str">
        <f>IF(Main!AS234&gt;0,Main!AS234,"")</f>
        <v/>
      </c>
      <c r="AA233" s="263" t="str">
        <f>IF(Main!BJ234&gt;0,Main!BJ234,"")</f>
        <v/>
      </c>
      <c r="AB233" s="263">
        <f>IF(Main!BC234&gt;0,Main!BC234,"")</f>
        <v>42124</v>
      </c>
      <c r="AC233" s="263">
        <f>IF(Main!AW234&gt;0,Main!AW234,"")</f>
        <v>42131</v>
      </c>
      <c r="AD233" s="263">
        <f>IF(Main!BG234&gt;0,Main!BG234,"")</f>
        <v>42124</v>
      </c>
      <c r="AE233" s="263">
        <f>IF(Main!BE234&gt;0,Main!BE234,"")</f>
        <v>42124</v>
      </c>
      <c r="AF233" s="263" t="str">
        <f>IF(Main!BM234&gt;0,Main!BM234,"")</f>
        <v/>
      </c>
      <c r="AG233" s="263" t="str">
        <f>IF(Main!BN234&gt;0,Main!BN234,"")</f>
        <v/>
      </c>
      <c r="AH233" s="263" t="str">
        <f>IF(Main!BO234&gt;0,Main!BO234,"")</f>
        <v/>
      </c>
      <c r="AI233" s="263" t="str">
        <f>IF(Main!BR234&gt;0,Main!BR234,"")</f>
        <v/>
      </c>
      <c r="AJ233" s="263" t="str">
        <f>IF(Main!BQ234&gt;0,Main!BQ234,"")</f>
        <v/>
      </c>
      <c r="AK233" s="263" t="str">
        <f>IF(Main!AV234&gt;0,Main!AV234,"")</f>
        <v/>
      </c>
      <c r="AL233" s="263" t="str">
        <f>IF(Main!AU234&gt;0,Main!AU234,"")</f>
        <v/>
      </c>
      <c r="AM233" s="263" t="str">
        <f>IF(Main!AT234&gt;0,Main!AT234,"")</f>
        <v/>
      </c>
      <c r="AN233" s="259" t="str">
        <f>Main!BW234</f>
        <v xml:space="preserve">1905 (for processing) 5/7/2015, 2305 (for processing) 5/7/2015, </v>
      </c>
    </row>
    <row r="234" spans="1:40" x14ac:dyDescent="0.25">
      <c r="A234" s="258">
        <f>Main!C235</f>
        <v>1082451</v>
      </c>
      <c r="B234" s="259" t="str">
        <f>Main!D235</f>
        <v>Domingo, John Michael Ronquillo</v>
      </c>
      <c r="C234" s="259" t="str">
        <f>Main!AH235</f>
        <v>Probationary</v>
      </c>
      <c r="D234" s="260">
        <f>Main!B235</f>
        <v>42121</v>
      </c>
      <c r="E234" s="260" t="str">
        <f>IF(Main!AI235&lt;1,"",Main!AI235)</f>
        <v>Jobstreet</v>
      </c>
      <c r="F234" s="260" t="str">
        <f>IF(Main!AJ235&lt;1,"",Main!AJ235)</f>
        <v/>
      </c>
      <c r="G234" s="260" t="str">
        <f>IF(Main!AK235&lt;1,"",Main!AK235)</f>
        <v/>
      </c>
      <c r="H234" s="259" t="str">
        <f>Main!Y235</f>
        <v>Senior Recruiter</v>
      </c>
      <c r="I234" s="259" t="str">
        <f>Main!Z235</f>
        <v>Level 2</v>
      </c>
      <c r="J234" s="259">
        <f>IF(Main!A235&lt;1,"",Main!A235)</f>
        <v>194</v>
      </c>
      <c r="K234" s="260">
        <f>IF(Main!AN235&gt;0,Main!AN235,"")</f>
        <v>32912</v>
      </c>
      <c r="L234" s="258" t="str">
        <f>IF(Main!Q235&gt;0,Main!Q235,"")</f>
        <v>johnvidex@gmail.com</v>
      </c>
      <c r="M234" s="410">
        <f>VALUE(IF(Main!S235&gt;0,Main!S235,""))</f>
        <v>9056669440</v>
      </c>
      <c r="N234" s="261" t="str">
        <f>Main!T235</f>
        <v/>
      </c>
      <c r="O234" s="258" t="str">
        <f>IF(Main!AO235&gt;0,Main!AO235,"")</f>
        <v/>
      </c>
      <c r="P234" s="258" t="str">
        <f>IF(Main!AP235&gt;0,Main!AP235,"")</f>
        <v/>
      </c>
      <c r="Q234" s="258" t="str">
        <f>IF(Main!AR235&gt;0,Main!AR235,"")</f>
        <v/>
      </c>
      <c r="R234" s="259" t="str">
        <f>IF(Main!AQ235&gt;0,Main!AQ235,"")</f>
        <v/>
      </c>
      <c r="S234" s="259" t="str">
        <f>IF(Main!BD235&gt;0,Main!BD235,"")</f>
        <v/>
      </c>
      <c r="T234" s="259" t="str">
        <f>IF(Main!AX235&gt;0,Main!AX235,"")</f>
        <v/>
      </c>
      <c r="U234" s="259" t="str">
        <f>IF(Main!BH235&gt;0,Main!BH235,"")</f>
        <v/>
      </c>
      <c r="V234" s="268" t="str">
        <f>IF(Main!BF235&gt;0,Main!BF235,"")</f>
        <v/>
      </c>
      <c r="W234" s="263">
        <f>IF(Main!BS235&gt;0,Main!BS235,"")</f>
        <v>42124</v>
      </c>
      <c r="X234" s="263">
        <f>IF(Main!BT235&gt;0,Main!BT235,"")</f>
        <v>42124</v>
      </c>
      <c r="Y234" s="263">
        <f>IF(Main!BU235&gt;0,Main!BU235,"")</f>
        <v>42124</v>
      </c>
      <c r="Z234" s="263" t="str">
        <f>IF(Main!AS235&gt;0,Main!AS235,"")</f>
        <v/>
      </c>
      <c r="AA234" s="263" t="str">
        <f>IF(Main!BJ235&gt;0,Main!BJ235,"")</f>
        <v/>
      </c>
      <c r="AB234" s="263" t="str">
        <f>IF(Main!BC235&gt;0,Main!BC235,"")</f>
        <v/>
      </c>
      <c r="AC234" s="263" t="str">
        <f>IF(Main!AW235&gt;0,Main!AW235,"")</f>
        <v/>
      </c>
      <c r="AD234" s="263" t="str">
        <f>IF(Main!BG235&gt;0,Main!BG235,"")</f>
        <v/>
      </c>
      <c r="AE234" s="263" t="str">
        <f>IF(Main!BE235&gt;0,Main!BE235,"")</f>
        <v/>
      </c>
      <c r="AF234" s="263" t="str">
        <f>IF(Main!BM235&gt;0,Main!BM235,"")</f>
        <v/>
      </c>
      <c r="AG234" s="263" t="str">
        <f>IF(Main!BN235&gt;0,Main!BN235,"")</f>
        <v/>
      </c>
      <c r="AH234" s="263" t="str">
        <f>IF(Main!BO235&gt;0,Main!BO235,"")</f>
        <v/>
      </c>
      <c r="AI234" s="263" t="str">
        <f>IF(Main!BR235&gt;0,Main!BR235,"")</f>
        <v/>
      </c>
      <c r="AJ234" s="263" t="str">
        <f>IF(Main!BQ235&gt;0,Main!BQ235,"")</f>
        <v/>
      </c>
      <c r="AK234" s="263" t="str">
        <f>IF(Main!AV235&gt;0,Main!AV235,"")</f>
        <v/>
      </c>
      <c r="AL234" s="263" t="str">
        <f>IF(Main!AU235&gt;0,Main!AU235,"")</f>
        <v/>
      </c>
      <c r="AM234" s="263" t="str">
        <f>IF(Main!AT235&gt;0,Main!AT235,"")</f>
        <v/>
      </c>
      <c r="AN234" s="259" t="str">
        <f>Main!BW235</f>
        <v/>
      </c>
    </row>
    <row r="235" spans="1:40" x14ac:dyDescent="0.25">
      <c r="A235" s="258">
        <f>Main!C236</f>
        <v>1082452</v>
      </c>
      <c r="B235" s="259" t="str">
        <f>Main!D236</f>
        <v>Gutierrez, Angelita Lasanas</v>
      </c>
      <c r="C235" s="259" t="str">
        <f>Main!AH236</f>
        <v>Probationary</v>
      </c>
      <c r="D235" s="260">
        <f>Main!B236</f>
        <v>42121</v>
      </c>
      <c r="E235" s="260" t="str">
        <f>IF(Main!AI236&lt;1,"",Main!AI236)</f>
        <v>ERP - Nicole Lasanas</v>
      </c>
      <c r="F235" s="260" t="str">
        <f>IF(Main!AJ236&lt;1,"",Main!AJ236)</f>
        <v>Nicole Lasanas</v>
      </c>
      <c r="G235" s="260" t="str">
        <f>IF(Main!AK236&lt;1,"",Main!AK236)</f>
        <v/>
      </c>
      <c r="H235" s="259" t="str">
        <f>Main!Y236</f>
        <v>Senior Recruiter</v>
      </c>
      <c r="I235" s="259" t="str">
        <f>Main!Z236</f>
        <v>Level 2</v>
      </c>
      <c r="J235" s="259">
        <f>IF(Main!A236&lt;1,"",Main!A236)</f>
        <v>194</v>
      </c>
      <c r="K235" s="260">
        <f>IF(Main!AN236&gt;0,Main!AN236,"")</f>
        <v>33790</v>
      </c>
      <c r="L235" s="258" t="str">
        <f>IF(Main!Q236&gt;0,Main!Q236,"")</f>
        <v>angelita_0592@yahoo.com</v>
      </c>
      <c r="M235" s="410">
        <f>VALUE(IF(Main!S236&gt;0,Main!S236,""))</f>
        <v>9268425085</v>
      </c>
      <c r="N235" s="261" t="str">
        <f>Main!T236</f>
        <v/>
      </c>
      <c r="O235" s="258" t="str">
        <f>IF(Main!AO236&gt;0,Main!AO236,"")</f>
        <v/>
      </c>
      <c r="P235" s="258" t="str">
        <f>IF(Main!AP236&gt;0,Main!AP236,"")</f>
        <v/>
      </c>
      <c r="Q235" s="258" t="str">
        <f>IF(Main!AR236&gt;0,Main!AR236,"")</f>
        <v/>
      </c>
      <c r="R235" s="259" t="str">
        <f>IF(Main!AQ236&gt;0,Main!AQ236,"")</f>
        <v/>
      </c>
      <c r="S235" s="259" t="str">
        <f>IF(Main!BD236&gt;0,Main!BD236,"")</f>
        <v/>
      </c>
      <c r="T235" s="259" t="str">
        <f>IF(Main!AX236&gt;0,Main!AX236,"")</f>
        <v/>
      </c>
      <c r="U235" s="259" t="str">
        <f>IF(Main!BH236&gt;0,Main!BH236,"")</f>
        <v/>
      </c>
      <c r="V235" s="268" t="str">
        <f>IF(Main!BF236&gt;0,Main!BF236,"")</f>
        <v/>
      </c>
      <c r="W235" s="263">
        <f>IF(Main!BS236&gt;0,Main!BS236,"")</f>
        <v>42124</v>
      </c>
      <c r="X235" s="263">
        <f>IF(Main!BT236&gt;0,Main!BT236,"")</f>
        <v>42124</v>
      </c>
      <c r="Y235" s="263">
        <f>IF(Main!BU236&gt;0,Main!BU236,"")</f>
        <v>42124</v>
      </c>
      <c r="Z235" s="263" t="str">
        <f>IF(Main!AS236&gt;0,Main!AS236,"")</f>
        <v/>
      </c>
      <c r="AA235" s="263" t="str">
        <f>IF(Main!BJ236&gt;0,Main!BJ236,"")</f>
        <v/>
      </c>
      <c r="AB235" s="263" t="str">
        <f>IF(Main!BC236&gt;0,Main!BC236,"")</f>
        <v/>
      </c>
      <c r="AC235" s="263" t="str">
        <f>IF(Main!AW236&gt;0,Main!AW236,"")</f>
        <v/>
      </c>
      <c r="AD235" s="263" t="str">
        <f>IF(Main!BG236&gt;0,Main!BG236,"")</f>
        <v/>
      </c>
      <c r="AE235" s="263" t="str">
        <f>IF(Main!BE236&gt;0,Main!BE236,"")</f>
        <v/>
      </c>
      <c r="AF235" s="263" t="str">
        <f>IF(Main!BM236&gt;0,Main!BM236,"")</f>
        <v/>
      </c>
      <c r="AG235" s="263" t="str">
        <f>IF(Main!BN236&gt;0,Main!BN236,"")</f>
        <v/>
      </c>
      <c r="AH235" s="263" t="str">
        <f>IF(Main!BO236&gt;0,Main!BO236,"")</f>
        <v/>
      </c>
      <c r="AI235" s="263" t="str">
        <f>IF(Main!BR236&gt;0,Main!BR236,"")</f>
        <v/>
      </c>
      <c r="AJ235" s="263" t="str">
        <f>IF(Main!BQ236&gt;0,Main!BQ236,"")</f>
        <v/>
      </c>
      <c r="AK235" s="263" t="str">
        <f>IF(Main!AV236&gt;0,Main!AV236,"")</f>
        <v/>
      </c>
      <c r="AL235" s="263" t="str">
        <f>IF(Main!AU236&gt;0,Main!AU236,"")</f>
        <v/>
      </c>
      <c r="AM235" s="263" t="str">
        <f>IF(Main!AT236&gt;0,Main!AT236,"")</f>
        <v/>
      </c>
      <c r="AN235" s="259" t="str">
        <f>Main!BW236</f>
        <v/>
      </c>
    </row>
    <row r="236" spans="1:40" x14ac:dyDescent="0.25">
      <c r="A236" s="258">
        <f>Main!C237</f>
        <v>1082453</v>
      </c>
      <c r="B236" s="259" t="str">
        <f>Main!D237</f>
        <v>Imbuido, Kathlene Gestiada</v>
      </c>
      <c r="C236" s="259" t="str">
        <f>Main!AH237</f>
        <v>Probationary</v>
      </c>
      <c r="D236" s="260">
        <f>Main!B237</f>
        <v>42121</v>
      </c>
      <c r="E236" s="260" t="str">
        <f>IF(Main!AI237&lt;1,"",Main!AI237)</f>
        <v>Jobstreet</v>
      </c>
      <c r="F236" s="260" t="str">
        <f>IF(Main!AJ237&lt;1,"",Main!AJ237)</f>
        <v/>
      </c>
      <c r="G236" s="260" t="str">
        <f>IF(Main!AK237&lt;1,"",Main!AK237)</f>
        <v/>
      </c>
      <c r="H236" s="259" t="str">
        <f>Main!Y237</f>
        <v>Senior Recruiter</v>
      </c>
      <c r="I236" s="259" t="str">
        <f>Main!Z237</f>
        <v>Level 2</v>
      </c>
      <c r="J236" s="259">
        <f>IF(Main!A237&lt;1,"",Main!A237)</f>
        <v>194</v>
      </c>
      <c r="K236" s="260">
        <f>IF(Main!AN237&gt;0,Main!AN237,"")</f>
        <v>33566</v>
      </c>
      <c r="L236" s="258" t="str">
        <f>IF(Main!Q237&gt;0,Main!Q237,"")</f>
        <v>katieimbuido@yahoo.com</v>
      </c>
      <c r="M236" s="410">
        <f>VALUE(IF(Main!S237&gt;0,Main!S237,""))</f>
        <v>9239517267</v>
      </c>
      <c r="N236" s="261" t="str">
        <f>Main!T237</f>
        <v/>
      </c>
      <c r="O236" s="258" t="str">
        <f>IF(Main!AO237&gt;0,Main!AO237,"")</f>
        <v>Lot 2 Blk 2 Ph 2 Mt. Apo Grand Valley Subd. Brgy Mahabang Parang Angono Rizal</v>
      </c>
      <c r="P236" s="258" t="str">
        <f>IF(Main!AP237&gt;0,Main!AP237,"")</f>
        <v>Lot 2 Blk 2 Ph 2 Mt. Apo Grand Valley Subd. Brgy Mahabang Parang Angono Rizal</v>
      </c>
      <c r="Q236" s="258" t="str">
        <f>IF(Main!AR237&gt;0,Main!AR237,"")</f>
        <v>Single</v>
      </c>
      <c r="R236" s="259" t="str">
        <f>IF(Main!AQ237&gt;0,Main!AQ237,"")</f>
        <v>Female</v>
      </c>
      <c r="S236" s="259" t="str">
        <f>IF(Main!BD237&gt;0,Main!BD237,"")</f>
        <v>34-3148569-9</v>
      </c>
      <c r="T236" s="259" t="str">
        <f>IF(Main!AX237&gt;0,Main!AX237,"")</f>
        <v>427-026-291</v>
      </c>
      <c r="U236" s="259" t="str">
        <f>IF(Main!BH237&gt;0,Main!BH237,"")</f>
        <v>01-051454330-0</v>
      </c>
      <c r="V236" s="268" t="str">
        <f>IF(Main!BF237&gt;0,Main!BF237,"")</f>
        <v>1210-6064-0763</v>
      </c>
      <c r="W236" s="263">
        <f>IF(Main!BS237&gt;0,Main!BS237,"")</f>
        <v>42124</v>
      </c>
      <c r="X236" s="263">
        <f>IF(Main!BT237&gt;0,Main!BT237,"")</f>
        <v>42124</v>
      </c>
      <c r="Y236" s="263">
        <f>IF(Main!BU237&gt;0,Main!BU237,"")</f>
        <v>42124</v>
      </c>
      <c r="Z236" s="263">
        <f>IF(Main!AS237&gt;0,Main!AS237,"")</f>
        <v>42125</v>
      </c>
      <c r="AA236" s="263" t="str">
        <f>IF(Main!BJ237&gt;0,Main!BJ237,"")</f>
        <v/>
      </c>
      <c r="AB236" s="263">
        <f>IF(Main!BC237&gt;0,Main!BC237,"")</f>
        <v>42129</v>
      </c>
      <c r="AC236" s="263">
        <f>IF(Main!AW237&gt;0,Main!AW237,"")</f>
        <v>42125</v>
      </c>
      <c r="AD236" s="263">
        <f>IF(Main!BG237&gt;0,Main!BG237,"")</f>
        <v>42125</v>
      </c>
      <c r="AE236" s="263">
        <f>IF(Main!BE237&gt;0,Main!BE237,"")</f>
        <v>42125</v>
      </c>
      <c r="AF236" s="263">
        <f>IF(Main!BM237&gt;0,Main!BM237,"")</f>
        <v>42129</v>
      </c>
      <c r="AG236" s="263" t="str">
        <f>IF(Main!BN237&gt;0,Main!BN237,"")</f>
        <v/>
      </c>
      <c r="AH236" s="263" t="str">
        <f>IF(Main!BO237&gt;0,Main!BO237,"")</f>
        <v/>
      </c>
      <c r="AI236" s="263" t="str">
        <f>IF(Main!BR237&gt;0,Main!BR237,"")</f>
        <v/>
      </c>
      <c r="AJ236" s="263">
        <f>IF(Main!BQ237&gt;0,Main!BQ237,"")</f>
        <v>42129</v>
      </c>
      <c r="AK236" s="263" t="str">
        <f>IF(Main!AV237&gt;0,Main!AV237,"")</f>
        <v/>
      </c>
      <c r="AL236" s="263">
        <f>IF(Main!AU237&gt;0,Main!AU237,"")</f>
        <v>42125</v>
      </c>
      <c r="AM236" s="263">
        <f>IF(Main!AT237&gt;0,Main!AT237,"")</f>
        <v>42125</v>
      </c>
      <c r="AN236" s="259" t="str">
        <f>Main!BW237</f>
        <v xml:space="preserve">1905 (for processing) 5/1/2015, 2305 (for processing) 5/1/2015, </v>
      </c>
    </row>
    <row r="237" spans="1:40" x14ac:dyDescent="0.25">
      <c r="A237" s="258">
        <f>Main!C238</f>
        <v>1082454</v>
      </c>
      <c r="B237" s="259" t="str">
        <f>Main!D238</f>
        <v>Jaime, Julius Dadiz</v>
      </c>
      <c r="C237" s="259" t="str">
        <f>Main!AH238</f>
        <v>Probationary</v>
      </c>
      <c r="D237" s="260">
        <f>Main!B238</f>
        <v>42121</v>
      </c>
      <c r="E237" s="260" t="str">
        <f>IF(Main!AI238&lt;1,"",Main!AI238)</f>
        <v>ERP - Gerome Gingco</v>
      </c>
      <c r="F237" s="260" t="str">
        <f>IF(Main!AJ238&lt;1,"",Main!AJ238)</f>
        <v>Gerome Gingco</v>
      </c>
      <c r="G237" s="260" t="str">
        <f>IF(Main!AK238&lt;1,"",Main!AK238)</f>
        <v/>
      </c>
      <c r="H237" s="259" t="str">
        <f>Main!Y238</f>
        <v>Senior Recruiter</v>
      </c>
      <c r="I237" s="259" t="str">
        <f>Main!Z238</f>
        <v>Level 1</v>
      </c>
      <c r="J237" s="259">
        <f>IF(Main!A238&lt;1,"",Main!A238)</f>
        <v>194</v>
      </c>
      <c r="K237" s="260">
        <f>IF(Main!AN238&gt;0,Main!AN238,"")</f>
        <v>32653</v>
      </c>
      <c r="L237" s="258" t="str">
        <f>IF(Main!Q238&gt;0,Main!Q238,"")</f>
        <v>melagnia_yoh25@yahoo.com</v>
      </c>
      <c r="M237" s="410">
        <f>VALUE(IF(Main!S238&gt;0,Main!S238,""))</f>
        <v>9153171212</v>
      </c>
      <c r="N237" s="261" t="str">
        <f>Main!T238</f>
        <v/>
      </c>
      <c r="O237" s="258" t="str">
        <f>IF(Main!AO238&gt;0,Main!AO238,"")</f>
        <v/>
      </c>
      <c r="P237" s="258" t="str">
        <f>IF(Main!AP238&gt;0,Main!AP238,"")</f>
        <v/>
      </c>
      <c r="Q237" s="258" t="str">
        <f>IF(Main!AR238&gt;0,Main!AR238,"")</f>
        <v/>
      </c>
      <c r="R237" s="259" t="str">
        <f>IF(Main!AQ238&gt;0,Main!AQ238,"")</f>
        <v/>
      </c>
      <c r="S237" s="259" t="str">
        <f>IF(Main!BD238&gt;0,Main!BD238,"")</f>
        <v>34-1163184-5</v>
      </c>
      <c r="T237" s="259" t="str">
        <f>IF(Main!AX238&gt;0,Main!AX238,"")</f>
        <v>262-103-040</v>
      </c>
      <c r="U237" s="259" t="str">
        <f>IF(Main!BH238&gt;0,Main!BH238,"")</f>
        <v>01-050913646-2</v>
      </c>
      <c r="V237" s="268" t="str">
        <f>IF(Main!BF238&gt;0,Main!BF238,"")</f>
        <v>1020-0046-8362</v>
      </c>
      <c r="W237" s="263">
        <f>IF(Main!BS238&gt;0,Main!BS238,"")</f>
        <v>42124</v>
      </c>
      <c r="X237" s="263">
        <f>IF(Main!BT238&gt;0,Main!BT238,"")</f>
        <v>42124</v>
      </c>
      <c r="Y237" s="263">
        <f>IF(Main!BU238&gt;0,Main!BU238,"")</f>
        <v>42124</v>
      </c>
      <c r="Z237" s="263" t="str">
        <f>IF(Main!AS238&gt;0,Main!AS238,"")</f>
        <v/>
      </c>
      <c r="AA237" s="263" t="str">
        <f>IF(Main!BJ238&gt;0,Main!BJ238,"")</f>
        <v/>
      </c>
      <c r="AB237" s="263">
        <f>IF(Main!BC238&gt;0,Main!BC238,"")</f>
        <v>42125</v>
      </c>
      <c r="AC237" s="263">
        <f>IF(Main!AW238&gt;0,Main!AW238,"")</f>
        <v>42132</v>
      </c>
      <c r="AD237" s="263">
        <f>IF(Main!BG238&gt;0,Main!BG238,"")</f>
        <v>42132</v>
      </c>
      <c r="AE237" s="263">
        <f>IF(Main!BE238&gt;0,Main!BE238,"")</f>
        <v>42132</v>
      </c>
      <c r="AF237" s="263">
        <f>IF(Main!BM238&gt;0,Main!BM238,"")</f>
        <v>42125</v>
      </c>
      <c r="AG237" s="263" t="str">
        <f>IF(Main!BN238&gt;0,Main!BN238,"")</f>
        <v/>
      </c>
      <c r="AH237" s="263" t="str">
        <f>IF(Main!BO238&gt;0,Main!BO238,"")</f>
        <v/>
      </c>
      <c r="AI237" s="263" t="str">
        <f>IF(Main!BR238&gt;0,Main!BR238,"")</f>
        <v/>
      </c>
      <c r="AJ237" s="263">
        <f>IF(Main!BQ238&gt;0,Main!BQ238,"")</f>
        <v>42125</v>
      </c>
      <c r="AK237" s="263" t="str">
        <f>IF(Main!AV238&gt;0,Main!AV238,"")</f>
        <v/>
      </c>
      <c r="AL237" s="263" t="str">
        <f>IF(Main!AU238&gt;0,Main!AU238,"")</f>
        <v/>
      </c>
      <c r="AM237" s="263" t="str">
        <f>IF(Main!AT238&gt;0,Main!AT238,"")</f>
        <v/>
      </c>
      <c r="AN237" s="259" t="str">
        <f>Main!BW238</f>
        <v/>
      </c>
    </row>
    <row r="238" spans="1:40" x14ac:dyDescent="0.25">
      <c r="A238" s="258">
        <f>Main!C239</f>
        <v>1082455</v>
      </c>
      <c r="B238" s="259" t="str">
        <f>Main!D239</f>
        <v>Niñonuevo, Mark Jabez Lugtu</v>
      </c>
      <c r="C238" s="259" t="str">
        <f>Main!AH239</f>
        <v>Probationary</v>
      </c>
      <c r="D238" s="260">
        <f>Main!B239</f>
        <v>42121</v>
      </c>
      <c r="E238" s="260" t="str">
        <f>IF(Main!AI239&lt;1,"",Main!AI239)</f>
        <v>Jobstreet</v>
      </c>
      <c r="F238" s="260" t="str">
        <f>IF(Main!AJ239&lt;1,"",Main!AJ239)</f>
        <v/>
      </c>
      <c r="G238" s="260" t="str">
        <f>IF(Main!AK239&lt;1,"",Main!AK239)</f>
        <v/>
      </c>
      <c r="H238" s="259" t="str">
        <f>Main!Y239</f>
        <v>Senior Recruiter</v>
      </c>
      <c r="I238" s="259" t="str">
        <f>Main!Z239</f>
        <v>Level 2</v>
      </c>
      <c r="J238" s="259">
        <f>IF(Main!A239&lt;1,"",Main!A239)</f>
        <v>194</v>
      </c>
      <c r="K238" s="260">
        <f>IF(Main!AN239&gt;0,Main!AN239,"")</f>
        <v>34293</v>
      </c>
      <c r="L238" s="258" t="str">
        <f>IF(Main!Q239&gt;0,Main!Q239,"")</f>
        <v>jabezimpt@yahoo.com.ph</v>
      </c>
      <c r="M238" s="410">
        <f>VALUE(IF(Main!S239&gt;0,Main!S239,""))</f>
        <v>9276337560</v>
      </c>
      <c r="N238" s="261" t="str">
        <f>Main!T239</f>
        <v/>
      </c>
      <c r="O238" s="258" t="str">
        <f>IF(Main!AO239&gt;0,Main!AO239,"")</f>
        <v>1351 Norte Alvarez Ext. Sta Ana. Cruz</v>
      </c>
      <c r="P238" s="258" t="str">
        <f>IF(Main!AP239&gt;0,Main!AP239,"")</f>
        <v>1351 Norte Alvarez Ext. Sta Ana. Cruz</v>
      </c>
      <c r="Q238" s="258" t="str">
        <f>IF(Main!AR239&gt;0,Main!AR239,"")</f>
        <v>Single</v>
      </c>
      <c r="R238" s="259" t="str">
        <f>IF(Main!AQ239&gt;0,Main!AQ239,"")</f>
        <v>Male</v>
      </c>
      <c r="S238" s="259" t="str">
        <f>IF(Main!BD239&gt;0,Main!BD239,"")</f>
        <v>34-3813011-2</v>
      </c>
      <c r="T238" s="259" t="str">
        <f>IF(Main!AX239&gt;0,Main!AX239,"")</f>
        <v>314-598-619</v>
      </c>
      <c r="U238" s="259" t="str">
        <f>IF(Main!BH239&gt;0,Main!BH239,"")</f>
        <v>01-051836633-0</v>
      </c>
      <c r="V238" s="268" t="str">
        <f>IF(Main!BF239&gt;0,Main!BF239,"")</f>
        <v/>
      </c>
      <c r="W238" s="263">
        <f>IF(Main!BS239&gt;0,Main!BS239,"")</f>
        <v>42124</v>
      </c>
      <c r="X238" s="263">
        <f>IF(Main!BT239&gt;0,Main!BT239,"")</f>
        <v>42124</v>
      </c>
      <c r="Y238" s="263">
        <f>IF(Main!BU239&gt;0,Main!BU239,"")</f>
        <v>42124</v>
      </c>
      <c r="Z238" s="263">
        <f>IF(Main!AS239&gt;0,Main!AS239,"")</f>
        <v>42124</v>
      </c>
      <c r="AA238" s="263" t="str">
        <f>IF(Main!BJ239&gt;0,Main!BJ239,"")</f>
        <v/>
      </c>
      <c r="AB238" s="263">
        <f>IF(Main!BC239&gt;0,Main!BC239,"")</f>
        <v>42133</v>
      </c>
      <c r="AC238" s="263">
        <f>IF(Main!AW239&gt;0,Main!AW239,"")</f>
        <v>42133</v>
      </c>
      <c r="AD238" s="263">
        <f>IF(Main!BG239&gt;0,Main!BG239,"")</f>
        <v>42133</v>
      </c>
      <c r="AE238" s="263" t="str">
        <f>IF(Main!BE239&gt;0,Main!BE239,"")</f>
        <v/>
      </c>
      <c r="AF238" s="263" t="str">
        <f>IF(Main!BM239&gt;0,Main!BM239,"")</f>
        <v/>
      </c>
      <c r="AG238" s="263" t="str">
        <f>IF(Main!BN239&gt;0,Main!BN239,"")</f>
        <v/>
      </c>
      <c r="AH238" s="263" t="str">
        <f>IF(Main!BO239&gt;0,Main!BO239,"")</f>
        <v/>
      </c>
      <c r="AI238" s="263">
        <f>IF(Main!BR239&gt;0,Main!BR239,"")</f>
        <v>42133</v>
      </c>
      <c r="AJ238" s="263" t="str">
        <f>IF(Main!BQ239&gt;0,Main!BQ239,"")</f>
        <v/>
      </c>
      <c r="AK238" s="263" t="str">
        <f>IF(Main!AV239&gt;0,Main!AV239,"")</f>
        <v/>
      </c>
      <c r="AL238" s="263">
        <f>IF(Main!AU239&gt;0,Main!AU239,"")</f>
        <v>42133</v>
      </c>
      <c r="AM238" s="263" t="str">
        <f>IF(Main!AT239&gt;0,Main!AT239,"")</f>
        <v/>
      </c>
      <c r="AN238" s="259" t="str">
        <f>Main!BW239</f>
        <v xml:space="preserve">1905 (for processing) 5/9/2015, 2305 (for processing) 5/9/2015, </v>
      </c>
    </row>
    <row r="239" spans="1:40" x14ac:dyDescent="0.25">
      <c r="A239" s="258">
        <f>Main!C240</f>
        <v>1082456</v>
      </c>
      <c r="B239" s="259" t="str">
        <f>Main!D240</f>
        <v>Nonato, Joerex Mendoza</v>
      </c>
      <c r="C239" s="259" t="str">
        <f>Main!AH240</f>
        <v>Probationary</v>
      </c>
      <c r="D239" s="260">
        <f>Main!B240</f>
        <v>42121</v>
      </c>
      <c r="E239" s="260" t="str">
        <f>IF(Main!AI240&lt;1,"",Main!AI240)</f>
        <v>Jobstreet</v>
      </c>
      <c r="F239" s="260" t="str">
        <f>IF(Main!AJ240&lt;1,"",Main!AJ240)</f>
        <v/>
      </c>
      <c r="G239" s="260" t="str">
        <f>IF(Main!AK240&lt;1,"",Main!AK240)</f>
        <v/>
      </c>
      <c r="H239" s="259" t="str">
        <f>Main!Y240</f>
        <v>Senior Recruiter</v>
      </c>
      <c r="I239" s="259" t="str">
        <f>Main!Z240</f>
        <v>Level 1</v>
      </c>
      <c r="J239" s="259">
        <f>IF(Main!A240&lt;1,"",Main!A240)</f>
        <v>194</v>
      </c>
      <c r="K239" s="260">
        <f>IF(Main!AN240&gt;0,Main!AN240,"")</f>
        <v>33144</v>
      </c>
      <c r="L239" s="258" t="str">
        <f>IF(Main!Q240&gt;0,Main!Q240,"")</f>
        <v>faithfulmaster111@gmail.com</v>
      </c>
      <c r="M239" s="410">
        <f>VALUE(IF(Main!S240&gt;0,Main!S240,""))</f>
        <v>9163274051</v>
      </c>
      <c r="N239" s="261" t="str">
        <f>Main!T240</f>
        <v/>
      </c>
      <c r="O239" s="258" t="str">
        <f>IF(Main!AO240&gt;0,Main!AO240,"")</f>
        <v/>
      </c>
      <c r="P239" s="258" t="str">
        <f>IF(Main!AP240&gt;0,Main!AP240,"")</f>
        <v/>
      </c>
      <c r="Q239" s="258" t="str">
        <f>IF(Main!AR240&gt;0,Main!AR240,"")</f>
        <v/>
      </c>
      <c r="R239" s="259" t="str">
        <f>IF(Main!AQ240&gt;0,Main!AQ240,"")</f>
        <v/>
      </c>
      <c r="S239" s="259" t="str">
        <f>IF(Main!BD240&gt;0,Main!BD240,"")</f>
        <v/>
      </c>
      <c r="T239" s="259" t="str">
        <f>IF(Main!AX240&gt;0,Main!AX240,"")</f>
        <v/>
      </c>
      <c r="U239" s="259" t="str">
        <f>IF(Main!BH240&gt;0,Main!BH240,"")</f>
        <v/>
      </c>
      <c r="V239" s="268" t="str">
        <f>IF(Main!BF240&gt;0,Main!BF240,"")</f>
        <v/>
      </c>
      <c r="W239" s="263">
        <f>IF(Main!BS240&gt;0,Main!BS240,"")</f>
        <v>42124</v>
      </c>
      <c r="X239" s="263">
        <f>IF(Main!BT240&gt;0,Main!BT240,"")</f>
        <v>42124</v>
      </c>
      <c r="Y239" s="263">
        <f>IF(Main!BU240&gt;0,Main!BU240,"")</f>
        <v>42124</v>
      </c>
      <c r="Z239" s="263" t="str">
        <f>IF(Main!AS240&gt;0,Main!AS240,"")</f>
        <v/>
      </c>
      <c r="AA239" s="263" t="str">
        <f>IF(Main!BJ240&gt;0,Main!BJ240,"")</f>
        <v/>
      </c>
      <c r="AB239" s="263" t="str">
        <f>IF(Main!BC240&gt;0,Main!BC240,"")</f>
        <v/>
      </c>
      <c r="AC239" s="263" t="str">
        <f>IF(Main!AW240&gt;0,Main!AW240,"")</f>
        <v/>
      </c>
      <c r="AD239" s="263" t="str">
        <f>IF(Main!BG240&gt;0,Main!BG240,"")</f>
        <v/>
      </c>
      <c r="AE239" s="263" t="str">
        <f>IF(Main!BE240&gt;0,Main!BE240,"")</f>
        <v/>
      </c>
      <c r="AF239" s="263" t="str">
        <f>IF(Main!BM240&gt;0,Main!BM240,"")</f>
        <v/>
      </c>
      <c r="AG239" s="263" t="str">
        <f>IF(Main!BN240&gt;0,Main!BN240,"")</f>
        <v/>
      </c>
      <c r="AH239" s="263" t="str">
        <f>IF(Main!BO240&gt;0,Main!BO240,"")</f>
        <v/>
      </c>
      <c r="AI239" s="263" t="str">
        <f>IF(Main!BR240&gt;0,Main!BR240,"")</f>
        <v/>
      </c>
      <c r="AJ239" s="263" t="str">
        <f>IF(Main!BQ240&gt;0,Main!BQ240,"")</f>
        <v/>
      </c>
      <c r="AK239" s="263" t="str">
        <f>IF(Main!AV240&gt;0,Main!AV240,"")</f>
        <v/>
      </c>
      <c r="AL239" s="263" t="str">
        <f>IF(Main!AU240&gt;0,Main!AU240,"")</f>
        <v/>
      </c>
      <c r="AM239" s="263" t="str">
        <f>IF(Main!AT240&gt;0,Main!AT240,"")</f>
        <v/>
      </c>
      <c r="AN239" s="259" t="str">
        <f>Main!BW240</f>
        <v/>
      </c>
    </row>
    <row r="240" spans="1:40" x14ac:dyDescent="0.25">
      <c r="A240" s="258">
        <f>Main!C241</f>
        <v>1082457</v>
      </c>
      <c r="B240" s="259" t="str">
        <f>Main!D241</f>
        <v>Pruna, Denise Kim Tulio</v>
      </c>
      <c r="C240" s="259" t="str">
        <f>Main!AH241</f>
        <v>Probationary</v>
      </c>
      <c r="D240" s="260">
        <f>Main!B241</f>
        <v>42121</v>
      </c>
      <c r="E240" s="260" t="str">
        <f>IF(Main!AI241&lt;1,"",Main!AI241)</f>
        <v>Jobstreet</v>
      </c>
      <c r="F240" s="260" t="str">
        <f>IF(Main!AJ241&lt;1,"",Main!AJ241)</f>
        <v/>
      </c>
      <c r="G240" s="260" t="str">
        <f>IF(Main!AK241&lt;1,"",Main!AK241)</f>
        <v/>
      </c>
      <c r="H240" s="259" t="str">
        <f>Main!Y241</f>
        <v>Senior Recruiter</v>
      </c>
      <c r="I240" s="259" t="str">
        <f>Main!Z241</f>
        <v>Level 2</v>
      </c>
      <c r="J240" s="259">
        <f>IF(Main!A241&lt;1,"",Main!A241)</f>
        <v>194</v>
      </c>
      <c r="K240" s="260">
        <f>IF(Main!AN241&gt;0,Main!AN241,"")</f>
        <v>33239</v>
      </c>
      <c r="L240" s="258" t="str">
        <f>IF(Main!Q241&gt;0,Main!Q241,"")</f>
        <v>denisekimpruna001@gmail.com</v>
      </c>
      <c r="M240" s="410">
        <f>VALUE(IF(Main!S241&gt;0,Main!S241,""))</f>
        <v>9266727986</v>
      </c>
      <c r="N240" s="261" t="str">
        <f>Main!T241</f>
        <v/>
      </c>
      <c r="O240" s="258" t="str">
        <f>IF(Main!AO241&gt;0,Main!AO241,"")</f>
        <v>2220 Kawangis St. Kaalinsabay Rd. Karangalan Vill. PH2C2 Manggahan Pasig City</v>
      </c>
      <c r="P240" s="258" t="str">
        <f>IF(Main!AP241&gt;0,Main!AP241,"")</f>
        <v>2220 Kawangis St. Kaalinsabay Rd. Karangalan Vill. PH2C2 Manggahan Pasig City</v>
      </c>
      <c r="Q240" s="258" t="str">
        <f>IF(Main!AR241&gt;0,Main!AR241,"")</f>
        <v>Single Parent</v>
      </c>
      <c r="R240" s="259" t="str">
        <f>IF(Main!AQ241&gt;0,Main!AQ241,"")</f>
        <v>Female</v>
      </c>
      <c r="S240" s="259" t="str">
        <f>IF(Main!BD241&gt;0,Main!BD241,"")</f>
        <v>34-0772482-1</v>
      </c>
      <c r="T240" s="259" t="str">
        <f>IF(Main!AX241&gt;0,Main!AX241,"")</f>
        <v>254-689-435</v>
      </c>
      <c r="U240" s="259" t="str">
        <f>IF(Main!BH241&gt;0,Main!BH241,"")</f>
        <v>01-050583675-3</v>
      </c>
      <c r="V240" s="268" t="str">
        <f>IF(Main!BF241&gt;0,Main!BF241,"")</f>
        <v>1210-8621-1657</v>
      </c>
      <c r="W240" s="263">
        <f>IF(Main!BS241&gt;0,Main!BS241,"")</f>
        <v>42124</v>
      </c>
      <c r="X240" s="263">
        <f>IF(Main!BT241&gt;0,Main!BT241,"")</f>
        <v>42124</v>
      </c>
      <c r="Y240" s="263">
        <f>IF(Main!BU241&gt;0,Main!BU241,"")</f>
        <v>42124</v>
      </c>
      <c r="Z240" s="263">
        <f>IF(Main!AS241&gt;0,Main!AS241,"")</f>
        <v>42124</v>
      </c>
      <c r="AA240" s="263">
        <f>IF(Main!BJ241&gt;0,Main!BJ241,"")</f>
        <v>42130</v>
      </c>
      <c r="AB240" s="263">
        <f>IF(Main!BC241&gt;0,Main!BC241,"")</f>
        <v>42130</v>
      </c>
      <c r="AC240" s="263">
        <f>IF(Main!AW241&gt;0,Main!AW241,"")</f>
        <v>42131</v>
      </c>
      <c r="AD240" s="263">
        <f>IF(Main!BG241&gt;0,Main!BG241,"")</f>
        <v>42133</v>
      </c>
      <c r="AE240" s="263">
        <f>IF(Main!BE241&gt;0,Main!BE241,"")</f>
        <v>42130</v>
      </c>
      <c r="AF240" s="263">
        <f>IF(Main!BM241&gt;0,Main!BM241,"")</f>
        <v>42124</v>
      </c>
      <c r="AG240" s="263" t="str">
        <f>IF(Main!BN241&gt;0,Main!BN241,"")</f>
        <v/>
      </c>
      <c r="AH240" s="263">
        <f>IF(Main!BO241&gt;0,Main!BO241,"")</f>
        <v>42124</v>
      </c>
      <c r="AI240" s="263" t="str">
        <f>IF(Main!BR241&gt;0,Main!BR241,"")</f>
        <v/>
      </c>
      <c r="AJ240" s="263">
        <f>IF(Main!BQ241&gt;0,Main!BQ241,"")</f>
        <v>42130</v>
      </c>
      <c r="AK240" s="263">
        <f>IF(Main!AV241&gt;0,Main!AV241,"")</f>
        <v>42133</v>
      </c>
      <c r="AL240" s="263">
        <f>IF(Main!AU241&gt;0,Main!AU241,"")</f>
        <v>42124</v>
      </c>
      <c r="AM240" s="263">
        <f>IF(Main!AT241&gt;0,Main!AT241,"")</f>
        <v>42124</v>
      </c>
      <c r="AN240" s="259" t="str">
        <f>Main!BW241</f>
        <v xml:space="preserve">1905 (for processing) 5/7/2015, 2305 (for processing) 5/7/2015, </v>
      </c>
    </row>
    <row r="241" spans="1:40" x14ac:dyDescent="0.25">
      <c r="A241" s="258">
        <f>Main!C242</f>
        <v>1082458</v>
      </c>
      <c r="B241" s="259" t="str">
        <f>Main!D242</f>
        <v>Reyes, Henrik Arevalo</v>
      </c>
      <c r="C241" s="259" t="str">
        <f>Main!AH242</f>
        <v>Probationary</v>
      </c>
      <c r="D241" s="260">
        <f>Main!B242</f>
        <v>42121</v>
      </c>
      <c r="E241" s="260" t="str">
        <f>IF(Main!AI242&lt;1,"",Main!AI242)</f>
        <v>Jobstreet</v>
      </c>
      <c r="F241" s="260" t="str">
        <f>IF(Main!AJ242&lt;1,"",Main!AJ242)</f>
        <v/>
      </c>
      <c r="G241" s="260" t="str">
        <f>IF(Main!AK242&lt;1,"",Main!AK242)</f>
        <v/>
      </c>
      <c r="H241" s="259" t="str">
        <f>Main!Y242</f>
        <v>Senior Recruiter</v>
      </c>
      <c r="I241" s="259" t="str">
        <f>Main!Z242</f>
        <v>Level 1</v>
      </c>
      <c r="J241" s="259">
        <f>IF(Main!A242&lt;1,"",Main!A242)</f>
        <v>194</v>
      </c>
      <c r="K241" s="260">
        <f>IF(Main!AN242&gt;0,Main!AN242,"")</f>
        <v>32107</v>
      </c>
      <c r="L241" s="258" t="str">
        <f>IF(Main!Q242&gt;0,Main!Q242,"")</f>
        <v>henrikreyes@hotmail.com</v>
      </c>
      <c r="M241" s="410">
        <f>VALUE(IF(Main!S242&gt;0,Main!S242,""))</f>
        <v>9266709133</v>
      </c>
      <c r="N241" s="261" t="str">
        <f>Main!T242</f>
        <v/>
      </c>
      <c r="O241" s="258" t="str">
        <f>IF(Main!AO242&gt;0,Main!AO242,"")</f>
        <v/>
      </c>
      <c r="P241" s="258" t="str">
        <f>IF(Main!AP242&gt;0,Main!AP242,"")</f>
        <v/>
      </c>
      <c r="Q241" s="258" t="str">
        <f>IF(Main!AR242&gt;0,Main!AR242,"")</f>
        <v/>
      </c>
      <c r="R241" s="259" t="str">
        <f>IF(Main!AQ242&gt;0,Main!AQ242,"")</f>
        <v/>
      </c>
      <c r="S241" s="259" t="str">
        <f>IF(Main!BD242&gt;0,Main!BD242,"")</f>
        <v/>
      </c>
      <c r="T241" s="259" t="str">
        <f>IF(Main!AX242&gt;0,Main!AX242,"")</f>
        <v/>
      </c>
      <c r="U241" s="259" t="str">
        <f>IF(Main!BH242&gt;0,Main!BH242,"")</f>
        <v/>
      </c>
      <c r="V241" s="268" t="str">
        <f>IF(Main!BF242&gt;0,Main!BF242,"")</f>
        <v/>
      </c>
      <c r="W241" s="263">
        <f>IF(Main!BS242&gt;0,Main!BS242,"")</f>
        <v>42124</v>
      </c>
      <c r="X241" s="263">
        <f>IF(Main!BT242&gt;0,Main!BT242,"")</f>
        <v>42124</v>
      </c>
      <c r="Y241" s="263">
        <f>IF(Main!BU242&gt;0,Main!BU242,"")</f>
        <v>42124</v>
      </c>
      <c r="Z241" s="263" t="str">
        <f>IF(Main!AS242&gt;0,Main!AS242,"")</f>
        <v/>
      </c>
      <c r="AA241" s="263" t="str">
        <f>IF(Main!BJ242&gt;0,Main!BJ242,"")</f>
        <v/>
      </c>
      <c r="AB241" s="263" t="str">
        <f>IF(Main!BC242&gt;0,Main!BC242,"")</f>
        <v/>
      </c>
      <c r="AC241" s="263" t="str">
        <f>IF(Main!AW242&gt;0,Main!AW242,"")</f>
        <v/>
      </c>
      <c r="AD241" s="263" t="str">
        <f>IF(Main!BG242&gt;0,Main!BG242,"")</f>
        <v/>
      </c>
      <c r="AE241" s="263" t="str">
        <f>IF(Main!BE242&gt;0,Main!BE242,"")</f>
        <v/>
      </c>
      <c r="AF241" s="263" t="str">
        <f>IF(Main!BM242&gt;0,Main!BM242,"")</f>
        <v/>
      </c>
      <c r="AG241" s="263" t="str">
        <f>IF(Main!BN242&gt;0,Main!BN242,"")</f>
        <v/>
      </c>
      <c r="AH241" s="263" t="str">
        <f>IF(Main!BO242&gt;0,Main!BO242,"")</f>
        <v/>
      </c>
      <c r="AI241" s="263" t="str">
        <f>IF(Main!BR242&gt;0,Main!BR242,"")</f>
        <v/>
      </c>
      <c r="AJ241" s="263" t="str">
        <f>IF(Main!BQ242&gt;0,Main!BQ242,"")</f>
        <v/>
      </c>
      <c r="AK241" s="263" t="str">
        <f>IF(Main!AV242&gt;0,Main!AV242,"")</f>
        <v/>
      </c>
      <c r="AL241" s="263" t="str">
        <f>IF(Main!AU242&gt;0,Main!AU242,"")</f>
        <v/>
      </c>
      <c r="AM241" s="263" t="str">
        <f>IF(Main!AT242&gt;0,Main!AT242,"")</f>
        <v/>
      </c>
      <c r="AN241" s="259" t="str">
        <f>Main!BW242</f>
        <v/>
      </c>
    </row>
    <row r="242" spans="1:40" x14ac:dyDescent="0.25">
      <c r="A242" s="258">
        <f>Main!C243</f>
        <v>1082459</v>
      </c>
      <c r="B242" s="259" t="str">
        <f>Main!D243</f>
        <v>Romero, Kristin Gianan</v>
      </c>
      <c r="C242" s="259" t="str">
        <f>Main!AH243</f>
        <v>Probationary</v>
      </c>
      <c r="D242" s="260">
        <f>Main!B243</f>
        <v>42121</v>
      </c>
      <c r="E242" s="260" t="str">
        <f>IF(Main!AI243&lt;1,"",Main!AI243)</f>
        <v>Jobstreet</v>
      </c>
      <c r="F242" s="260" t="str">
        <f>IF(Main!AJ243&lt;1,"",Main!AJ243)</f>
        <v/>
      </c>
      <c r="G242" s="260" t="str">
        <f>IF(Main!AK243&lt;1,"",Main!AK243)</f>
        <v/>
      </c>
      <c r="H242" s="259" t="str">
        <f>Main!Y243</f>
        <v>Senior Recruiter</v>
      </c>
      <c r="I242" s="259" t="str">
        <f>Main!Z243</f>
        <v>Level 2</v>
      </c>
      <c r="J242" s="259">
        <f>IF(Main!A243&lt;1,"",Main!A243)</f>
        <v>194</v>
      </c>
      <c r="K242" s="260">
        <f>IF(Main!AN243&gt;0,Main!AN243,"")</f>
        <v>32721</v>
      </c>
      <c r="L242" s="258" t="str">
        <f>IF(Main!Q243&gt;0,Main!Q243,"")</f>
        <v>romerokrstn@gmail.com</v>
      </c>
      <c r="M242" s="410">
        <f>VALUE(IF(Main!S243&gt;0,Main!S243,""))</f>
        <v>9275353169</v>
      </c>
      <c r="N242" s="261" t="str">
        <f>Main!T243</f>
        <v/>
      </c>
      <c r="O242" s="258" t="str">
        <f>IF(Main!AO243&gt;0,Main!AO243,"")</f>
        <v/>
      </c>
      <c r="P242" s="258" t="str">
        <f>IF(Main!AP243&gt;0,Main!AP243,"")</f>
        <v>Blk 10 Lot 2 Ph B Subd. Malagasang 1-A Imus, Cavite</v>
      </c>
      <c r="Q242" s="258" t="str">
        <f>IF(Main!AR243&gt;0,Main!AR243,"")</f>
        <v>Single</v>
      </c>
      <c r="R242" s="259" t="str">
        <f>IF(Main!AQ243&gt;0,Main!AQ243,"")</f>
        <v>Female</v>
      </c>
      <c r="S242" s="259" t="str">
        <f>IF(Main!BD243&gt;0,Main!BD243,"")</f>
        <v>05-0991856-7</v>
      </c>
      <c r="T242" s="259" t="str">
        <f>IF(Main!AX243&gt;0,Main!AX243,"")</f>
        <v>295-600-318</v>
      </c>
      <c r="U242" s="259" t="str">
        <f>IF(Main!BH243&gt;0,Main!BH243,"")</f>
        <v>01-050965788-8</v>
      </c>
      <c r="V242" s="268" t="str">
        <f>IF(Main!BF243&gt;0,Main!BF243,"")</f>
        <v>1210-6144-4944</v>
      </c>
      <c r="W242" s="263">
        <f>IF(Main!BS243&gt;0,Main!BS243,"")</f>
        <v>42124</v>
      </c>
      <c r="X242" s="263">
        <f>IF(Main!BT243&gt;0,Main!BT243,"")</f>
        <v>42124</v>
      </c>
      <c r="Y242" s="263">
        <f>IF(Main!BU243&gt;0,Main!BU243,"")</f>
        <v>42124</v>
      </c>
      <c r="Z242" s="263">
        <f>IF(Main!AS243&gt;0,Main!AS243,"")</f>
        <v>42125</v>
      </c>
      <c r="AA242" s="263">
        <f>IF(Main!BJ243&gt;0,Main!BJ243,"")</f>
        <v>42125</v>
      </c>
      <c r="AB242" s="263">
        <f>IF(Main!BC243&gt;0,Main!BC243,"")</f>
        <v>42125</v>
      </c>
      <c r="AC242" s="263">
        <f>IF(Main!AW243&gt;0,Main!AW243,"")</f>
        <v>42125</v>
      </c>
      <c r="AD242" s="263">
        <f>IF(Main!BG243&gt;0,Main!BG243,"")</f>
        <v>42125</v>
      </c>
      <c r="AE242" s="263">
        <f>IF(Main!BE243&gt;0,Main!BE243,"")</f>
        <v>42125</v>
      </c>
      <c r="AF242" s="263">
        <f>IF(Main!BM243&gt;0,Main!BM243,"")</f>
        <v>42125</v>
      </c>
      <c r="AG242" s="263" t="str">
        <f>IF(Main!BN243&gt;0,Main!BN243,"")</f>
        <v/>
      </c>
      <c r="AH242" s="263" t="str">
        <f>IF(Main!BO243&gt;0,Main!BO243,"")</f>
        <v/>
      </c>
      <c r="AI242" s="263" t="str">
        <f>IF(Main!BR243&gt;0,Main!BR243,"")</f>
        <v/>
      </c>
      <c r="AJ242" s="263">
        <f>IF(Main!BQ243&gt;0,Main!BQ243,"")</f>
        <v>42125</v>
      </c>
      <c r="AK242" s="263">
        <f>IF(Main!AV243&gt;0,Main!AV243,"")</f>
        <v>42125</v>
      </c>
      <c r="AL242" s="263">
        <f>IF(Main!AU243&gt;0,Main!AU243,"")</f>
        <v>42125</v>
      </c>
      <c r="AM242" s="263">
        <f>IF(Main!AT243&gt;0,Main!AT243,"")</f>
        <v>42125</v>
      </c>
      <c r="AN242" s="259" t="str">
        <f>Main!BW243</f>
        <v xml:space="preserve">1905 (for processing) 5/1/2015, 2305 (for processing) 5/1/2015, MDR 5/1/2015, </v>
      </c>
    </row>
    <row r="243" spans="1:40" x14ac:dyDescent="0.25">
      <c r="A243" s="258">
        <f>Main!C244</f>
        <v>1082460</v>
      </c>
      <c r="B243" s="259" t="str">
        <f>Main!D244</f>
        <v>Suarez, Carol Antaran</v>
      </c>
      <c r="C243" s="259" t="str">
        <f>Main!AH244</f>
        <v>Probationary</v>
      </c>
      <c r="D243" s="260">
        <f>Main!B244</f>
        <v>42121</v>
      </c>
      <c r="E243" s="260" t="str">
        <f>IF(Main!AI244&lt;1,"",Main!AI244)</f>
        <v>Jobstreet</v>
      </c>
      <c r="F243" s="260" t="str">
        <f>IF(Main!AJ244&lt;1,"",Main!AJ244)</f>
        <v/>
      </c>
      <c r="G243" s="260" t="str">
        <f>IF(Main!AK244&lt;1,"",Main!AK244)</f>
        <v/>
      </c>
      <c r="H243" s="259" t="str">
        <f>Main!Y244</f>
        <v>Senior Recruiter</v>
      </c>
      <c r="I243" s="259" t="str">
        <f>Main!Z244</f>
        <v>Level 1</v>
      </c>
      <c r="J243" s="259">
        <f>IF(Main!A244&lt;1,"",Main!A244)</f>
        <v>194</v>
      </c>
      <c r="K243" s="260">
        <f>IF(Main!AN244&gt;0,Main!AN244,"")</f>
        <v>34324</v>
      </c>
      <c r="L243" s="258" t="str">
        <f>IF(Main!Q244&gt;0,Main!Q244,"")</f>
        <v>carolsuarez19@gmail.com</v>
      </c>
      <c r="M243" s="410">
        <f>VALUE(IF(Main!S244&gt;0,Main!S244,""))</f>
        <v>9058067215</v>
      </c>
      <c r="N243" s="261" t="str">
        <f>Main!T244</f>
        <v/>
      </c>
      <c r="O243" s="258" t="str">
        <f>IF(Main!AO244&gt;0,Main!AO244,"")</f>
        <v>783 Int. 35 Kagandahan St. Tondo, Manila</v>
      </c>
      <c r="P243" s="258" t="str">
        <f>IF(Main!AP244&gt;0,Main!AP244,"")</f>
        <v>783 Int. 35 Kagandahan St. Tondo, Manila</v>
      </c>
      <c r="Q243" s="258" t="str">
        <f>IF(Main!AR244&gt;0,Main!AR244,"")</f>
        <v>Single</v>
      </c>
      <c r="R243" s="259" t="str">
        <f>IF(Main!AQ244&gt;0,Main!AQ244,"")</f>
        <v>Female</v>
      </c>
      <c r="S243" s="259" t="str">
        <f>IF(Main!BD244&gt;0,Main!BD244,"")</f>
        <v>34-4067527-0</v>
      </c>
      <c r="T243" s="259" t="str">
        <f>IF(Main!AX244&gt;0,Main!AX244,"")</f>
        <v>440-278-604</v>
      </c>
      <c r="U243" s="259" t="str">
        <f>IF(Main!BH244&gt;0,Main!BH244,"")</f>
        <v>02-026034550-9</v>
      </c>
      <c r="V243" s="268" t="str">
        <f>IF(Main!BF244&gt;0,Main!BF244,"")</f>
        <v>1210-9838-0042</v>
      </c>
      <c r="W243" s="263">
        <f>IF(Main!BS244&gt;0,Main!BS244,"")</f>
        <v>42124</v>
      </c>
      <c r="X243" s="263">
        <f>IF(Main!BT244&gt;0,Main!BT244,"")</f>
        <v>42124</v>
      </c>
      <c r="Y243" s="263">
        <f>IF(Main!BU244&gt;0,Main!BU244,"")</f>
        <v>42124</v>
      </c>
      <c r="Z243" s="263">
        <f>IF(Main!AS244&gt;0,Main!AS244,"")</f>
        <v>42124</v>
      </c>
      <c r="AA243" s="263" t="str">
        <f>IF(Main!BJ244&gt;0,Main!BJ244,"")</f>
        <v/>
      </c>
      <c r="AB243" s="263">
        <f>IF(Main!BC244&gt;0,Main!BC244,"")</f>
        <v>42124</v>
      </c>
      <c r="AC243" s="263">
        <f>IF(Main!AW244&gt;0,Main!AW244,"")</f>
        <v>42124</v>
      </c>
      <c r="AD243" s="263">
        <f>IF(Main!BG244&gt;0,Main!BG244,"")</f>
        <v>42124</v>
      </c>
      <c r="AE243" s="263">
        <f>IF(Main!BE244&gt;0,Main!BE244,"")</f>
        <v>42124</v>
      </c>
      <c r="AF243" s="263">
        <f>IF(Main!BM244&gt;0,Main!BM244,"")</f>
        <v>42124</v>
      </c>
      <c r="AG243" s="263" t="str">
        <f>IF(Main!BN244&gt;0,Main!BN244,"")</f>
        <v/>
      </c>
      <c r="AH243" s="263" t="str">
        <f>IF(Main!BO244&gt;0,Main!BO244,"")</f>
        <v/>
      </c>
      <c r="AI243" s="263" t="str">
        <f>IF(Main!BR244&gt;0,Main!BR244,"")</f>
        <v/>
      </c>
      <c r="AJ243" s="263" t="str">
        <f>IF(Main!BQ244&gt;0,Main!BQ244,"")</f>
        <v/>
      </c>
      <c r="AK243" s="263" t="str">
        <f>IF(Main!AV244&gt;0,Main!AV244,"")</f>
        <v/>
      </c>
      <c r="AL243" s="263">
        <f>IF(Main!AU244&gt;0,Main!AU244,"")</f>
        <v>42124</v>
      </c>
      <c r="AM243" s="263">
        <f>IF(Main!AT244&gt;0,Main!AT244,"")</f>
        <v>42124</v>
      </c>
      <c r="AN243" s="259" t="str">
        <f>Main!BW244</f>
        <v xml:space="preserve">1905 (for processing) 4/30/2015, 2305 (for processing) 4/30/2015, MDR 4/30/2015, </v>
      </c>
    </row>
    <row r="244" spans="1:40" x14ac:dyDescent="0.25">
      <c r="A244" s="258">
        <f>Main!C245</f>
        <v>1082461</v>
      </c>
      <c r="B244" s="259" t="str">
        <f>Main!D245</f>
        <v>Ventura, Toni Anne Domagas</v>
      </c>
      <c r="C244" s="259" t="str">
        <f>Main!AH245</f>
        <v>Probationary</v>
      </c>
      <c r="D244" s="260">
        <f>Main!B245</f>
        <v>42121</v>
      </c>
      <c r="E244" s="260" t="str">
        <f>IF(Main!AI245&lt;1,"",Main!AI245)</f>
        <v>Jobstreet</v>
      </c>
      <c r="F244" s="260" t="str">
        <f>IF(Main!AJ245&lt;1,"",Main!AJ245)</f>
        <v/>
      </c>
      <c r="G244" s="260" t="str">
        <f>IF(Main!AK245&lt;1,"",Main!AK245)</f>
        <v/>
      </c>
      <c r="H244" s="259" t="str">
        <f>Main!Y245</f>
        <v>Senior Recruiter</v>
      </c>
      <c r="I244" s="259" t="str">
        <f>Main!Z245</f>
        <v>Level 2</v>
      </c>
      <c r="J244" s="259">
        <f>IF(Main!A245&lt;1,"",Main!A245)</f>
        <v>194</v>
      </c>
      <c r="K244" s="260">
        <f>IF(Main!AN245&gt;0,Main!AN245,"")</f>
        <v>33789</v>
      </c>
      <c r="L244" s="258" t="str">
        <f>IF(Main!Q245&gt;0,Main!Q245,"")</f>
        <v>tonianne_ventura04@yahoo.com</v>
      </c>
      <c r="M244" s="410">
        <f>VALUE(IF(Main!S245&gt;0,Main!S245,""))</f>
        <v>9173549277</v>
      </c>
      <c r="N244" s="261" t="str">
        <f>Main!T245</f>
        <v/>
      </c>
      <c r="O244" s="258" t="str">
        <f>IF(Main!AO245&gt;0,Main!AO245,"")</f>
        <v/>
      </c>
      <c r="P244" s="258" t="str">
        <f>IF(Main!AP245&gt;0,Main!AP245,"")</f>
        <v/>
      </c>
      <c r="Q244" s="258" t="str">
        <f>IF(Main!AR245&gt;0,Main!AR245,"")</f>
        <v/>
      </c>
      <c r="R244" s="259" t="str">
        <f>IF(Main!AQ245&gt;0,Main!AQ245,"")</f>
        <v/>
      </c>
      <c r="S244" s="259" t="str">
        <f>IF(Main!BD245&gt;0,Main!BD245,"")</f>
        <v/>
      </c>
      <c r="T244" s="259" t="str">
        <f>IF(Main!AX245&gt;0,Main!AX245,"")</f>
        <v/>
      </c>
      <c r="U244" s="259" t="str">
        <f>IF(Main!BH245&gt;0,Main!BH245,"")</f>
        <v/>
      </c>
      <c r="V244" s="268" t="str">
        <f>IF(Main!BF245&gt;0,Main!BF245,"")</f>
        <v/>
      </c>
      <c r="W244" s="263">
        <f>IF(Main!BS245&gt;0,Main!BS245,"")</f>
        <v>42124</v>
      </c>
      <c r="X244" s="263">
        <f>IF(Main!BT245&gt;0,Main!BT245,"")</f>
        <v>42124</v>
      </c>
      <c r="Y244" s="263">
        <f>IF(Main!BU245&gt;0,Main!BU245,"")</f>
        <v>42124</v>
      </c>
      <c r="Z244" s="263" t="str">
        <f>IF(Main!AS245&gt;0,Main!AS245,"")</f>
        <v/>
      </c>
      <c r="AA244" s="263" t="str">
        <f>IF(Main!BJ245&gt;0,Main!BJ245,"")</f>
        <v/>
      </c>
      <c r="AB244" s="263" t="str">
        <f>IF(Main!BC245&gt;0,Main!BC245,"")</f>
        <v/>
      </c>
      <c r="AC244" s="263" t="str">
        <f>IF(Main!AW245&gt;0,Main!AW245,"")</f>
        <v/>
      </c>
      <c r="AD244" s="263" t="str">
        <f>IF(Main!BG245&gt;0,Main!BG245,"")</f>
        <v/>
      </c>
      <c r="AE244" s="263" t="str">
        <f>IF(Main!BE245&gt;0,Main!BE245,"")</f>
        <v/>
      </c>
      <c r="AF244" s="263" t="str">
        <f>IF(Main!BM245&gt;0,Main!BM245,"")</f>
        <v/>
      </c>
      <c r="AG244" s="263" t="str">
        <f>IF(Main!BN245&gt;0,Main!BN245,"")</f>
        <v/>
      </c>
      <c r="AH244" s="263" t="str">
        <f>IF(Main!BO245&gt;0,Main!BO245,"")</f>
        <v/>
      </c>
      <c r="AI244" s="263" t="str">
        <f>IF(Main!BR245&gt;0,Main!BR245,"")</f>
        <v/>
      </c>
      <c r="AJ244" s="263" t="str">
        <f>IF(Main!BQ245&gt;0,Main!BQ245,"")</f>
        <v/>
      </c>
      <c r="AK244" s="263" t="str">
        <f>IF(Main!AV245&gt;0,Main!AV245,"")</f>
        <v/>
      </c>
      <c r="AL244" s="263" t="str">
        <f>IF(Main!AU245&gt;0,Main!AU245,"")</f>
        <v/>
      </c>
      <c r="AM244" s="263" t="str">
        <f>IF(Main!AT245&gt;0,Main!AT245,"")</f>
        <v/>
      </c>
      <c r="AN244" s="259" t="str">
        <f>Main!BW245</f>
        <v/>
      </c>
    </row>
    <row r="245" spans="1:40" x14ac:dyDescent="0.25">
      <c r="A245" s="258">
        <f>Main!C246</f>
        <v>1082462</v>
      </c>
      <c r="B245" s="259" t="str">
        <f>Main!D246</f>
        <v>Villas, Stephen Capindo</v>
      </c>
      <c r="C245" s="259" t="str">
        <f>Main!AH246</f>
        <v>Probationary</v>
      </c>
      <c r="D245" s="260">
        <f>Main!B246</f>
        <v>42121</v>
      </c>
      <c r="E245" s="260" t="str">
        <f>IF(Main!AI246&lt;1,"",Main!AI246)</f>
        <v>Jobstreet</v>
      </c>
      <c r="F245" s="260" t="str">
        <f>IF(Main!AJ246&lt;1,"",Main!AJ246)</f>
        <v/>
      </c>
      <c r="G245" s="260" t="str">
        <f>IF(Main!AK246&lt;1,"",Main!AK246)</f>
        <v/>
      </c>
      <c r="H245" s="259" t="str">
        <f>Main!Y246</f>
        <v>Senior Recruiter</v>
      </c>
      <c r="I245" s="259" t="str">
        <f>Main!Z246</f>
        <v>Level 2</v>
      </c>
      <c r="J245" s="259">
        <f>IF(Main!A246&lt;1,"",Main!A246)</f>
        <v>194</v>
      </c>
      <c r="K245" s="260">
        <f>IF(Main!AN246&gt;0,Main!AN246,"")</f>
        <v>33823</v>
      </c>
      <c r="L245" s="258" t="str">
        <f>IF(Main!Q246&gt;0,Main!Q246,"")</f>
        <v>stepehen_villas07@yahoo.com</v>
      </c>
      <c r="M245" s="410">
        <f>VALUE(IF(Main!S246&gt;0,Main!S246,""))</f>
        <v>9168934055</v>
      </c>
      <c r="N245" s="261" t="str">
        <f>Main!T246</f>
        <v/>
      </c>
      <c r="O245" s="258" t="str">
        <f>IF(Main!AO246&gt;0,Main!AO246,"")</f>
        <v>1324 Lt. Garcia St. Baclaran, Parañaque</v>
      </c>
      <c r="P245" s="258" t="str">
        <f>IF(Main!AP246&gt;0,Main!AP246,"")</f>
        <v>Brgy. La Libertad, Titay Zambo. Sibugay</v>
      </c>
      <c r="Q245" s="258" t="str">
        <f>IF(Main!AR246&gt;0,Main!AR246,"")</f>
        <v>Single</v>
      </c>
      <c r="R245" s="259" t="str">
        <f>IF(Main!AQ246&gt;0,Main!AQ246,"")</f>
        <v>Male</v>
      </c>
      <c r="S245" s="259" t="str">
        <f>IF(Main!BD246&gt;0,Main!BD246,"")</f>
        <v>34-4004931-4</v>
      </c>
      <c r="T245" s="259" t="str">
        <f>IF(Main!AX246&gt;0,Main!AX246,"")</f>
        <v>283-572-153</v>
      </c>
      <c r="U245" s="259" t="str">
        <f>IF(Main!BH246&gt;0,Main!BH246,"")</f>
        <v>01-051677207-2</v>
      </c>
      <c r="V245" s="268" t="str">
        <f>IF(Main!BF246&gt;0,Main!BF246,"")</f>
        <v>1210-9552-0286</v>
      </c>
      <c r="W245" s="263">
        <f>IF(Main!BS246&gt;0,Main!BS246,"")</f>
        <v>42124</v>
      </c>
      <c r="X245" s="263">
        <f>IF(Main!BT246&gt;0,Main!BT246,"")</f>
        <v>42124</v>
      </c>
      <c r="Y245" s="263">
        <f>IF(Main!BU246&gt;0,Main!BU246,"")</f>
        <v>42124</v>
      </c>
      <c r="Z245" s="263">
        <f>IF(Main!AS246&gt;0,Main!AS246,"")</f>
        <v>42124</v>
      </c>
      <c r="AA245" s="263" t="str">
        <f>IF(Main!BJ246&gt;0,Main!BJ246,"")</f>
        <v/>
      </c>
      <c r="AB245" s="263">
        <f>IF(Main!BC246&gt;0,Main!BC246,"")</f>
        <v>42124</v>
      </c>
      <c r="AC245" s="263">
        <f>IF(Main!AW246&gt;0,Main!AW246,"")</f>
        <v>42124</v>
      </c>
      <c r="AD245" s="263" t="str">
        <f>IF(Main!BG246&gt;0,Main!BG246,"")</f>
        <v/>
      </c>
      <c r="AE245" s="263">
        <f>IF(Main!BE246&gt;0,Main!BE246,"")</f>
        <v>42137</v>
      </c>
      <c r="AF245" s="263">
        <f>IF(Main!BM246&gt;0,Main!BM246,"")</f>
        <v>42124</v>
      </c>
      <c r="AG245" s="263" t="str">
        <f>IF(Main!BN246&gt;0,Main!BN246,"")</f>
        <v/>
      </c>
      <c r="AH245" s="263" t="str">
        <f>IF(Main!BO246&gt;0,Main!BO246,"")</f>
        <v/>
      </c>
      <c r="AI245" s="263">
        <f>IF(Main!BR246&gt;0,Main!BR246,"")</f>
        <v>42137</v>
      </c>
      <c r="AJ245" s="263">
        <f>IF(Main!BQ246&gt;0,Main!BQ246,"")</f>
        <v>42124</v>
      </c>
      <c r="AK245" s="263" t="str">
        <f>IF(Main!AV246&gt;0,Main!AV246,"")</f>
        <v/>
      </c>
      <c r="AL245" s="263">
        <f>IF(Main!AU246&gt;0,Main!AU246,"")</f>
        <v>42124</v>
      </c>
      <c r="AM245" s="263">
        <f>IF(Main!AT246&gt;0,Main!AT246,"")</f>
        <v>42124</v>
      </c>
      <c r="AN245" s="259" t="str">
        <f>Main!BW246</f>
        <v xml:space="preserve">1905 (for processing) 4/30/2015, 2305 (for processing) 4/30/2015, NBI receipt 5/13/2015, </v>
      </c>
    </row>
    <row r="246" spans="1:40" x14ac:dyDescent="0.25">
      <c r="A246" s="258">
        <f>Main!C247</f>
        <v>1082463</v>
      </c>
      <c r="B246" s="259" t="str">
        <f>Main!D247</f>
        <v>Binoya, Jerelyn Ramirez</v>
      </c>
      <c r="C246" s="259" t="str">
        <f>Main!AH247</f>
        <v>Probationary</v>
      </c>
      <c r="D246" s="260">
        <f>Main!B247</f>
        <v>42123</v>
      </c>
      <c r="E246" s="260" t="str">
        <f>IF(Main!AI247&lt;1,"",Main!AI247)</f>
        <v>Jobstreet</v>
      </c>
      <c r="F246" s="260" t="str">
        <f>IF(Main!AJ247&lt;1,"",Main!AJ247)</f>
        <v/>
      </c>
      <c r="G246" s="260" t="str">
        <f>IF(Main!AK247&lt;1,"",Main!AK247)</f>
        <v/>
      </c>
      <c r="H246" s="259" t="str">
        <f>Main!Y247</f>
        <v>Accounting Supervisor</v>
      </c>
      <c r="I246" s="259" t="str">
        <f>Main!Z247</f>
        <v>N/A</v>
      </c>
      <c r="J246" s="259">
        <f>IF(Main!A247&lt;1,"",Main!A247)</f>
        <v>194</v>
      </c>
      <c r="K246" s="260">
        <f>IF(Main!AN247&gt;0,Main!AN247,"")</f>
        <v>31845</v>
      </c>
      <c r="L246" s="258" t="str">
        <f>IF(Main!Q247&gt;0,Main!Q247,"")</f>
        <v>je.ramirez.09@gmail.com</v>
      </c>
      <c r="M246" s="410">
        <f>VALUE(IF(Main!S247&gt;0,Main!S247,""))</f>
        <v>9064081817</v>
      </c>
      <c r="N246" s="261" t="str">
        <f>Main!T247</f>
        <v>9175921831</v>
      </c>
      <c r="O246" s="258" t="str">
        <f>IF(Main!AO247&gt;0,Main!AO247,"")</f>
        <v>Blk. 140 Lot 35 Phase 7 Sitio Imelda Upper Bicutan Taguig</v>
      </c>
      <c r="P246" s="258" t="str">
        <f>IF(Main!AP247&gt;0,Main!AP247,"")</f>
        <v>Blk. 9 Lot 12 Legian Subd. Carsadang Bago, Imus Cavite</v>
      </c>
      <c r="Q246" s="258" t="str">
        <f>IF(Main!AR247&gt;0,Main!AR247,"")</f>
        <v>Married</v>
      </c>
      <c r="R246" s="259" t="str">
        <f>IF(Main!AQ247&gt;0,Main!AQ247,"")</f>
        <v>Female</v>
      </c>
      <c r="S246" s="259" t="str">
        <f>IF(Main!BD247&gt;0,Main!BD247,"")</f>
        <v>34-0586888-6</v>
      </c>
      <c r="T246" s="259" t="str">
        <f>IF(Main!AX247&gt;0,Main!AX247,"")</f>
        <v>307-331-982</v>
      </c>
      <c r="U246" s="259" t="str">
        <f>IF(Main!BH247&gt;0,Main!BH247,"")</f>
        <v>01-050780349-6</v>
      </c>
      <c r="V246" s="268" t="str">
        <f>IF(Main!BF247&gt;0,Main!BF247,"")</f>
        <v>1211-4326-9101</v>
      </c>
      <c r="W246" s="263">
        <f>IF(Main!BS247&gt;0,Main!BS247,"")</f>
        <v>42118</v>
      </c>
      <c r="X246" s="263" t="str">
        <f>IF(Main!BT247&gt;0,Main!BT247,"")</f>
        <v/>
      </c>
      <c r="Y246" s="263">
        <f>IF(Main!BU247&gt;0,Main!BU247,"")</f>
        <v>42118</v>
      </c>
      <c r="Z246" s="263">
        <f>IF(Main!AS247&gt;0,Main!AS247,"")</f>
        <v>42128</v>
      </c>
      <c r="AA246" s="263" t="str">
        <f>IF(Main!BJ247&gt;0,Main!BJ247,"")</f>
        <v/>
      </c>
      <c r="AB246" s="263">
        <f>IF(Main!BC247&gt;0,Main!BC247,"")</f>
        <v>42128</v>
      </c>
      <c r="AC246" s="263">
        <f>IF(Main!AW247&gt;0,Main!AW247,"")</f>
        <v>42128</v>
      </c>
      <c r="AD246" s="263">
        <f>IF(Main!BG247&gt;0,Main!BG247,"")</f>
        <v>42132</v>
      </c>
      <c r="AE246" s="263">
        <f>IF(Main!BE247&gt;0,Main!BE247,"")</f>
        <v>42128</v>
      </c>
      <c r="AF246" s="263">
        <f>IF(Main!BM247&gt;0,Main!BM247,"")</f>
        <v>42128</v>
      </c>
      <c r="AG246" s="263">
        <f>IF(Main!BN247&gt;0,Main!BN247,"")</f>
        <v>42128</v>
      </c>
      <c r="AH246" s="263">
        <f>IF(Main!BO247&gt;0,Main!BO247,"")</f>
        <v>42128</v>
      </c>
      <c r="AI246" s="263" t="str">
        <f>IF(Main!BR247&gt;0,Main!BR247,"")</f>
        <v/>
      </c>
      <c r="AJ246" s="263">
        <f>IF(Main!BQ247&gt;0,Main!BQ247,"")</f>
        <v>42128</v>
      </c>
      <c r="AK246" s="263">
        <f>IF(Main!AV247&gt;0,Main!AV247,"")</f>
        <v>42126</v>
      </c>
      <c r="AL246" s="263">
        <f>IF(Main!AU247&gt;0,Main!AU247,"")</f>
        <v>42128</v>
      </c>
      <c r="AM246" s="263">
        <f>IF(Main!AT247&gt;0,Main!AT247,"")</f>
        <v>42128</v>
      </c>
      <c r="AN246" s="259" t="str">
        <f>Main!BW247</f>
        <v xml:space="preserve">1905 (for processing) 5/4/2015, 2305 (for processing) 5/4/2015, MDR 5/8/2015, </v>
      </c>
    </row>
    <row r="247" spans="1:40" x14ac:dyDescent="0.25">
      <c r="A247" s="258">
        <f>Main!C248</f>
        <v>1082464</v>
      </c>
      <c r="B247" s="259" t="str">
        <f>Main!D248</f>
        <v>Barrion, Pauline Matta</v>
      </c>
      <c r="C247" s="259" t="str">
        <f>Main!AH248</f>
        <v>Probationary</v>
      </c>
      <c r="D247" s="260">
        <f>Main!B248</f>
        <v>42128</v>
      </c>
      <c r="E247" s="260" t="str">
        <f>IF(Main!AI248&lt;1,"",Main!AI248)</f>
        <v>Jobstreet</v>
      </c>
      <c r="F247" s="260" t="str">
        <f>IF(Main!AJ248&lt;1,"",Main!AJ248)</f>
        <v/>
      </c>
      <c r="G247" s="260" t="str">
        <f>IF(Main!AK248&lt;1,"",Main!AK248)</f>
        <v/>
      </c>
      <c r="H247" s="259" t="str">
        <f>Main!Y248</f>
        <v>Training Researcher</v>
      </c>
      <c r="I247" s="259" t="str">
        <f>Main!Z248</f>
        <v>N/A</v>
      </c>
      <c r="J247" s="259">
        <f>IF(Main!A248&lt;1,"",Main!A248)</f>
        <v>195</v>
      </c>
      <c r="K247" s="260">
        <f>IF(Main!AN248&gt;0,Main!AN248,"")</f>
        <v>33807</v>
      </c>
      <c r="L247" s="258" t="str">
        <f>IF(Main!Q248&gt;0,Main!Q248,"")</f>
        <v>pauline_m_barrion@yahoo.com</v>
      </c>
      <c r="M247" s="410">
        <f>VALUE(IF(Main!S248&gt;0,Main!S248,""))</f>
        <v>9295140183</v>
      </c>
      <c r="N247" s="261" t="str">
        <f>Main!T248</f>
        <v/>
      </c>
      <c r="O247" s="258" t="str">
        <f>IF(Main!AO248&gt;0,Main!AO248,"")</f>
        <v/>
      </c>
      <c r="P247" s="258" t="str">
        <f>IF(Main!AP248&gt;0,Main!AP248,"")</f>
        <v/>
      </c>
      <c r="Q247" s="258" t="str">
        <f>IF(Main!AR248&gt;0,Main!AR248,"")</f>
        <v/>
      </c>
      <c r="R247" s="259" t="str">
        <f>IF(Main!AQ248&gt;0,Main!AQ248,"")</f>
        <v/>
      </c>
      <c r="S247" s="259" t="str">
        <f>IF(Main!BD248&gt;0,Main!BD248,"")</f>
        <v>04-2178703-8</v>
      </c>
      <c r="T247" s="259" t="str">
        <f>IF(Main!AX248&gt;0,Main!AX248,"")</f>
        <v>287-215-241</v>
      </c>
      <c r="U247" s="259" t="str">
        <f>IF(Main!BH248&gt;0,Main!BH248,"")</f>
        <v>01-051517563-1</v>
      </c>
      <c r="V247" s="268" t="str">
        <f>IF(Main!BF248&gt;0,Main!BF248,"")</f>
        <v>1211-1188-2060</v>
      </c>
      <c r="W247" s="263">
        <f>IF(Main!BS248&gt;0,Main!BS248,"")</f>
        <v>42128</v>
      </c>
      <c r="X247" s="263">
        <f>IF(Main!BT248&gt;0,Main!BT248,"")</f>
        <v>42128</v>
      </c>
      <c r="Y247" s="263">
        <f>IF(Main!BU248&gt;0,Main!BU248,"")</f>
        <v>42128</v>
      </c>
      <c r="Z247" s="263" t="str">
        <f>IF(Main!AS248&gt;0,Main!AS248,"")</f>
        <v/>
      </c>
      <c r="AA247" s="263">
        <f>IF(Main!BJ248&gt;0,Main!BJ248,"")</f>
        <v>42139</v>
      </c>
      <c r="AB247" s="263">
        <f>IF(Main!BC248&gt;0,Main!BC248,"")</f>
        <v>42139</v>
      </c>
      <c r="AC247" s="263">
        <f>IF(Main!AW248&gt;0,Main!AW248,"")</f>
        <v>42139</v>
      </c>
      <c r="AD247" s="263">
        <f>IF(Main!BG248&gt;0,Main!BG248,"")</f>
        <v>42139</v>
      </c>
      <c r="AE247" s="263">
        <f>IF(Main!BE248&gt;0,Main!BE248,"")</f>
        <v>42139</v>
      </c>
      <c r="AF247" s="263">
        <f>IF(Main!BM248&gt;0,Main!BM248,"")</f>
        <v>42139</v>
      </c>
      <c r="AG247" s="263" t="str">
        <f>IF(Main!BN248&gt;0,Main!BN248,"")</f>
        <v/>
      </c>
      <c r="AH247" s="263" t="str">
        <f>IF(Main!BO248&gt;0,Main!BO248,"")</f>
        <v/>
      </c>
      <c r="AI247" s="263">
        <f>IF(Main!BR248&gt;0,Main!BR248,"")</f>
        <v>42139</v>
      </c>
      <c r="AJ247" s="263">
        <f>IF(Main!BQ248&gt;0,Main!BQ248,"")</f>
        <v>42139</v>
      </c>
      <c r="AK247" s="263" t="str">
        <f>IF(Main!AV248&gt;0,Main!AV248,"")</f>
        <v/>
      </c>
      <c r="AL247" s="263" t="str">
        <f>IF(Main!AU248&gt;0,Main!AU248,"")</f>
        <v/>
      </c>
      <c r="AM247" s="263" t="str">
        <f>IF(Main!AT248&gt;0,Main!AT248,"")</f>
        <v/>
      </c>
      <c r="AN247" s="259" t="str">
        <f>Main!BW248</f>
        <v xml:space="preserve">1905 (for processing) 5/15/2015, MDR 5/15/2015, </v>
      </c>
    </row>
    <row r="248" spans="1:40" x14ac:dyDescent="0.25">
      <c r="A248" s="258">
        <f>Main!C249</f>
        <v>1082465</v>
      </c>
      <c r="B248" s="259" t="str">
        <f>Main!D249</f>
        <v>Escover, Jana Patricia  Sunpayco</v>
      </c>
      <c r="C248" s="259" t="str">
        <f>Main!AH249</f>
        <v>Probationary</v>
      </c>
      <c r="D248" s="260">
        <f>Main!B249</f>
        <v>42128</v>
      </c>
      <c r="E248" s="260" t="str">
        <f>IF(Main!AI249&lt;1,"",Main!AI249)</f>
        <v>Jobstreet</v>
      </c>
      <c r="F248" s="260" t="str">
        <f>IF(Main!AJ249&lt;1,"",Main!AJ249)</f>
        <v/>
      </c>
      <c r="G248" s="260" t="str">
        <f>IF(Main!AK249&lt;1,"",Main!AK249)</f>
        <v/>
      </c>
      <c r="H248" s="259" t="str">
        <f>Main!Y249</f>
        <v>Recruiter- Consumer Sales</v>
      </c>
      <c r="I248" s="259" t="str">
        <f>Main!Z249</f>
        <v>Level 0</v>
      </c>
      <c r="J248" s="259">
        <f>IF(Main!A249&lt;1,"",Main!A249)</f>
        <v>195</v>
      </c>
      <c r="K248" s="260">
        <f>IF(Main!AN249&gt;0,Main!AN249,"")</f>
        <v>33375</v>
      </c>
      <c r="L248" s="258" t="str">
        <f>IF(Main!Q249&gt;0,Main!Q249,"")</f>
        <v>jana_escover@yahoo.com</v>
      </c>
      <c r="M248" s="410">
        <f>VALUE(IF(Main!S249&gt;0,Main!S249,""))</f>
        <v>9164645639</v>
      </c>
      <c r="N248" s="261" t="str">
        <f>Main!T249</f>
        <v/>
      </c>
      <c r="O248" s="258" t="str">
        <f>IF(Main!AO249&gt;0,Main!AO249,"")</f>
        <v/>
      </c>
      <c r="P248" s="258" t="str">
        <f>IF(Main!AP249&gt;0,Main!AP249,"")</f>
        <v/>
      </c>
      <c r="Q248" s="258" t="str">
        <f>IF(Main!AR249&gt;0,Main!AR249,"")</f>
        <v/>
      </c>
      <c r="R248" s="259" t="str">
        <f>IF(Main!AQ249&gt;0,Main!AQ249,"")</f>
        <v/>
      </c>
      <c r="S248" s="259" t="str">
        <f>IF(Main!BD249&gt;0,Main!BD249,"")</f>
        <v/>
      </c>
      <c r="T248" s="259" t="str">
        <f>IF(Main!AX249&gt;0,Main!AX249,"")</f>
        <v/>
      </c>
      <c r="U248" s="259" t="str">
        <f>IF(Main!BH249&gt;0,Main!BH249,"")</f>
        <v/>
      </c>
      <c r="V248" s="268" t="str">
        <f>IF(Main!BF249&gt;0,Main!BF249,"")</f>
        <v/>
      </c>
      <c r="W248" s="263">
        <f>IF(Main!BS249&gt;0,Main!BS249,"")</f>
        <v>42128</v>
      </c>
      <c r="X248" s="263">
        <f>IF(Main!BT249&gt;0,Main!BT249,"")</f>
        <v>42128</v>
      </c>
      <c r="Y248" s="263">
        <f>IF(Main!BU249&gt;0,Main!BU249,"")</f>
        <v>42128</v>
      </c>
      <c r="Z248" s="263" t="str">
        <f>IF(Main!AS249&gt;0,Main!AS249,"")</f>
        <v/>
      </c>
      <c r="AA248" s="263" t="str">
        <f>IF(Main!BJ249&gt;0,Main!BJ249,"")</f>
        <v/>
      </c>
      <c r="AB248" s="263" t="str">
        <f>IF(Main!BC249&gt;0,Main!BC249,"")</f>
        <v/>
      </c>
      <c r="AC248" s="263" t="str">
        <f>IF(Main!AW249&gt;0,Main!AW249,"")</f>
        <v/>
      </c>
      <c r="AD248" s="263" t="str">
        <f>IF(Main!BG249&gt;0,Main!BG249,"")</f>
        <v/>
      </c>
      <c r="AE248" s="263" t="str">
        <f>IF(Main!BE249&gt;0,Main!BE249,"")</f>
        <v/>
      </c>
      <c r="AF248" s="263" t="str">
        <f>IF(Main!BM249&gt;0,Main!BM249,"")</f>
        <v/>
      </c>
      <c r="AG248" s="263" t="str">
        <f>IF(Main!BN249&gt;0,Main!BN249,"")</f>
        <v/>
      </c>
      <c r="AH248" s="263" t="str">
        <f>IF(Main!BO249&gt;0,Main!BO249,"")</f>
        <v/>
      </c>
      <c r="AI248" s="263" t="str">
        <f>IF(Main!BR249&gt;0,Main!BR249,"")</f>
        <v/>
      </c>
      <c r="AJ248" s="263" t="str">
        <f>IF(Main!BQ249&gt;0,Main!BQ249,"")</f>
        <v/>
      </c>
      <c r="AK248" s="263" t="str">
        <f>IF(Main!AV249&gt;0,Main!AV249,"")</f>
        <v/>
      </c>
      <c r="AL248" s="263" t="str">
        <f>IF(Main!AU249&gt;0,Main!AU249,"")</f>
        <v/>
      </c>
      <c r="AM248" s="263" t="str">
        <f>IF(Main!AT249&gt;0,Main!AT249,"")</f>
        <v/>
      </c>
      <c r="AN248" s="259" t="str">
        <f>Main!BW249</f>
        <v/>
      </c>
    </row>
    <row r="249" spans="1:40" x14ac:dyDescent="0.25">
      <c r="A249" s="258">
        <f>Main!C250</f>
        <v>1082466</v>
      </c>
      <c r="B249" s="259" t="str">
        <f>Main!D250</f>
        <v>Delos Santos, Carina Matorgo</v>
      </c>
      <c r="C249" s="259" t="str">
        <f>Main!AH250</f>
        <v>Probationary</v>
      </c>
      <c r="D249" s="260">
        <f>Main!B250</f>
        <v>42128</v>
      </c>
      <c r="E249" s="260" t="str">
        <f>IF(Main!AI250&lt;1,"",Main!AI250)</f>
        <v>Jobstreet</v>
      </c>
      <c r="F249" s="260" t="str">
        <f>IF(Main!AJ250&lt;1,"",Main!AJ250)</f>
        <v/>
      </c>
      <c r="G249" s="260" t="str">
        <f>IF(Main!AK250&lt;1,"",Main!AK250)</f>
        <v/>
      </c>
      <c r="H249" s="259" t="str">
        <f>Main!Y250</f>
        <v>Recruiter- Consumer Sales</v>
      </c>
      <c r="I249" s="259" t="str">
        <f>Main!Z250</f>
        <v>Level 0</v>
      </c>
      <c r="J249" s="259">
        <f>IF(Main!A250&lt;1,"",Main!A250)</f>
        <v>195</v>
      </c>
      <c r="K249" s="260">
        <f>IF(Main!AN250&gt;0,Main!AN250,"")</f>
        <v>33295</v>
      </c>
      <c r="L249" s="258" t="str">
        <f>IF(Main!Q250&gt;0,Main!Q250,"")</f>
        <v>carinamdelossantos@gmail.com</v>
      </c>
      <c r="M249" s="410">
        <f>VALUE(IF(Main!S250&gt;0,Main!S250,""))</f>
        <v>9178069081</v>
      </c>
      <c r="N249" s="261" t="str">
        <f>Main!T250</f>
        <v/>
      </c>
      <c r="O249" s="258" t="str">
        <f>IF(Main!AO250&gt;0,Main!AO250,"")</f>
        <v/>
      </c>
      <c r="P249" s="258" t="str">
        <f>IF(Main!AP250&gt;0,Main!AP250,"")</f>
        <v/>
      </c>
      <c r="Q249" s="258" t="str">
        <f>IF(Main!AR250&gt;0,Main!AR250,"")</f>
        <v/>
      </c>
      <c r="R249" s="259" t="str">
        <f>IF(Main!AQ250&gt;0,Main!AQ250,"")</f>
        <v/>
      </c>
      <c r="S249" s="259" t="str">
        <f>IF(Main!BD250&gt;0,Main!BD250,"")</f>
        <v>34-2414060-8</v>
      </c>
      <c r="T249" s="259" t="str">
        <f>IF(Main!AX250&gt;0,Main!AX250,"")</f>
        <v>272-763-979</v>
      </c>
      <c r="U249" s="259" t="str">
        <f>IF(Main!BH250&gt;0,Main!BH250,"")</f>
        <v/>
      </c>
      <c r="V249" s="268" t="str">
        <f>IF(Main!BF250&gt;0,Main!BF250,"")</f>
        <v>1210-5068-6209</v>
      </c>
      <c r="W249" s="263">
        <f>IF(Main!BS250&gt;0,Main!BS250,"")</f>
        <v>42128</v>
      </c>
      <c r="X249" s="263">
        <f>IF(Main!BT250&gt;0,Main!BT250,"")</f>
        <v>42128</v>
      </c>
      <c r="Y249" s="263">
        <f>IF(Main!BU250&gt;0,Main!BU250,"")</f>
        <v>42128</v>
      </c>
      <c r="Z249" s="263" t="str">
        <f>IF(Main!AS250&gt;0,Main!AS250,"")</f>
        <v/>
      </c>
      <c r="AA249" s="263" t="str">
        <f>IF(Main!BJ250&gt;0,Main!BJ250,"")</f>
        <v/>
      </c>
      <c r="AB249" s="263">
        <f>IF(Main!BC250&gt;0,Main!BC250,"")</f>
        <v>42131</v>
      </c>
      <c r="AC249" s="263">
        <f>IF(Main!AW250&gt;0,Main!AW250,"")</f>
        <v>42131</v>
      </c>
      <c r="AD249" s="263" t="str">
        <f>IF(Main!BG250&gt;0,Main!BG250,"")</f>
        <v/>
      </c>
      <c r="AE249" s="263">
        <f>IF(Main!BE250&gt;0,Main!BE250,"")</f>
        <v>42131</v>
      </c>
      <c r="AF249" s="263" t="str">
        <f>IF(Main!BM250&gt;0,Main!BM250,"")</f>
        <v/>
      </c>
      <c r="AG249" s="263" t="str">
        <f>IF(Main!BN250&gt;0,Main!BN250,"")</f>
        <v/>
      </c>
      <c r="AH249" s="263" t="str">
        <f>IF(Main!BO250&gt;0,Main!BO250,"")</f>
        <v/>
      </c>
      <c r="AI249" s="263" t="str">
        <f>IF(Main!BR250&gt;0,Main!BR250,"")</f>
        <v/>
      </c>
      <c r="AJ249" s="263" t="str">
        <f>IF(Main!BQ250&gt;0,Main!BQ250,"")</f>
        <v/>
      </c>
      <c r="AK249" s="263" t="str">
        <f>IF(Main!AV250&gt;0,Main!AV250,"")</f>
        <v/>
      </c>
      <c r="AL249" s="263" t="str">
        <f>IF(Main!AU250&gt;0,Main!AU250,"")</f>
        <v/>
      </c>
      <c r="AM249" s="263" t="str">
        <f>IF(Main!AT250&gt;0,Main!AT250,"")</f>
        <v/>
      </c>
      <c r="AN249" s="259" t="str">
        <f>Main!BW250</f>
        <v/>
      </c>
    </row>
    <row r="250" spans="1:40" x14ac:dyDescent="0.25">
      <c r="A250" s="258">
        <f>Main!C251</f>
        <v>1082467</v>
      </c>
      <c r="B250" s="259" t="str">
        <f>Main!D251</f>
        <v>Olay, Karen Danielle Del Rosario</v>
      </c>
      <c r="C250" s="259" t="str">
        <f>Main!AH251</f>
        <v>Probationary</v>
      </c>
      <c r="D250" s="260">
        <f>Main!B251</f>
        <v>42128</v>
      </c>
      <c r="E250" s="260" t="str">
        <f>IF(Main!AI251&lt;1,"",Main!AI251)</f>
        <v>Jobstreet</v>
      </c>
      <c r="F250" s="260" t="str">
        <f>IF(Main!AJ251&lt;1,"",Main!AJ251)</f>
        <v/>
      </c>
      <c r="G250" s="260" t="str">
        <f>IF(Main!AK251&lt;1,"",Main!AK251)</f>
        <v/>
      </c>
      <c r="H250" s="259" t="str">
        <f>Main!Y251</f>
        <v>Recruiter- Consumer Sales</v>
      </c>
      <c r="I250" s="259" t="str">
        <f>Main!Z251</f>
        <v>Level 0</v>
      </c>
      <c r="J250" s="259">
        <f>IF(Main!A251&lt;1,"",Main!A251)</f>
        <v>195</v>
      </c>
      <c r="K250" s="260">
        <f>IF(Main!AN251&gt;0,Main!AN251,"")</f>
        <v>33426</v>
      </c>
      <c r="L250" s="258" t="str">
        <f>IF(Main!Q251&gt;0,Main!Q251,"")</f>
        <v>karendanielle_olay@rockemail.com</v>
      </c>
      <c r="M250" s="410">
        <f>VALUE(IF(Main!S251&gt;0,Main!S251,""))</f>
        <v>9152570663</v>
      </c>
      <c r="N250" s="261" t="str">
        <f>Main!T251</f>
        <v/>
      </c>
      <c r="O250" s="258" t="str">
        <f>IF(Main!AO251&gt;0,Main!AO251,"")</f>
        <v/>
      </c>
      <c r="P250" s="258" t="str">
        <f>IF(Main!AP251&gt;0,Main!AP251,"")</f>
        <v/>
      </c>
      <c r="Q250" s="258" t="str">
        <f>IF(Main!AR251&gt;0,Main!AR251,"")</f>
        <v/>
      </c>
      <c r="R250" s="259" t="str">
        <f>IF(Main!AQ251&gt;0,Main!AQ251,"")</f>
        <v/>
      </c>
      <c r="S250" s="259" t="str">
        <f>IF(Main!BD251&gt;0,Main!BD251,"")</f>
        <v/>
      </c>
      <c r="T250" s="259" t="str">
        <f>IF(Main!AX251&gt;0,Main!AX251,"")</f>
        <v/>
      </c>
      <c r="U250" s="259" t="str">
        <f>IF(Main!BH251&gt;0,Main!BH251,"")</f>
        <v/>
      </c>
      <c r="V250" s="268" t="str">
        <f>IF(Main!BF251&gt;0,Main!BF251,"")</f>
        <v/>
      </c>
      <c r="W250" s="263">
        <f>IF(Main!BS251&gt;0,Main!BS251,"")</f>
        <v>42128</v>
      </c>
      <c r="X250" s="263">
        <f>IF(Main!BT251&gt;0,Main!BT251,"")</f>
        <v>42128</v>
      </c>
      <c r="Y250" s="263">
        <f>IF(Main!BU251&gt;0,Main!BU251,"")</f>
        <v>42128</v>
      </c>
      <c r="Z250" s="263" t="str">
        <f>IF(Main!AS251&gt;0,Main!AS251,"")</f>
        <v/>
      </c>
      <c r="AA250" s="263" t="str">
        <f>IF(Main!BJ251&gt;0,Main!BJ251,"")</f>
        <v/>
      </c>
      <c r="AB250" s="263" t="str">
        <f>IF(Main!BC251&gt;0,Main!BC251,"")</f>
        <v/>
      </c>
      <c r="AC250" s="263" t="str">
        <f>IF(Main!AW251&gt;0,Main!AW251,"")</f>
        <v/>
      </c>
      <c r="AD250" s="263" t="str">
        <f>IF(Main!BG251&gt;0,Main!BG251,"")</f>
        <v/>
      </c>
      <c r="AE250" s="263" t="str">
        <f>IF(Main!BE251&gt;0,Main!BE251,"")</f>
        <v/>
      </c>
      <c r="AF250" s="263" t="str">
        <f>IF(Main!BM251&gt;0,Main!BM251,"")</f>
        <v/>
      </c>
      <c r="AG250" s="263" t="str">
        <f>IF(Main!BN251&gt;0,Main!BN251,"")</f>
        <v/>
      </c>
      <c r="AH250" s="263" t="str">
        <f>IF(Main!BO251&gt;0,Main!BO251,"")</f>
        <v/>
      </c>
      <c r="AI250" s="263" t="str">
        <f>IF(Main!BR251&gt;0,Main!BR251,"")</f>
        <v/>
      </c>
      <c r="AJ250" s="263" t="str">
        <f>IF(Main!BQ251&gt;0,Main!BQ251,"")</f>
        <v/>
      </c>
      <c r="AK250" s="263" t="str">
        <f>IF(Main!AV251&gt;0,Main!AV251,"")</f>
        <v/>
      </c>
      <c r="AL250" s="263" t="str">
        <f>IF(Main!AU251&gt;0,Main!AU251,"")</f>
        <v/>
      </c>
      <c r="AM250" s="263" t="str">
        <f>IF(Main!AT251&gt;0,Main!AT251,"")</f>
        <v/>
      </c>
      <c r="AN250" s="259" t="str">
        <f>Main!BW251</f>
        <v/>
      </c>
    </row>
    <row r="251" spans="1:40" x14ac:dyDescent="0.25">
      <c r="A251" s="258">
        <f>Main!C252</f>
        <v>1082468</v>
      </c>
      <c r="B251" s="259" t="str">
        <f>Main!D252</f>
        <v>Villegas, Mary Joy Cornel</v>
      </c>
      <c r="C251" s="259" t="str">
        <f>Main!AH252</f>
        <v>Probationary</v>
      </c>
      <c r="D251" s="260">
        <f>Main!B252</f>
        <v>42128</v>
      </c>
      <c r="E251" s="260" t="str">
        <f>IF(Main!AI252&lt;1,"",Main!AI252)</f>
        <v>ERP - Rosette Joyce Diesta</v>
      </c>
      <c r="F251" s="260" t="str">
        <f>IF(Main!AJ252&lt;1,"",Main!AJ252)</f>
        <v>Rosette Joyce Diesta</v>
      </c>
      <c r="G251" s="260" t="str">
        <f>IF(Main!AK252&lt;1,"",Main!AK252)</f>
        <v/>
      </c>
      <c r="H251" s="259" t="str">
        <f>Main!Y252</f>
        <v>Recruiter- Consumer Sales</v>
      </c>
      <c r="I251" s="259" t="str">
        <f>Main!Z252</f>
        <v>Level 0</v>
      </c>
      <c r="J251" s="259">
        <f>IF(Main!A252&lt;1,"",Main!A252)</f>
        <v>195</v>
      </c>
      <c r="K251" s="260">
        <f>IF(Main!AN252&gt;0,Main!AN252,"")</f>
        <v>32440</v>
      </c>
      <c r="L251" s="258" t="str">
        <f>IF(Main!Q252&gt;0,Main!Q252,"")</f>
        <v>maryjoycvillegas@gmail.com</v>
      </c>
      <c r="M251" s="410">
        <f>VALUE(IF(Main!S252&gt;0,Main!S252,""))</f>
        <v>9393116114</v>
      </c>
      <c r="N251" s="261" t="str">
        <f>Main!T252</f>
        <v/>
      </c>
      <c r="O251" s="258" t="str">
        <f>IF(Main!AO252&gt;0,Main!AO252,"")</f>
        <v>167 Pili Avenue Blk 5 West Rembo Makaty City</v>
      </c>
      <c r="P251" s="258" t="str">
        <f>IF(Main!AP252&gt;0,Main!AP252,"")</f>
        <v>167 Pili Avenue Blk 5 West Rembo Makaty City</v>
      </c>
      <c r="Q251" s="258" t="str">
        <f>IF(Main!AR252&gt;0,Main!AR252,"")</f>
        <v>Single</v>
      </c>
      <c r="R251" s="259" t="str">
        <f>IF(Main!AQ252&gt;0,Main!AQ252,"")</f>
        <v>Female</v>
      </c>
      <c r="S251" s="259" t="str">
        <f>IF(Main!BD252&gt;0,Main!BD252,"")</f>
        <v/>
      </c>
      <c r="T251" s="259" t="str">
        <f>IF(Main!AX252&gt;0,Main!AX252,"")</f>
        <v/>
      </c>
      <c r="U251" s="259" t="str">
        <f>IF(Main!BH252&gt;0,Main!BH252,"")</f>
        <v>01-051445564-9</v>
      </c>
      <c r="V251" s="268" t="str">
        <f>IF(Main!BF252&gt;0,Main!BF252,"")</f>
        <v/>
      </c>
      <c r="W251" s="263">
        <f>IF(Main!BS252&gt;0,Main!BS252,"")</f>
        <v>42128</v>
      </c>
      <c r="X251" s="263">
        <f>IF(Main!BT252&gt;0,Main!BT252,"")</f>
        <v>42128</v>
      </c>
      <c r="Y251" s="263">
        <f>IF(Main!BU252&gt;0,Main!BU252,"")</f>
        <v>42128</v>
      </c>
      <c r="Z251" s="263">
        <f>IF(Main!AS252&gt;0,Main!AS252,"")</f>
        <v>42131</v>
      </c>
      <c r="AA251" s="263" t="str">
        <f>IF(Main!BJ252&gt;0,Main!BJ252,"")</f>
        <v/>
      </c>
      <c r="AB251" s="263" t="str">
        <f>IF(Main!BC252&gt;0,Main!BC252,"")</f>
        <v/>
      </c>
      <c r="AC251" s="263" t="str">
        <f>IF(Main!AW252&gt;0,Main!AW252,"")</f>
        <v/>
      </c>
      <c r="AD251" s="263">
        <f>IF(Main!BG252&gt;0,Main!BG252,"")</f>
        <v>42131</v>
      </c>
      <c r="AE251" s="263" t="str">
        <f>IF(Main!BE252&gt;0,Main!BE252,"")</f>
        <v/>
      </c>
      <c r="AF251" s="263" t="str">
        <f>IF(Main!BM252&gt;0,Main!BM252,"")</f>
        <v/>
      </c>
      <c r="AG251" s="263" t="str">
        <f>IF(Main!BN252&gt;0,Main!BN252,"")</f>
        <v/>
      </c>
      <c r="AH251" s="263" t="str">
        <f>IF(Main!BO252&gt;0,Main!BO252,"")</f>
        <v/>
      </c>
      <c r="AI251" s="263" t="str">
        <f>IF(Main!BR252&gt;0,Main!BR252,"")</f>
        <v/>
      </c>
      <c r="AJ251" s="263" t="str">
        <f>IF(Main!BQ252&gt;0,Main!BQ252,"")</f>
        <v/>
      </c>
      <c r="AK251" s="263">
        <f>IF(Main!AV252&gt;0,Main!AV252,"")</f>
        <v>42131</v>
      </c>
      <c r="AL251" s="263">
        <f>IF(Main!AU252&gt;0,Main!AU252,"")</f>
        <v>42131</v>
      </c>
      <c r="AM251" s="263">
        <f>IF(Main!AT252&gt;0,Main!AT252,"")</f>
        <v>42131</v>
      </c>
      <c r="AN251" s="259" t="str">
        <f>Main!BW252</f>
        <v xml:space="preserve">MDR 5/8/2015, </v>
      </c>
    </row>
    <row r="252" spans="1:40" x14ac:dyDescent="0.25">
      <c r="A252" s="258">
        <f>Main!C253</f>
        <v>1082469</v>
      </c>
      <c r="B252" s="259" t="str">
        <f>Main!D253</f>
        <v>Fernandez, Ivee Solayao</v>
      </c>
      <c r="C252" s="259" t="str">
        <f>Main!AH253</f>
        <v>Probationary</v>
      </c>
      <c r="D252" s="260">
        <f>Main!B253</f>
        <v>42128</v>
      </c>
      <c r="E252" s="260" t="str">
        <f>IF(Main!AI253&lt;1,"",Main!AI253)</f>
        <v>ERP - Ariel Cabada</v>
      </c>
      <c r="F252" s="260" t="str">
        <f>IF(Main!AJ253&lt;1,"",Main!AJ253)</f>
        <v>Ariel Cabada</v>
      </c>
      <c r="G252" s="260" t="str">
        <f>IF(Main!AK253&lt;1,"",Main!AK253)</f>
        <v/>
      </c>
      <c r="H252" s="259" t="str">
        <f>Main!Y253</f>
        <v>Recruiter- Consumer Sales</v>
      </c>
      <c r="I252" s="259" t="str">
        <f>Main!Z253</f>
        <v>Level 0</v>
      </c>
      <c r="J252" s="259">
        <f>IF(Main!A253&lt;1,"",Main!A253)</f>
        <v>195</v>
      </c>
      <c r="K252" s="260">
        <f>IF(Main!AN253&gt;0,Main!AN253,"")</f>
        <v>33541</v>
      </c>
      <c r="L252" s="258" t="str">
        <f>IF(Main!Q253&gt;0,Main!Q253,"")</f>
        <v>iveesfernandez@gmail.com</v>
      </c>
      <c r="M252" s="410">
        <f>VALUE(IF(Main!S253&gt;0,Main!S253,""))</f>
        <v>9178584328</v>
      </c>
      <c r="N252" s="261" t="str">
        <f>Main!T253</f>
        <v/>
      </c>
      <c r="O252" s="258" t="str">
        <f>IF(Main!AO253&gt;0,Main!AO253,"")</f>
        <v/>
      </c>
      <c r="P252" s="258" t="str">
        <f>IF(Main!AP253&gt;0,Main!AP253,"")</f>
        <v/>
      </c>
      <c r="Q252" s="258" t="str">
        <f>IF(Main!AR253&gt;0,Main!AR253,"")</f>
        <v/>
      </c>
      <c r="R252" s="259" t="str">
        <f>IF(Main!AQ253&gt;0,Main!AQ253,"")</f>
        <v/>
      </c>
      <c r="S252" s="259" t="str">
        <f>IF(Main!BD253&gt;0,Main!BD253,"")</f>
        <v/>
      </c>
      <c r="T252" s="259" t="str">
        <f>IF(Main!AX253&gt;0,Main!AX253,"")</f>
        <v/>
      </c>
      <c r="U252" s="259" t="str">
        <f>IF(Main!BH253&gt;0,Main!BH253,"")</f>
        <v/>
      </c>
      <c r="V252" s="268" t="str">
        <f>IF(Main!BF253&gt;0,Main!BF253,"")</f>
        <v/>
      </c>
      <c r="W252" s="263">
        <f>IF(Main!BS253&gt;0,Main!BS253,"")</f>
        <v>42128</v>
      </c>
      <c r="X252" s="263">
        <f>IF(Main!BT253&gt;0,Main!BT253,"")</f>
        <v>42128</v>
      </c>
      <c r="Y252" s="263">
        <f>IF(Main!BU253&gt;0,Main!BU253,"")</f>
        <v>42128</v>
      </c>
      <c r="Z252" s="263" t="str">
        <f>IF(Main!AS253&gt;0,Main!AS253,"")</f>
        <v/>
      </c>
      <c r="AA252" s="263" t="str">
        <f>IF(Main!BJ253&gt;0,Main!BJ253,"")</f>
        <v/>
      </c>
      <c r="AB252" s="263" t="str">
        <f>IF(Main!BC253&gt;0,Main!BC253,"")</f>
        <v/>
      </c>
      <c r="AC252" s="263" t="str">
        <f>IF(Main!AW253&gt;0,Main!AW253,"")</f>
        <v/>
      </c>
      <c r="AD252" s="263" t="str">
        <f>IF(Main!BG253&gt;0,Main!BG253,"")</f>
        <v/>
      </c>
      <c r="AE252" s="263" t="str">
        <f>IF(Main!BE253&gt;0,Main!BE253,"")</f>
        <v/>
      </c>
      <c r="AF252" s="263" t="str">
        <f>IF(Main!BM253&gt;0,Main!BM253,"")</f>
        <v/>
      </c>
      <c r="AG252" s="263" t="str">
        <f>IF(Main!BN253&gt;0,Main!BN253,"")</f>
        <v/>
      </c>
      <c r="AH252" s="263" t="str">
        <f>IF(Main!BO253&gt;0,Main!BO253,"")</f>
        <v/>
      </c>
      <c r="AI252" s="263" t="str">
        <f>IF(Main!BR253&gt;0,Main!BR253,"")</f>
        <v/>
      </c>
      <c r="AJ252" s="263" t="str">
        <f>IF(Main!BQ253&gt;0,Main!BQ253,"")</f>
        <v/>
      </c>
      <c r="AK252" s="263" t="str">
        <f>IF(Main!AV253&gt;0,Main!AV253,"")</f>
        <v/>
      </c>
      <c r="AL252" s="263" t="str">
        <f>IF(Main!AU253&gt;0,Main!AU253,"")</f>
        <v/>
      </c>
      <c r="AM252" s="263" t="str">
        <f>IF(Main!AT253&gt;0,Main!AT253,"")</f>
        <v/>
      </c>
      <c r="AN252" s="259" t="str">
        <f>Main!BW253</f>
        <v/>
      </c>
    </row>
    <row r="253" spans="1:40" x14ac:dyDescent="0.25">
      <c r="A253" s="258">
        <f>Main!C254</f>
        <v>1082470</v>
      </c>
      <c r="B253" s="259" t="str">
        <f>Main!D254</f>
        <v>Arañas, Mydee Pacumio</v>
      </c>
      <c r="C253" s="259" t="str">
        <f>Main!AH254</f>
        <v>Probationary</v>
      </c>
      <c r="D253" s="260">
        <f>Main!B254</f>
        <v>42128</v>
      </c>
      <c r="E253" s="260" t="str">
        <f>IF(Main!AI254&lt;1,"",Main!AI254)</f>
        <v>Jobstreet</v>
      </c>
      <c r="F253" s="260" t="str">
        <f>IF(Main!AJ254&lt;1,"",Main!AJ254)</f>
        <v/>
      </c>
      <c r="G253" s="260" t="str">
        <f>IF(Main!AK254&lt;1,"",Main!AK254)</f>
        <v/>
      </c>
      <c r="H253" s="259" t="str">
        <f>Main!Y254</f>
        <v>Recruiter- Consumer Sales</v>
      </c>
      <c r="I253" s="259" t="str">
        <f>Main!Z254</f>
        <v>Level 0</v>
      </c>
      <c r="J253" s="259">
        <f>IF(Main!A254&lt;1,"",Main!A254)</f>
        <v>195</v>
      </c>
      <c r="K253" s="260">
        <f>IF(Main!AN254&gt;0,Main!AN254,"")</f>
        <v>32279</v>
      </c>
      <c r="L253" s="258" t="str">
        <f>IF(Main!Q254&gt;0,Main!Q254,"")</f>
        <v>mydee_maya@yahoo.com</v>
      </c>
      <c r="M253" s="410">
        <f>VALUE(IF(Main!S254&gt;0,Main!S254,""))</f>
        <v>9053378196</v>
      </c>
      <c r="N253" s="261" t="str">
        <f>Main!T254</f>
        <v/>
      </c>
      <c r="O253" s="258" t="str">
        <f>IF(Main!AO254&gt;0,Main!AO254,"")</f>
        <v/>
      </c>
      <c r="P253" s="258" t="str">
        <f>IF(Main!AP254&gt;0,Main!AP254,"")</f>
        <v/>
      </c>
      <c r="Q253" s="258" t="str">
        <f>IF(Main!AR254&gt;0,Main!AR254,"")</f>
        <v/>
      </c>
      <c r="R253" s="259" t="str">
        <f>IF(Main!AQ254&gt;0,Main!AQ254,"")</f>
        <v/>
      </c>
      <c r="S253" s="259" t="str">
        <f>IF(Main!BD254&gt;0,Main!BD254,"")</f>
        <v/>
      </c>
      <c r="T253" s="259" t="str">
        <f>IF(Main!AX254&gt;0,Main!AX254,"")</f>
        <v/>
      </c>
      <c r="U253" s="259" t="str">
        <f>IF(Main!BH254&gt;0,Main!BH254,"")</f>
        <v/>
      </c>
      <c r="V253" s="268" t="str">
        <f>IF(Main!BF254&gt;0,Main!BF254,"")</f>
        <v/>
      </c>
      <c r="W253" s="263">
        <f>IF(Main!BS254&gt;0,Main!BS254,"")</f>
        <v>42128</v>
      </c>
      <c r="X253" s="263">
        <f>IF(Main!BT254&gt;0,Main!BT254,"")</f>
        <v>42128</v>
      </c>
      <c r="Y253" s="263">
        <f>IF(Main!BU254&gt;0,Main!BU254,"")</f>
        <v>42128</v>
      </c>
      <c r="Z253" s="263" t="str">
        <f>IF(Main!AS254&gt;0,Main!AS254,"")</f>
        <v/>
      </c>
      <c r="AA253" s="263" t="str">
        <f>IF(Main!BJ254&gt;0,Main!BJ254,"")</f>
        <v/>
      </c>
      <c r="AB253" s="263" t="str">
        <f>IF(Main!BC254&gt;0,Main!BC254,"")</f>
        <v/>
      </c>
      <c r="AC253" s="263" t="str">
        <f>IF(Main!AW254&gt;0,Main!AW254,"")</f>
        <v/>
      </c>
      <c r="AD253" s="263" t="str">
        <f>IF(Main!BG254&gt;0,Main!BG254,"")</f>
        <v/>
      </c>
      <c r="AE253" s="263" t="str">
        <f>IF(Main!BE254&gt;0,Main!BE254,"")</f>
        <v/>
      </c>
      <c r="AF253" s="263" t="str">
        <f>IF(Main!BM254&gt;0,Main!BM254,"")</f>
        <v/>
      </c>
      <c r="AG253" s="263" t="str">
        <f>IF(Main!BN254&gt;0,Main!BN254,"")</f>
        <v/>
      </c>
      <c r="AH253" s="263" t="str">
        <f>IF(Main!BO254&gt;0,Main!BO254,"")</f>
        <v/>
      </c>
      <c r="AI253" s="263" t="str">
        <f>IF(Main!BR254&gt;0,Main!BR254,"")</f>
        <v/>
      </c>
      <c r="AJ253" s="263" t="str">
        <f>IF(Main!BQ254&gt;0,Main!BQ254,"")</f>
        <v/>
      </c>
      <c r="AK253" s="263" t="str">
        <f>IF(Main!AV254&gt;0,Main!AV254,"")</f>
        <v/>
      </c>
      <c r="AL253" s="263" t="str">
        <f>IF(Main!AU254&gt;0,Main!AU254,"")</f>
        <v/>
      </c>
      <c r="AM253" s="263" t="str">
        <f>IF(Main!AT254&gt;0,Main!AT254,"")</f>
        <v/>
      </c>
      <c r="AN253" s="259" t="str">
        <f>Main!BW254</f>
        <v/>
      </c>
    </row>
    <row r="254" spans="1:40" x14ac:dyDescent="0.25">
      <c r="A254" s="258">
        <f>Main!C255</f>
        <v>1082471</v>
      </c>
      <c r="B254" s="259" t="str">
        <f>Main!D255</f>
        <v>Castillo, Reyssa Edradan</v>
      </c>
      <c r="C254" s="259" t="str">
        <f>Main!AH255</f>
        <v>Probationary</v>
      </c>
      <c r="D254" s="260">
        <f>Main!B255</f>
        <v>42128</v>
      </c>
      <c r="E254" s="260" t="str">
        <f>IF(Main!AI255&lt;1,"",Main!AI255)</f>
        <v>Jobstreet</v>
      </c>
      <c r="F254" s="260" t="str">
        <f>IF(Main!AJ255&lt;1,"",Main!AJ255)</f>
        <v/>
      </c>
      <c r="G254" s="260" t="str">
        <f>IF(Main!AK255&lt;1,"",Main!AK255)</f>
        <v/>
      </c>
      <c r="H254" s="259" t="str">
        <f>Main!Y255</f>
        <v>Recruiter- Consumer Sales</v>
      </c>
      <c r="I254" s="259" t="str">
        <f>Main!Z255</f>
        <v>Level 0</v>
      </c>
      <c r="J254" s="259">
        <f>IF(Main!A255&lt;1,"",Main!A255)</f>
        <v>195</v>
      </c>
      <c r="K254" s="260">
        <f>IF(Main!AN255&gt;0,Main!AN255,"")</f>
        <v>33764</v>
      </c>
      <c r="L254" s="258" t="str">
        <f>IF(Main!Q255&gt;0,Main!Q255,"")</f>
        <v>castilloreyssa@gmail.com</v>
      </c>
      <c r="M254" s="410">
        <f>VALUE(IF(Main!S255&gt;0,Main!S255,""))</f>
        <v>9298694009</v>
      </c>
      <c r="N254" s="261" t="str">
        <f>Main!T255</f>
        <v/>
      </c>
      <c r="O254" s="258" t="str">
        <f>IF(Main!AO255&gt;0,Main!AO255,"")</f>
        <v/>
      </c>
      <c r="P254" s="258" t="str">
        <f>IF(Main!AP255&gt;0,Main!AP255,"")</f>
        <v/>
      </c>
      <c r="Q254" s="258" t="str">
        <f>IF(Main!AR255&gt;0,Main!AR255,"")</f>
        <v/>
      </c>
      <c r="R254" s="259" t="str">
        <f>IF(Main!AQ255&gt;0,Main!AQ255,"")</f>
        <v/>
      </c>
      <c r="S254" s="259" t="str">
        <f>IF(Main!BD255&gt;0,Main!BD255,"")</f>
        <v>34-2528143-0</v>
      </c>
      <c r="T254" s="259" t="str">
        <f>IF(Main!AX255&gt;0,Main!AX255,"")</f>
        <v>421-187-475</v>
      </c>
      <c r="U254" s="259" t="str">
        <f>IF(Main!BH255&gt;0,Main!BH255,"")</f>
        <v/>
      </c>
      <c r="V254" s="268" t="str">
        <f>IF(Main!BF255&gt;0,Main!BF255,"")</f>
        <v/>
      </c>
      <c r="W254" s="263">
        <f>IF(Main!BS255&gt;0,Main!BS255,"")</f>
        <v>42128</v>
      </c>
      <c r="X254" s="263">
        <f>IF(Main!BT255&gt;0,Main!BT255,"")</f>
        <v>42128</v>
      </c>
      <c r="Y254" s="263">
        <f>IF(Main!BU255&gt;0,Main!BU255,"")</f>
        <v>42128</v>
      </c>
      <c r="Z254" s="263" t="str">
        <f>IF(Main!AS255&gt;0,Main!AS255,"")</f>
        <v/>
      </c>
      <c r="AA254" s="263" t="str">
        <f>IF(Main!BJ255&gt;0,Main!BJ255,"")</f>
        <v/>
      </c>
      <c r="AB254" s="263">
        <f>IF(Main!BC255&gt;0,Main!BC255,"")</f>
        <v>42131</v>
      </c>
      <c r="AC254" s="263">
        <f>IF(Main!AW255&gt;0,Main!AW255,"")</f>
        <v>42131</v>
      </c>
      <c r="AD254" s="263" t="str">
        <f>IF(Main!BG255&gt;0,Main!BG255,"")</f>
        <v/>
      </c>
      <c r="AE254" s="263" t="str">
        <f>IF(Main!BE255&gt;0,Main!BE255,"")</f>
        <v/>
      </c>
      <c r="AF254" s="263">
        <f>IF(Main!BM255&gt;0,Main!BM255,"")</f>
        <v>42131</v>
      </c>
      <c r="AG254" s="263" t="str">
        <f>IF(Main!BN255&gt;0,Main!BN255,"")</f>
        <v/>
      </c>
      <c r="AH254" s="263" t="str">
        <f>IF(Main!BO255&gt;0,Main!BO255,"")</f>
        <v/>
      </c>
      <c r="AI254" s="263" t="str">
        <f>IF(Main!BR255&gt;0,Main!BR255,"")</f>
        <v/>
      </c>
      <c r="AJ254" s="263" t="str">
        <f>IF(Main!BQ255&gt;0,Main!BQ255,"")</f>
        <v/>
      </c>
      <c r="AK254" s="263" t="str">
        <f>IF(Main!AV255&gt;0,Main!AV255,"")</f>
        <v/>
      </c>
      <c r="AL254" s="263" t="str">
        <f>IF(Main!AU255&gt;0,Main!AU255,"")</f>
        <v/>
      </c>
      <c r="AM254" s="263" t="str">
        <f>IF(Main!AT255&gt;0,Main!AT255,"")</f>
        <v/>
      </c>
      <c r="AN254" s="259" t="str">
        <f>Main!BW255</f>
        <v/>
      </c>
    </row>
    <row r="255" spans="1:40" x14ac:dyDescent="0.25">
      <c r="A255" s="258">
        <f>Main!C256</f>
        <v>1082472</v>
      </c>
      <c r="B255" s="259" t="str">
        <f>Main!D256</f>
        <v>Ayos, Donalisa Cabansag</v>
      </c>
      <c r="C255" s="259" t="str">
        <f>Main!AH256</f>
        <v>Probationary</v>
      </c>
      <c r="D255" s="260">
        <f>Main!B256</f>
        <v>42128</v>
      </c>
      <c r="E255" s="260" t="str">
        <f>IF(Main!AI256&lt;1,"",Main!AI256)</f>
        <v>Jobstreet</v>
      </c>
      <c r="F255" s="260" t="str">
        <f>IF(Main!AJ256&lt;1,"",Main!AJ256)</f>
        <v/>
      </c>
      <c r="G255" s="260" t="str">
        <f>IF(Main!AK256&lt;1,"",Main!AK256)</f>
        <v/>
      </c>
      <c r="H255" s="259" t="str">
        <f>Main!Y256</f>
        <v>Recruiter- Consumer Sales</v>
      </c>
      <c r="I255" s="259" t="str">
        <f>Main!Z256</f>
        <v>Level 0</v>
      </c>
      <c r="J255" s="259">
        <f>IF(Main!A256&lt;1,"",Main!A256)</f>
        <v>195</v>
      </c>
      <c r="K255" s="260">
        <f>IF(Main!AN256&gt;0,Main!AN256,"")</f>
        <v>33190</v>
      </c>
      <c r="L255" s="258" t="str">
        <f>IF(Main!Q256&gt;0,Main!Q256,"")</f>
        <v>ayosdonalisa@gmail.com</v>
      </c>
      <c r="M255" s="410">
        <f>VALUE(IF(Main!S256&gt;0,Main!S256,""))</f>
        <v>9165649631</v>
      </c>
      <c r="N255" s="261" t="str">
        <f>Main!T256</f>
        <v/>
      </c>
      <c r="O255" s="258" t="str">
        <f>IF(Main!AO256&gt;0,Main!AO256,"")</f>
        <v/>
      </c>
      <c r="P255" s="258" t="str">
        <f>IF(Main!AP256&gt;0,Main!AP256,"")</f>
        <v/>
      </c>
      <c r="Q255" s="258" t="str">
        <f>IF(Main!AR256&gt;0,Main!AR256,"")</f>
        <v/>
      </c>
      <c r="R255" s="259" t="str">
        <f>IF(Main!AQ256&gt;0,Main!AQ256,"")</f>
        <v/>
      </c>
      <c r="S255" s="259" t="str">
        <f>IF(Main!BD256&gt;0,Main!BD256,"")</f>
        <v>34-2576677-7</v>
      </c>
      <c r="T255" s="259" t="str">
        <f>IF(Main!AX256&gt;0,Main!AX256,"")</f>
        <v/>
      </c>
      <c r="U255" s="259" t="str">
        <f>IF(Main!BH256&gt;0,Main!BH256,"")</f>
        <v>01-051113121-4</v>
      </c>
      <c r="V255" s="268" t="str">
        <f>IF(Main!BF256&gt;0,Main!BF256,"")</f>
        <v/>
      </c>
      <c r="W255" s="263">
        <f>IF(Main!BS256&gt;0,Main!BS256,"")</f>
        <v>42128</v>
      </c>
      <c r="X255" s="263">
        <f>IF(Main!BT256&gt;0,Main!BT256,"")</f>
        <v>42128</v>
      </c>
      <c r="Y255" s="263">
        <f>IF(Main!BU256&gt;0,Main!BU256,"")</f>
        <v>42128</v>
      </c>
      <c r="Z255" s="263" t="str">
        <f>IF(Main!AS256&gt;0,Main!AS256,"")</f>
        <v/>
      </c>
      <c r="AA255" s="263" t="str">
        <f>IF(Main!BJ256&gt;0,Main!BJ256,"")</f>
        <v/>
      </c>
      <c r="AB255" s="263">
        <f>IF(Main!BC256&gt;0,Main!BC256,"")</f>
        <v>42131</v>
      </c>
      <c r="AC255" s="263" t="str">
        <f>IF(Main!AW256&gt;0,Main!AW256,"")</f>
        <v/>
      </c>
      <c r="AD255" s="263">
        <f>IF(Main!BG256&gt;0,Main!BG256,"")</f>
        <v>42131</v>
      </c>
      <c r="AE255" s="263" t="str">
        <f>IF(Main!BE256&gt;0,Main!BE256,"")</f>
        <v/>
      </c>
      <c r="AF255" s="263">
        <f>IF(Main!BM256&gt;0,Main!BM256,"")</f>
        <v>42131</v>
      </c>
      <c r="AG255" s="263" t="str">
        <f>IF(Main!BN256&gt;0,Main!BN256,"")</f>
        <v/>
      </c>
      <c r="AH255" s="263" t="str">
        <f>IF(Main!BO256&gt;0,Main!BO256,"")</f>
        <v/>
      </c>
      <c r="AI255" s="263" t="str">
        <f>IF(Main!BR256&gt;0,Main!BR256,"")</f>
        <v/>
      </c>
      <c r="AJ255" s="263" t="str">
        <f>IF(Main!BQ256&gt;0,Main!BQ256,"")</f>
        <v/>
      </c>
      <c r="AK255" s="263" t="str">
        <f>IF(Main!AV256&gt;0,Main!AV256,"")</f>
        <v/>
      </c>
      <c r="AL255" s="263" t="str">
        <f>IF(Main!AU256&gt;0,Main!AU256,"")</f>
        <v/>
      </c>
      <c r="AM255" s="263" t="str">
        <f>IF(Main!AT256&gt;0,Main!AT256,"")</f>
        <v/>
      </c>
      <c r="AN255" s="259" t="str">
        <f>Main!BW256</f>
        <v/>
      </c>
    </row>
    <row r="256" spans="1:40" x14ac:dyDescent="0.25">
      <c r="A256" s="258">
        <f>Main!C257</f>
        <v>1082473</v>
      </c>
      <c r="B256" s="259" t="str">
        <f>Main!D257</f>
        <v>Almanon, Alelie Viola Gregorio</v>
      </c>
      <c r="C256" s="259" t="str">
        <f>Main!AH257</f>
        <v>Probationary</v>
      </c>
      <c r="D256" s="260">
        <f>Main!B257</f>
        <v>42128</v>
      </c>
      <c r="E256" s="260" t="str">
        <f>IF(Main!AI257&lt;1,"",Main!AI257)</f>
        <v>ARP - Karmille Quin</v>
      </c>
      <c r="F256" s="260" t="str">
        <f>IF(Main!AJ257&lt;1,"",Main!AJ257)</f>
        <v>Karmille Quin</v>
      </c>
      <c r="G256" s="260" t="str">
        <f>IF(Main!AK257&lt;1,"",Main!AK257)</f>
        <v/>
      </c>
      <c r="H256" s="259" t="str">
        <f>Main!Y257</f>
        <v>Senior Recruiter</v>
      </c>
      <c r="I256" s="259" t="str">
        <f>Main!Z257</f>
        <v>Level 2</v>
      </c>
      <c r="J256" s="259">
        <f>IF(Main!A257&lt;1,"",Main!A257)</f>
        <v>195</v>
      </c>
      <c r="K256" s="260">
        <f>IF(Main!AN257&gt;0,Main!AN257,"")</f>
        <v>30284</v>
      </c>
      <c r="L256" s="258" t="str">
        <f>IF(Main!Q257&gt;0,Main!Q257,"")</f>
        <v>sylvius_27@yahoo.com</v>
      </c>
      <c r="M256" s="410">
        <f>VALUE(IF(Main!S257&gt;0,Main!S257,""))</f>
        <v>9985382775</v>
      </c>
      <c r="N256" s="261" t="str">
        <f>Main!T257</f>
        <v/>
      </c>
      <c r="O256" s="258" t="str">
        <f>IF(Main!AO257&gt;0,Main!AO257,"")</f>
        <v>7-E S Veloso St. Brgy. Salapan San Juan City</v>
      </c>
      <c r="P256" s="258" t="str">
        <f>IF(Main!AP257&gt;0,Main!AP257,"")</f>
        <v>7-E S Veloso St. Brgy. Salapan San Juan City</v>
      </c>
      <c r="Q256" s="258" t="str">
        <f>IF(Main!AR257&gt;0,Main!AR257,"")</f>
        <v>Single Parent</v>
      </c>
      <c r="R256" s="259" t="str">
        <f>IF(Main!AQ257&gt;0,Main!AQ257,"")</f>
        <v>Female</v>
      </c>
      <c r="S256" s="259" t="str">
        <f>IF(Main!BD257&gt;0,Main!BD257,"")</f>
        <v>04-1471613-9</v>
      </c>
      <c r="T256" s="259" t="str">
        <f>IF(Main!AX257&gt;0,Main!AX257,"")</f>
        <v>935-693-798</v>
      </c>
      <c r="U256" s="259" t="str">
        <f>IF(Main!BH257&gt;0,Main!BH257,"")</f>
        <v>12-050586039-5</v>
      </c>
      <c r="V256" s="268" t="str">
        <f>IF(Main!BF257&gt;0,Main!BF257,"")</f>
        <v>1040-0094-0718</v>
      </c>
      <c r="W256" s="263">
        <f>IF(Main!BS257&gt;0,Main!BS257,"")</f>
        <v>42128</v>
      </c>
      <c r="X256" s="263">
        <f>IF(Main!BT257&gt;0,Main!BT257,"")</f>
        <v>42128</v>
      </c>
      <c r="Y256" s="263">
        <f>IF(Main!BU257&gt;0,Main!BU257,"")</f>
        <v>42128</v>
      </c>
      <c r="Z256" s="263">
        <f>IF(Main!AS257&gt;0,Main!AS257,"")</f>
        <v>42132</v>
      </c>
      <c r="AA256" s="263">
        <f>IF(Main!BJ257&gt;0,Main!BJ257,"")</f>
        <v>42132</v>
      </c>
      <c r="AB256" s="263">
        <f>IF(Main!BC257&gt;0,Main!BC257,"")</f>
        <v>42130</v>
      </c>
      <c r="AC256" s="263">
        <f>IF(Main!AW257&gt;0,Main!AW257,"")</f>
        <v>42130</v>
      </c>
      <c r="AD256" s="263">
        <f>IF(Main!BG257&gt;0,Main!BG257,"")</f>
        <v>42132</v>
      </c>
      <c r="AE256" s="263">
        <f>IF(Main!BE257&gt;0,Main!BE257,"")</f>
        <v>42130</v>
      </c>
      <c r="AF256" s="263">
        <f>IF(Main!BM257&gt;0,Main!BM257,"")</f>
        <v>42130</v>
      </c>
      <c r="AG256" s="263" t="str">
        <f>IF(Main!BN257&gt;0,Main!BN257,"")</f>
        <v/>
      </c>
      <c r="AH256" s="263" t="str">
        <f>IF(Main!BO257&gt;0,Main!BO257,"")</f>
        <v/>
      </c>
      <c r="AI256" s="263">
        <f>IF(Main!BR257&gt;0,Main!BR257,"")</f>
        <v>42130</v>
      </c>
      <c r="AJ256" s="263">
        <f>IF(Main!BQ257&gt;0,Main!BQ257,"")</f>
        <v>42130</v>
      </c>
      <c r="AK256" s="263" t="str">
        <f>IF(Main!AV257&gt;0,Main!AV257,"")</f>
        <v/>
      </c>
      <c r="AL256" s="263">
        <f>IF(Main!AU257&gt;0,Main!AU257,"")</f>
        <v>42130</v>
      </c>
      <c r="AM256" s="263">
        <f>IF(Main!AT257&gt;0,Main!AT257,"")</f>
        <v>42130</v>
      </c>
      <c r="AN256" s="259" t="str">
        <f>Main!BW257</f>
        <v>2305 (for processing) 5/8/2015, 2316 (2014) - 5/6/2015</v>
      </c>
    </row>
    <row r="257" spans="1:40" x14ac:dyDescent="0.25">
      <c r="A257" s="258">
        <f>Main!C258</f>
        <v>1082474</v>
      </c>
      <c r="B257" s="259" t="str">
        <f>Main!D258</f>
        <v>Anchorez, Krizzia May Igana</v>
      </c>
      <c r="C257" s="259" t="str">
        <f>Main!AH258</f>
        <v>Probationary</v>
      </c>
      <c r="D257" s="260">
        <f>Main!B258</f>
        <v>42128</v>
      </c>
      <c r="E257" s="260" t="str">
        <f>IF(Main!AI258&lt;1,"",Main!AI258)</f>
        <v>ERP - Kris Benjamin Hona</v>
      </c>
      <c r="F257" s="260" t="str">
        <f>IF(Main!AJ258&lt;1,"",Main!AJ258)</f>
        <v>Kris Benjamin Hona</v>
      </c>
      <c r="G257" s="260" t="str">
        <f>IF(Main!AK258&lt;1,"",Main!AK258)</f>
        <v/>
      </c>
      <c r="H257" s="259" t="str">
        <f>Main!Y258</f>
        <v>Senior Recruiter</v>
      </c>
      <c r="I257" s="259" t="str">
        <f>Main!Z258</f>
        <v>Level 1</v>
      </c>
      <c r="J257" s="259">
        <f>IF(Main!A258&lt;1,"",Main!A258)</f>
        <v>195</v>
      </c>
      <c r="K257" s="260">
        <f>IF(Main!AN258&gt;0,Main!AN258,"")</f>
        <v>32877</v>
      </c>
      <c r="L257" s="258" t="str">
        <f>IF(Main!Q258&gt;0,Main!Q258,"")</f>
        <v>krizziaanchorez@gmail.com</v>
      </c>
      <c r="M257" s="410">
        <f>VALUE(IF(Main!S258&gt;0,Main!S258,""))</f>
        <v>9272625404</v>
      </c>
      <c r="N257" s="261" t="str">
        <f>Main!T258</f>
        <v/>
      </c>
      <c r="O257" s="258" t="str">
        <f>IF(Main!AO258&gt;0,Main!AO258,"")</f>
        <v>119 V. Cruz St. Malibay, Pasay City</v>
      </c>
      <c r="P257" s="258" t="str">
        <f>IF(Main!AP258&gt;0,Main!AP258,"")</f>
        <v>119 V. Cruz St. Malibay, Pasay City</v>
      </c>
      <c r="Q257" s="258" t="str">
        <f>IF(Main!AR258&gt;0,Main!AR258,"")</f>
        <v>Single</v>
      </c>
      <c r="R257" s="259" t="str">
        <f>IF(Main!AQ258&gt;0,Main!AQ258,"")</f>
        <v>Female</v>
      </c>
      <c r="S257" s="259" t="str">
        <f>IF(Main!BD258&gt;0,Main!BD258,"")</f>
        <v>34-2206703-9</v>
      </c>
      <c r="T257" s="259" t="str">
        <f>IF(Main!AX258&gt;0,Main!AX258,"")</f>
        <v>293-125-642</v>
      </c>
      <c r="U257" s="259" t="str">
        <f>IF(Main!BH258&gt;0,Main!BH258,"")</f>
        <v>01-051521137-9</v>
      </c>
      <c r="V257" s="268" t="str">
        <f>IF(Main!BF258&gt;0,Main!BF258,"")</f>
        <v>1210-9656-4023</v>
      </c>
      <c r="W257" s="263">
        <f>IF(Main!BS258&gt;0,Main!BS258,"")</f>
        <v>42128</v>
      </c>
      <c r="X257" s="263">
        <f>IF(Main!BT258&gt;0,Main!BT258,"")</f>
        <v>42128</v>
      </c>
      <c r="Y257" s="263">
        <f>IF(Main!BU258&gt;0,Main!BU258,"")</f>
        <v>42128</v>
      </c>
      <c r="Z257" s="263">
        <f>IF(Main!AS258&gt;0,Main!AS258,"")</f>
        <v>42130</v>
      </c>
      <c r="AA257" s="263">
        <f>IF(Main!BJ258&gt;0,Main!BJ258,"")</f>
        <v>42130</v>
      </c>
      <c r="AB257" s="263">
        <f>IF(Main!BC258&gt;0,Main!BC258,"")</f>
        <v>42133</v>
      </c>
      <c r="AC257" s="263">
        <f>IF(Main!AW258&gt;0,Main!AW258,"")</f>
        <v>42130</v>
      </c>
      <c r="AD257" s="263">
        <f>IF(Main!BG258&gt;0,Main!BG258,"")</f>
        <v>42130</v>
      </c>
      <c r="AE257" s="263">
        <f>IF(Main!BE258&gt;0,Main!BE258,"")</f>
        <v>42135</v>
      </c>
      <c r="AF257" s="263">
        <f>IF(Main!BM258&gt;0,Main!BM258,"")</f>
        <v>42130</v>
      </c>
      <c r="AG257" s="263" t="str">
        <f>IF(Main!BN258&gt;0,Main!BN258,"")</f>
        <v/>
      </c>
      <c r="AH257" s="263" t="str">
        <f>IF(Main!BO258&gt;0,Main!BO258,"")</f>
        <v/>
      </c>
      <c r="AI257" s="263">
        <f>IF(Main!BR258&gt;0,Main!BR258,"")</f>
        <v>42130</v>
      </c>
      <c r="AJ257" s="263">
        <f>IF(Main!BQ258&gt;0,Main!BQ258,"")</f>
        <v>42130</v>
      </c>
      <c r="AK257" s="263">
        <f>IF(Main!AV258&gt;0,Main!AV258,"")</f>
        <v>42135</v>
      </c>
      <c r="AL257" s="263">
        <f>IF(Main!AU258&gt;0,Main!AU258,"")</f>
        <v>42130</v>
      </c>
      <c r="AM257" s="263">
        <f>IF(Main!AT258&gt;0,Main!AT258,"")</f>
        <v>42130</v>
      </c>
      <c r="AN257" s="259" t="str">
        <f>Main!BW258</f>
        <v xml:space="preserve">1905 (for processing) 5/6/2015, 2305 (for processing) 5/6/2015, MDR 5/9/2015, </v>
      </c>
    </row>
    <row r="258" spans="1:40" x14ac:dyDescent="0.25">
      <c r="A258" s="258">
        <f>Main!C259</f>
        <v>1082475</v>
      </c>
      <c r="B258" s="259" t="str">
        <f>Main!D259</f>
        <v>Antonio, Klloyd Austin Cayton</v>
      </c>
      <c r="C258" s="259" t="str">
        <f>Main!AH259</f>
        <v>Probationary</v>
      </c>
      <c r="D258" s="260">
        <f>Main!B259</f>
        <v>42128</v>
      </c>
      <c r="E258" s="260" t="str">
        <f>IF(Main!AI259&lt;1,"",Main!AI259)</f>
        <v>Jobstreet</v>
      </c>
      <c r="F258" s="260" t="str">
        <f>IF(Main!AJ259&lt;1,"",Main!AJ259)</f>
        <v/>
      </c>
      <c r="G258" s="260" t="str">
        <f>IF(Main!AK259&lt;1,"",Main!AK259)</f>
        <v/>
      </c>
      <c r="H258" s="259" t="str">
        <f>Main!Y259</f>
        <v>Senior Recruiter</v>
      </c>
      <c r="I258" s="259" t="str">
        <f>Main!Z259</f>
        <v>Level 1</v>
      </c>
      <c r="J258" s="259">
        <f>IF(Main!A259&lt;1,"",Main!A259)</f>
        <v>195</v>
      </c>
      <c r="K258" s="260">
        <f>IF(Main!AN259&gt;0,Main!AN259,"")</f>
        <v>32919</v>
      </c>
      <c r="L258" s="258" t="str">
        <f>IF(Main!Q259&gt;0,Main!Q259,"")</f>
        <v>switch2rock@yahoo.com.ph</v>
      </c>
      <c r="M258" s="410">
        <f>VALUE(IF(Main!S259&gt;0,Main!S259,""))</f>
        <v>9354192782</v>
      </c>
      <c r="N258" s="261" t="str">
        <f>Main!T259</f>
        <v/>
      </c>
      <c r="O258" s="258" t="str">
        <f>IF(Main!AO259&gt;0,Main!AO259,"")</f>
        <v/>
      </c>
      <c r="P258" s="258" t="str">
        <f>IF(Main!AP259&gt;0,Main!AP259,"")</f>
        <v/>
      </c>
      <c r="Q258" s="258" t="str">
        <f>IF(Main!AR259&gt;0,Main!AR259,"")</f>
        <v/>
      </c>
      <c r="R258" s="259" t="str">
        <f>IF(Main!AQ259&gt;0,Main!AQ259,"")</f>
        <v/>
      </c>
      <c r="S258" s="259" t="str">
        <f>IF(Main!BD259&gt;0,Main!BD259,"")</f>
        <v>34-1962477-3</v>
      </c>
      <c r="T258" s="259" t="str">
        <f>IF(Main!AX259&gt;0,Main!AX259,"")</f>
        <v/>
      </c>
      <c r="U258" s="259" t="str">
        <f>IF(Main!BH259&gt;0,Main!BH259,"")</f>
        <v/>
      </c>
      <c r="V258" s="268" t="str">
        <f>IF(Main!BF259&gt;0,Main!BF259,"")</f>
        <v/>
      </c>
      <c r="W258" s="263">
        <f>IF(Main!BS259&gt;0,Main!BS259,"")</f>
        <v>42128</v>
      </c>
      <c r="X258" s="263">
        <f>IF(Main!BT259&gt;0,Main!BT259,"")</f>
        <v>42128</v>
      </c>
      <c r="Y258" s="263">
        <f>IF(Main!BU259&gt;0,Main!BU259,"")</f>
        <v>42128</v>
      </c>
      <c r="Z258" s="263" t="str">
        <f>IF(Main!AS259&gt;0,Main!AS259,"")</f>
        <v/>
      </c>
      <c r="AA258" s="263">
        <f>IF(Main!BJ259&gt;0,Main!BJ259,"")</f>
        <v>42136</v>
      </c>
      <c r="AB258" s="263">
        <f>IF(Main!BC259&gt;0,Main!BC259,"")</f>
        <v>42130</v>
      </c>
      <c r="AC258" s="263" t="str">
        <f>IF(Main!AW259&gt;0,Main!AW259,"")</f>
        <v/>
      </c>
      <c r="AD258" s="263" t="str">
        <f>IF(Main!BG259&gt;0,Main!BG259,"")</f>
        <v/>
      </c>
      <c r="AE258" s="263" t="str">
        <f>IF(Main!BE259&gt;0,Main!BE259,"")</f>
        <v/>
      </c>
      <c r="AF258" s="263">
        <f>IF(Main!BM259&gt;0,Main!BM259,"")</f>
        <v>42130</v>
      </c>
      <c r="AG258" s="263" t="str">
        <f>IF(Main!BN259&gt;0,Main!BN259,"")</f>
        <v/>
      </c>
      <c r="AH258" s="263">
        <f>IF(Main!BO259&gt;0,Main!BO259,"")</f>
        <v>42130</v>
      </c>
      <c r="AI258" s="263">
        <f>IF(Main!BR259&gt;0,Main!BR259,"")</f>
        <v>42130</v>
      </c>
      <c r="AJ258" s="263">
        <f>IF(Main!BQ259&gt;0,Main!BQ259,"")</f>
        <v>42130</v>
      </c>
      <c r="AK258" s="263" t="str">
        <f>IF(Main!AV259&gt;0,Main!AV259,"")</f>
        <v/>
      </c>
      <c r="AL258" s="263" t="str">
        <f>IF(Main!AU259&gt;0,Main!AU259,"")</f>
        <v/>
      </c>
      <c r="AM258" s="263" t="str">
        <f>IF(Main!AT259&gt;0,Main!AT259,"")</f>
        <v/>
      </c>
      <c r="AN258" s="259" t="str">
        <f>Main!BW259</f>
        <v/>
      </c>
    </row>
    <row r="259" spans="1:40" x14ac:dyDescent="0.25">
      <c r="A259" s="258">
        <f>Main!C260</f>
        <v>1082476</v>
      </c>
      <c r="B259" s="259" t="str">
        <f>Main!D260</f>
        <v>Arandela, Ahrra Marie Arcinue</v>
      </c>
      <c r="C259" s="259" t="str">
        <f>Main!AH260</f>
        <v>Probationary</v>
      </c>
      <c r="D259" s="260">
        <f>Main!B260</f>
        <v>42128</v>
      </c>
      <c r="E259" s="260" t="str">
        <f>IF(Main!AI260&lt;1,"",Main!AI260)</f>
        <v>ERP - Enif Tarronas</v>
      </c>
      <c r="F259" s="260" t="str">
        <f>IF(Main!AJ260&lt;1,"",Main!AJ260)</f>
        <v>Enif Tarronas</v>
      </c>
      <c r="G259" s="260" t="str">
        <f>IF(Main!AK260&lt;1,"",Main!AK260)</f>
        <v/>
      </c>
      <c r="H259" s="259" t="str">
        <f>Main!Y260</f>
        <v>Senior Recruiter</v>
      </c>
      <c r="I259" s="259" t="str">
        <f>Main!Z260</f>
        <v>Level 2</v>
      </c>
      <c r="J259" s="259">
        <f>IF(Main!A260&lt;1,"",Main!A260)</f>
        <v>195</v>
      </c>
      <c r="K259" s="260">
        <f>IF(Main!AN260&gt;0,Main!AN260,"")</f>
        <v>32066</v>
      </c>
      <c r="L259" s="258" t="str">
        <f>IF(Main!Q260&gt;0,Main!Q260,"")</f>
        <v>ahrramarie.arandela.1016@gmail.com</v>
      </c>
      <c r="M259" s="410">
        <f>VALUE(IF(Main!S260&gt;0,Main!S260,""))</f>
        <v>9068041656</v>
      </c>
      <c r="N259" s="261" t="str">
        <f>Main!T260</f>
        <v/>
      </c>
      <c r="O259" s="258" t="str">
        <f>IF(Main!AO260&gt;0,Main!AO260,"")</f>
        <v>Ph. 1 Blk 21 Lot 7 Parklane Country Homes.  Gen Trias, Cavite</v>
      </c>
      <c r="P259" s="258" t="str">
        <f>IF(Main!AP260&gt;0,Main!AP260,"")</f>
        <v>Ph. 1 Blk 21 Lot 7 Parklane Country Homes.  Gen Trias, Cavite</v>
      </c>
      <c r="Q259" s="258" t="str">
        <f>IF(Main!AR260&gt;0,Main!AR260,"")</f>
        <v>Single</v>
      </c>
      <c r="R259" s="259" t="str">
        <f>IF(Main!AQ260&gt;0,Main!AQ260,"")</f>
        <v>Female</v>
      </c>
      <c r="S259" s="259" t="str">
        <f>IF(Main!BD260&gt;0,Main!BD260,"")</f>
        <v>33-9874288-6</v>
      </c>
      <c r="T259" s="259" t="str">
        <f>IF(Main!AX260&gt;0,Main!AX260,"")</f>
        <v>310-747-572</v>
      </c>
      <c r="U259" s="259" t="str">
        <f>IF(Main!BH260&gt;0,Main!BH260,"")</f>
        <v>02-025711515-2</v>
      </c>
      <c r="V259" s="268" t="str">
        <f>IF(Main!BF260&gt;0,Main!BF260,"")</f>
        <v>1210-3537-4366</v>
      </c>
      <c r="W259" s="263">
        <f>IF(Main!BS260&gt;0,Main!BS260,"")</f>
        <v>42128</v>
      </c>
      <c r="X259" s="263">
        <f>IF(Main!BT260&gt;0,Main!BT260,"")</f>
        <v>42128</v>
      </c>
      <c r="Y259" s="263">
        <f>IF(Main!BU260&gt;0,Main!BU260,"")</f>
        <v>42128</v>
      </c>
      <c r="Z259" s="263">
        <f>IF(Main!AS260&gt;0,Main!AS260,"")</f>
        <v>42139</v>
      </c>
      <c r="AA259" s="263">
        <f>IF(Main!BJ260&gt;0,Main!BJ260,"")</f>
        <v>42139</v>
      </c>
      <c r="AB259" s="263">
        <f>IF(Main!BC260&gt;0,Main!BC260,"")</f>
        <v>42139</v>
      </c>
      <c r="AC259" s="263">
        <f>IF(Main!AW260&gt;0,Main!AW260,"")</f>
        <v>42139</v>
      </c>
      <c r="AD259" s="263">
        <f>IF(Main!BG260&gt;0,Main!BG260,"")</f>
        <v>42139</v>
      </c>
      <c r="AE259" s="263">
        <f>IF(Main!BE260&gt;0,Main!BE260,"")</f>
        <v>42139</v>
      </c>
      <c r="AF259" s="263">
        <f>IF(Main!BM260&gt;0,Main!BM260,"")</f>
        <v>42139</v>
      </c>
      <c r="AG259" s="263" t="str">
        <f>IF(Main!BN260&gt;0,Main!BN260,"")</f>
        <v/>
      </c>
      <c r="AH259" s="263" t="str">
        <f>IF(Main!BO260&gt;0,Main!BO260,"")</f>
        <v/>
      </c>
      <c r="AI259" s="263" t="str">
        <f>IF(Main!BR260&gt;0,Main!BR260,"")</f>
        <v/>
      </c>
      <c r="AJ259" s="263">
        <f>IF(Main!BQ260&gt;0,Main!BQ260,"")</f>
        <v>42139</v>
      </c>
      <c r="AK259" s="263">
        <f>IF(Main!AV260&gt;0,Main!AV260,"")</f>
        <v>42139</v>
      </c>
      <c r="AL259" s="263">
        <f>IF(Main!AU260&gt;0,Main!AU260,"")</f>
        <v>42139</v>
      </c>
      <c r="AM259" s="263">
        <f>IF(Main!AT260&gt;0,Main!AT260,"")</f>
        <v>42139</v>
      </c>
      <c r="AN259" s="259" t="str">
        <f>Main!BW260</f>
        <v xml:space="preserve">1905 (for processing) 5/15/2015, 2305 (for processing) 5/15/2015, </v>
      </c>
    </row>
    <row r="260" spans="1:40" x14ac:dyDescent="0.25">
      <c r="A260" s="258">
        <f>Main!C261</f>
        <v>1082477</v>
      </c>
      <c r="B260" s="259" t="str">
        <f>Main!D261</f>
        <v>Avella, Rey Pabillaran</v>
      </c>
      <c r="C260" s="259" t="str">
        <f>Main!AH261</f>
        <v>Probationary</v>
      </c>
      <c r="D260" s="260">
        <f>Main!B261</f>
        <v>42128</v>
      </c>
      <c r="E260" s="260" t="str">
        <f>IF(Main!AI261&lt;1,"",Main!AI261)</f>
        <v>Jobstreet</v>
      </c>
      <c r="F260" s="260" t="str">
        <f>IF(Main!AJ261&lt;1,"",Main!AJ261)</f>
        <v/>
      </c>
      <c r="G260" s="260" t="str">
        <f>IF(Main!AK261&lt;1,"",Main!AK261)</f>
        <v/>
      </c>
      <c r="H260" s="259" t="str">
        <f>Main!Y261</f>
        <v>Senior Recruiter</v>
      </c>
      <c r="I260" s="259" t="str">
        <f>Main!Z261</f>
        <v>Level 1</v>
      </c>
      <c r="J260" s="259">
        <f>IF(Main!A261&lt;1,"",Main!A261)</f>
        <v>195</v>
      </c>
      <c r="K260" s="260">
        <f>IF(Main!AN261&gt;0,Main!AN261,"")</f>
        <v>33717</v>
      </c>
      <c r="L260" s="258" t="str">
        <f>IF(Main!Q261&gt;0,Main!Q261,"")</f>
        <v>reyavella@ymail.com</v>
      </c>
      <c r="M260" s="410">
        <f>VALUE(IF(Main!S261&gt;0,Main!S261,""))</f>
        <v>9355149014</v>
      </c>
      <c r="N260" s="261" t="str">
        <f>Main!T261</f>
        <v/>
      </c>
      <c r="O260" s="258" t="str">
        <f>IF(Main!AO261&gt;0,Main!AO261,"")</f>
        <v/>
      </c>
      <c r="P260" s="258" t="str">
        <f>IF(Main!AP261&gt;0,Main!AP261,"")</f>
        <v/>
      </c>
      <c r="Q260" s="258" t="str">
        <f>IF(Main!AR261&gt;0,Main!AR261,"")</f>
        <v/>
      </c>
      <c r="R260" s="259" t="str">
        <f>IF(Main!AQ261&gt;0,Main!AQ261,"")</f>
        <v/>
      </c>
      <c r="S260" s="259" t="str">
        <f>IF(Main!BD261&gt;0,Main!BD261,"")</f>
        <v/>
      </c>
      <c r="T260" s="259" t="str">
        <f>IF(Main!AX261&gt;0,Main!AX261,"")</f>
        <v/>
      </c>
      <c r="U260" s="259" t="str">
        <f>IF(Main!BH261&gt;0,Main!BH261,"")</f>
        <v/>
      </c>
      <c r="V260" s="268" t="str">
        <f>IF(Main!BF261&gt;0,Main!BF261,"")</f>
        <v/>
      </c>
      <c r="W260" s="263">
        <f>IF(Main!BS261&gt;0,Main!BS261,"")</f>
        <v>42128</v>
      </c>
      <c r="X260" s="263">
        <f>IF(Main!BT261&gt;0,Main!BT261,"")</f>
        <v>42128</v>
      </c>
      <c r="Y260" s="263">
        <f>IF(Main!BU261&gt;0,Main!BU261,"")</f>
        <v>42128</v>
      </c>
      <c r="Z260" s="263" t="str">
        <f>IF(Main!AS261&gt;0,Main!AS261,"")</f>
        <v/>
      </c>
      <c r="AA260" s="263" t="str">
        <f>IF(Main!BJ261&gt;0,Main!BJ261,"")</f>
        <v/>
      </c>
      <c r="AB260" s="263" t="str">
        <f>IF(Main!BC261&gt;0,Main!BC261,"")</f>
        <v/>
      </c>
      <c r="AC260" s="263" t="str">
        <f>IF(Main!AW261&gt;0,Main!AW261,"")</f>
        <v/>
      </c>
      <c r="AD260" s="263" t="str">
        <f>IF(Main!BG261&gt;0,Main!BG261,"")</f>
        <v/>
      </c>
      <c r="AE260" s="263" t="str">
        <f>IF(Main!BE261&gt;0,Main!BE261,"")</f>
        <v/>
      </c>
      <c r="AF260" s="263" t="str">
        <f>IF(Main!BM261&gt;0,Main!BM261,"")</f>
        <v/>
      </c>
      <c r="AG260" s="263" t="str">
        <f>IF(Main!BN261&gt;0,Main!BN261,"")</f>
        <v/>
      </c>
      <c r="AH260" s="263" t="str">
        <f>IF(Main!BO261&gt;0,Main!BO261,"")</f>
        <v/>
      </c>
      <c r="AI260" s="263" t="str">
        <f>IF(Main!BR261&gt;0,Main!BR261,"")</f>
        <v/>
      </c>
      <c r="AJ260" s="263" t="str">
        <f>IF(Main!BQ261&gt;0,Main!BQ261,"")</f>
        <v/>
      </c>
      <c r="AK260" s="263" t="str">
        <f>IF(Main!AV261&gt;0,Main!AV261,"")</f>
        <v/>
      </c>
      <c r="AL260" s="263" t="str">
        <f>IF(Main!AU261&gt;0,Main!AU261,"")</f>
        <v/>
      </c>
      <c r="AM260" s="263" t="str">
        <f>IF(Main!AT261&gt;0,Main!AT261,"")</f>
        <v/>
      </c>
      <c r="AN260" s="259" t="str">
        <f>Main!BW261</f>
        <v/>
      </c>
    </row>
    <row r="261" spans="1:40" x14ac:dyDescent="0.25">
      <c r="A261" s="258">
        <f>Main!C262</f>
        <v>1082478</v>
      </c>
      <c r="B261" s="259" t="str">
        <f>Main!D262</f>
        <v>Bartolome, Camille Boyo</v>
      </c>
      <c r="C261" s="259" t="str">
        <f>Main!AH262</f>
        <v>Probationary</v>
      </c>
      <c r="D261" s="260">
        <f>Main!B262</f>
        <v>42128</v>
      </c>
      <c r="E261" s="260" t="str">
        <f>IF(Main!AI262&lt;1,"",Main!AI262)</f>
        <v>Jobstreet</v>
      </c>
      <c r="F261" s="260" t="str">
        <f>IF(Main!AJ262&lt;1,"",Main!AJ262)</f>
        <v/>
      </c>
      <c r="G261" s="260" t="str">
        <f>IF(Main!AK262&lt;1,"",Main!AK262)</f>
        <v/>
      </c>
      <c r="H261" s="259" t="str">
        <f>Main!Y262</f>
        <v>Senior Recruiter</v>
      </c>
      <c r="I261" s="259" t="str">
        <f>Main!Z262</f>
        <v>Level 1</v>
      </c>
      <c r="J261" s="259">
        <f>IF(Main!A262&lt;1,"",Main!A262)</f>
        <v>195</v>
      </c>
      <c r="K261" s="260" t="str">
        <f>IF(Main!AN262&gt;0,Main!AN262,"")</f>
        <v>03/231994</v>
      </c>
      <c r="L261" s="258" t="str">
        <f>IF(Main!Q262&gt;0,Main!Q262,"")</f>
        <v>camilleabartolome@gmail.com</v>
      </c>
      <c r="M261" s="410">
        <f>VALUE(IF(Main!S262&gt;0,Main!S262,""))</f>
        <v>9067740256</v>
      </c>
      <c r="N261" s="261" t="str">
        <f>Main!T262</f>
        <v/>
      </c>
      <c r="O261" s="258" t="str">
        <f>IF(Main!AO262&gt;0,Main!AO262,"")</f>
        <v>91 Bautista St. Bayanan Muntinlupa City</v>
      </c>
      <c r="P261" s="258" t="str">
        <f>IF(Main!AP262&gt;0,Main!AP262,"")</f>
        <v>91 Bautista St. Bayanan Muntinlupa City</v>
      </c>
      <c r="Q261" s="258" t="str">
        <f>IF(Main!AR262&gt;0,Main!AR262,"")</f>
        <v>Single</v>
      </c>
      <c r="R261" s="259" t="str">
        <f>IF(Main!AQ262&gt;0,Main!AQ262,"")</f>
        <v>Female</v>
      </c>
      <c r="S261" s="259" t="str">
        <f>IF(Main!BD262&gt;0,Main!BD262,"")</f>
        <v>34-3919543-1</v>
      </c>
      <c r="T261" s="259" t="str">
        <f>IF(Main!AX262&gt;0,Main!AX262,"")</f>
        <v>316-670-807</v>
      </c>
      <c r="U261" s="259" t="str">
        <f>IF(Main!BH262&gt;0,Main!BH262,"")</f>
        <v>01-051846783-8</v>
      </c>
      <c r="V261" s="268" t="str">
        <f>IF(Main!BF262&gt;0,Main!BF262,"")</f>
        <v>1211-1033-3326</v>
      </c>
      <c r="W261" s="263">
        <f>IF(Main!BS262&gt;0,Main!BS262,"")</f>
        <v>42128</v>
      </c>
      <c r="X261" s="263">
        <f>IF(Main!BT262&gt;0,Main!BT262,"")</f>
        <v>42128</v>
      </c>
      <c r="Y261" s="263">
        <f>IF(Main!BU262&gt;0,Main!BU262,"")</f>
        <v>42128</v>
      </c>
      <c r="Z261" s="263">
        <f>IF(Main!AS262&gt;0,Main!AS262,"")</f>
        <v>42132</v>
      </c>
      <c r="AA261" s="263">
        <f>IF(Main!BJ262&gt;0,Main!BJ262,"")</f>
        <v>42132</v>
      </c>
      <c r="AB261" s="263">
        <f>IF(Main!BC262&gt;0,Main!BC262,"")</f>
        <v>42132</v>
      </c>
      <c r="AC261" s="263">
        <f>IF(Main!AW262&gt;0,Main!AW262,"")</f>
        <v>42132</v>
      </c>
      <c r="AD261" s="263">
        <f>IF(Main!BG262&gt;0,Main!BG262,"")</f>
        <v>42133</v>
      </c>
      <c r="AE261" s="263">
        <f>IF(Main!BE262&gt;0,Main!BE262,"")</f>
        <v>42133</v>
      </c>
      <c r="AF261" s="263">
        <f>IF(Main!BM262&gt;0,Main!BM262,"")</f>
        <v>42132</v>
      </c>
      <c r="AG261" s="263" t="str">
        <f>IF(Main!BN262&gt;0,Main!BN262,"")</f>
        <v/>
      </c>
      <c r="AH261" s="263" t="str">
        <f>IF(Main!BO262&gt;0,Main!BO262,"")</f>
        <v/>
      </c>
      <c r="AI261" s="263">
        <f>IF(Main!BR262&gt;0,Main!BR262,"")</f>
        <v>42132</v>
      </c>
      <c r="AJ261" s="263" t="str">
        <f>IF(Main!BQ262&gt;0,Main!BQ262,"")</f>
        <v/>
      </c>
      <c r="AK261" s="263">
        <f>IF(Main!AV262&gt;0,Main!AV262,"")</f>
        <v>42135</v>
      </c>
      <c r="AL261" s="263">
        <f>IF(Main!AU262&gt;0,Main!AU262,"")</f>
        <v>42132</v>
      </c>
      <c r="AM261" s="263">
        <f>IF(Main!AT262&gt;0,Main!AT262,"")</f>
        <v>42132</v>
      </c>
      <c r="AN261" s="259" t="str">
        <f>Main!BW262</f>
        <v xml:space="preserve">1905 (for processing) 5/8/2015, 2305 (for processing) 5/8/2015, MDR 5/9/2015, </v>
      </c>
    </row>
    <row r="262" spans="1:40" x14ac:dyDescent="0.25">
      <c r="A262" s="258">
        <f>Main!C263</f>
        <v>1082479</v>
      </c>
      <c r="B262" s="259" t="str">
        <f>Main!D263</f>
        <v>Britanico, Ron Janmar Molina</v>
      </c>
      <c r="C262" s="259" t="str">
        <f>Main!AH263</f>
        <v>Probationary</v>
      </c>
      <c r="D262" s="260">
        <f>Main!B263</f>
        <v>42128</v>
      </c>
      <c r="E262" s="260" t="str">
        <f>IF(Main!AI263&lt;1,"",Main!AI263)</f>
        <v>ERP - Justine Rogano</v>
      </c>
      <c r="F262" s="260" t="str">
        <f>IF(Main!AJ263&lt;1,"",Main!AJ263)</f>
        <v>Justine Rogano</v>
      </c>
      <c r="G262" s="260" t="str">
        <f>IF(Main!AK263&lt;1,"",Main!AK263)</f>
        <v/>
      </c>
      <c r="H262" s="259" t="str">
        <f>Main!Y263</f>
        <v>Senior Recruiter</v>
      </c>
      <c r="I262" s="259" t="str">
        <f>Main!Z263</f>
        <v>Level 1</v>
      </c>
      <c r="J262" s="259">
        <f>IF(Main!A263&lt;1,"",Main!A263)</f>
        <v>195</v>
      </c>
      <c r="K262" s="260">
        <f>IF(Main!AN263&gt;0,Main!AN263,"")</f>
        <v>32206</v>
      </c>
      <c r="L262" s="258" t="str">
        <f>IF(Main!Q263&gt;0,Main!Q263,"")</f>
        <v>kidlatbritanico@yahoo.com</v>
      </c>
      <c r="M262" s="410">
        <f>VALUE(IF(Main!S263&gt;0,Main!S263,""))</f>
        <v>9158855985</v>
      </c>
      <c r="N262" s="261" t="str">
        <f>Main!T263</f>
        <v/>
      </c>
      <c r="O262" s="258" t="str">
        <f>IF(Main!AO263&gt;0,Main!AO263,"")</f>
        <v>Lot 34 Blk 45 Magnolia St. Modesta Village San Mateo Rizal</v>
      </c>
      <c r="P262" s="258" t="str">
        <f>IF(Main!AP263&gt;0,Main!AP263,"")</f>
        <v/>
      </c>
      <c r="Q262" s="258" t="str">
        <f>IF(Main!AR263&gt;0,Main!AR263,"")</f>
        <v>Single</v>
      </c>
      <c r="R262" s="259" t="str">
        <f>IF(Main!AQ263&gt;0,Main!AQ263,"")</f>
        <v>Male</v>
      </c>
      <c r="S262" s="259" t="str">
        <f>IF(Main!BD263&gt;0,Main!BD263,"")</f>
        <v>34-1917364-8</v>
      </c>
      <c r="T262" s="259" t="str">
        <f>IF(Main!AX263&gt;0,Main!AX263,"")</f>
        <v/>
      </c>
      <c r="U262" s="259" t="str">
        <f>IF(Main!BH263&gt;0,Main!BH263,"")</f>
        <v>01-050991396-5</v>
      </c>
      <c r="V262" s="268" t="str">
        <f>IF(Main!BF263&gt;0,Main!BF263,"")</f>
        <v>1210-1913-5942</v>
      </c>
      <c r="W262" s="263">
        <f>IF(Main!BS263&gt;0,Main!BS263,"")</f>
        <v>42128</v>
      </c>
      <c r="X262" s="263">
        <f>IF(Main!BT263&gt;0,Main!BT263,"")</f>
        <v>42128</v>
      </c>
      <c r="Y262" s="263">
        <f>IF(Main!BU263&gt;0,Main!BU263,"")</f>
        <v>42128</v>
      </c>
      <c r="Z262" s="263">
        <f>IF(Main!AS263&gt;0,Main!AS263,"")</f>
        <v>42130</v>
      </c>
      <c r="AA262" s="263" t="str">
        <f>IF(Main!BJ263&gt;0,Main!BJ263,"")</f>
        <v/>
      </c>
      <c r="AB262" s="263">
        <f>IF(Main!BC263&gt;0,Main!BC263,"")</f>
        <v>42130</v>
      </c>
      <c r="AC262" s="263" t="str">
        <f>IF(Main!AW263&gt;0,Main!AW263,"")</f>
        <v/>
      </c>
      <c r="AD262" s="263">
        <f>IF(Main!BG263&gt;0,Main!BG263,"")</f>
        <v>42130</v>
      </c>
      <c r="AE262" s="263">
        <f>IF(Main!BE263&gt;0,Main!BE263,"")</f>
        <v>42130</v>
      </c>
      <c r="AF262" s="263">
        <f>IF(Main!BM263&gt;0,Main!BM263,"")</f>
        <v>42130</v>
      </c>
      <c r="AG262" s="263" t="str">
        <f>IF(Main!BN263&gt;0,Main!BN263,"")</f>
        <v/>
      </c>
      <c r="AH262" s="263" t="str">
        <f>IF(Main!BO263&gt;0,Main!BO263,"")</f>
        <v/>
      </c>
      <c r="AI262" s="263" t="str">
        <f>IF(Main!BR263&gt;0,Main!BR263,"")</f>
        <v/>
      </c>
      <c r="AJ262" s="263">
        <f>IF(Main!BQ263&gt;0,Main!BQ263,"")</f>
        <v>42130</v>
      </c>
      <c r="AK262" s="263" t="str">
        <f>IF(Main!AV263&gt;0,Main!AV263,"")</f>
        <v/>
      </c>
      <c r="AL262" s="263">
        <f>IF(Main!AU263&gt;0,Main!AU263,"")</f>
        <v>42130</v>
      </c>
      <c r="AM262" s="263">
        <f>IF(Main!AT263&gt;0,Main!AT263,"")</f>
        <v>42130</v>
      </c>
      <c r="AN262" s="259" t="str">
        <f>Main!BW263</f>
        <v/>
      </c>
    </row>
    <row r="263" spans="1:40" x14ac:dyDescent="0.25">
      <c r="A263" s="258">
        <f>Main!C264</f>
        <v>1082480</v>
      </c>
      <c r="B263" s="259" t="str">
        <f>Main!D264</f>
        <v>Bunda, Raymond Ladiana</v>
      </c>
      <c r="C263" s="259" t="str">
        <f>Main!AH264</f>
        <v>Probationary</v>
      </c>
      <c r="D263" s="260">
        <f>Main!B264</f>
        <v>42128</v>
      </c>
      <c r="E263" s="260" t="str">
        <f>IF(Main!AI264&lt;1,"",Main!AI264)</f>
        <v>Job Fair</v>
      </c>
      <c r="F263" s="260" t="str">
        <f>IF(Main!AJ264&lt;1,"",Main!AJ264)</f>
        <v/>
      </c>
      <c r="G263" s="260" t="str">
        <f>IF(Main!AK264&lt;1,"",Main!AK264)</f>
        <v/>
      </c>
      <c r="H263" s="259" t="str">
        <f>Main!Y264</f>
        <v>Senior Recruiter</v>
      </c>
      <c r="I263" s="259" t="str">
        <f>Main!Z264</f>
        <v>Level 2</v>
      </c>
      <c r="J263" s="259">
        <f>IF(Main!A264&lt;1,"",Main!A264)</f>
        <v>195</v>
      </c>
      <c r="K263" s="260">
        <f>IF(Main!AN264&gt;0,Main!AN264,"")</f>
        <v>28779</v>
      </c>
      <c r="L263" s="258" t="str">
        <f>IF(Main!Q264&gt;0,Main!Q264,"")</f>
        <v>red.bunda@gmail.com</v>
      </c>
      <c r="M263" s="410">
        <f>VALUE(IF(Main!S264&gt;0,Main!S264,""))</f>
        <v>9433349452</v>
      </c>
      <c r="N263" s="261" t="str">
        <f>Main!T264</f>
        <v/>
      </c>
      <c r="O263" s="258" t="str">
        <f>IF(Main!AO264&gt;0,Main!AO264,"")</f>
        <v>154 Sen. Neptali A. Gonzales St. Mandaluyong City</v>
      </c>
      <c r="P263" s="258" t="str">
        <f>IF(Main!AP264&gt;0,Main!AP264,"")</f>
        <v>154 Sen. Neptali A. Gonzales St. Mandaluyong City</v>
      </c>
      <c r="Q263" s="258" t="str">
        <f>IF(Main!AR264&gt;0,Main!AR264,"")</f>
        <v>Married</v>
      </c>
      <c r="R263" s="259" t="str">
        <f>IF(Main!AQ264&gt;0,Main!AQ264,"")</f>
        <v>Male</v>
      </c>
      <c r="S263" s="259" t="str">
        <f>IF(Main!BD264&gt;0,Main!BD264,"")</f>
        <v>33-4284101-8</v>
      </c>
      <c r="T263" s="259" t="str">
        <f>IF(Main!AX264&gt;0,Main!AX264,"")</f>
        <v>198-808-388</v>
      </c>
      <c r="U263" s="259" t="str">
        <f>IF(Main!BH264&gt;0,Main!BH264,"")</f>
        <v>19-051094037-0</v>
      </c>
      <c r="V263" s="268" t="str">
        <f>IF(Main!BF264&gt;0,Main!BF264,"")</f>
        <v>1010-0079-8149</v>
      </c>
      <c r="W263" s="263">
        <f>IF(Main!BS264&gt;0,Main!BS264,"")</f>
        <v>42128</v>
      </c>
      <c r="X263" s="263">
        <f>IF(Main!BT264&gt;0,Main!BT264,"")</f>
        <v>42128</v>
      </c>
      <c r="Y263" s="263">
        <f>IF(Main!BU264&gt;0,Main!BU264,"")</f>
        <v>42128</v>
      </c>
      <c r="Z263" s="263">
        <f>IF(Main!AS264&gt;0,Main!AS264,"")</f>
        <v>42130</v>
      </c>
      <c r="AA263" s="263">
        <f>IF(Main!BJ264&gt;0,Main!BJ264,"")</f>
        <v>42136</v>
      </c>
      <c r="AB263" s="263">
        <f>IF(Main!BC264&gt;0,Main!BC264,"")</f>
        <v>42130</v>
      </c>
      <c r="AC263" s="263">
        <f>IF(Main!AW264&gt;0,Main!AW264,"")</f>
        <v>42132</v>
      </c>
      <c r="AD263" s="263">
        <f>IF(Main!BG264&gt;0,Main!BG264,"")</f>
        <v>42130</v>
      </c>
      <c r="AE263" s="263">
        <f>IF(Main!BE264&gt;0,Main!BE264,"")</f>
        <v>42130</v>
      </c>
      <c r="AF263" s="263">
        <f>IF(Main!BM264&gt;0,Main!BM264,"")</f>
        <v>42130</v>
      </c>
      <c r="AG263" s="263">
        <f>IF(Main!BN264&gt;0,Main!BN264,"")</f>
        <v>42130</v>
      </c>
      <c r="AH263" s="263">
        <f>IF(Main!BO264&gt;0,Main!BO264,"")</f>
        <v>42132</v>
      </c>
      <c r="AI263" s="263">
        <f>IF(Main!BR264&gt;0,Main!BR264,"")</f>
        <v>42130</v>
      </c>
      <c r="AJ263" s="263">
        <f>IF(Main!BQ264&gt;0,Main!BQ264,"")</f>
        <v>42130</v>
      </c>
      <c r="AK263" s="263">
        <f>IF(Main!AV264&gt;0,Main!AV264,"")</f>
        <v>42140</v>
      </c>
      <c r="AL263" s="263">
        <f>IF(Main!AU264&gt;0,Main!AU264,"")</f>
        <v>42129</v>
      </c>
      <c r="AM263" s="263">
        <f>IF(Main!AT264&gt;0,Main!AT264,"")</f>
        <v>42129</v>
      </c>
      <c r="AN263" s="259" t="str">
        <f>Main!BW264</f>
        <v xml:space="preserve">1905 (for processing) 5/8/2015, 2305 (for processing) 5/8/2015, MDR 5/12/2015, </v>
      </c>
    </row>
    <row r="264" spans="1:40" x14ac:dyDescent="0.25">
      <c r="A264" s="258">
        <f>Main!C265</f>
        <v>1082481</v>
      </c>
      <c r="B264" s="259" t="str">
        <f>Main!D265</f>
        <v>Enciso, April Therese Estacio</v>
      </c>
      <c r="C264" s="259" t="str">
        <f>Main!AH265</f>
        <v>Probationary</v>
      </c>
      <c r="D264" s="260">
        <f>Main!B265</f>
        <v>42128</v>
      </c>
      <c r="E264" s="260" t="str">
        <f>IF(Main!AI265&lt;1,"",Main!AI265)</f>
        <v>Jobstreet</v>
      </c>
      <c r="F264" s="260" t="str">
        <f>IF(Main!AJ265&lt;1,"",Main!AJ265)</f>
        <v/>
      </c>
      <c r="G264" s="260" t="str">
        <f>IF(Main!AK265&lt;1,"",Main!AK265)</f>
        <v/>
      </c>
      <c r="H264" s="259" t="str">
        <f>Main!Y265</f>
        <v>Senior Recruiter</v>
      </c>
      <c r="I264" s="259" t="str">
        <f>Main!Z265</f>
        <v>Level 1</v>
      </c>
      <c r="J264" s="259">
        <f>IF(Main!A265&lt;1,"",Main!A265)</f>
        <v>195</v>
      </c>
      <c r="K264" s="260">
        <f>IF(Main!AN265&gt;0,Main!AN265,"")</f>
        <v>34087</v>
      </c>
      <c r="L264" s="258" t="str">
        <f>IF(Main!Q265&gt;0,Main!Q265,"")</f>
        <v>atenciso@gmail.com</v>
      </c>
      <c r="M264" s="410">
        <f>VALUE(IF(Main!S265&gt;0,Main!S265,""))</f>
        <v>9151332381</v>
      </c>
      <c r="N264" s="261" t="str">
        <f>Main!T265</f>
        <v/>
      </c>
      <c r="O264" s="258" t="str">
        <f>IF(Main!AO265&gt;0,Main!AO265,"")</f>
        <v/>
      </c>
      <c r="P264" s="258" t="str">
        <f>IF(Main!AP265&gt;0,Main!AP265,"")</f>
        <v/>
      </c>
      <c r="Q264" s="258" t="str">
        <f>IF(Main!AR265&gt;0,Main!AR265,"")</f>
        <v/>
      </c>
      <c r="R264" s="259" t="str">
        <f>IF(Main!AQ265&gt;0,Main!AQ265,"")</f>
        <v/>
      </c>
      <c r="S264" s="259" t="str">
        <f>IF(Main!BD265&gt;0,Main!BD265,"")</f>
        <v/>
      </c>
      <c r="T264" s="259" t="str">
        <f>IF(Main!AX265&gt;0,Main!AX265,"")</f>
        <v>297-080-127</v>
      </c>
      <c r="U264" s="259" t="str">
        <f>IF(Main!BH265&gt;0,Main!BH265,"")</f>
        <v/>
      </c>
      <c r="V264" s="268" t="str">
        <f>IF(Main!BF265&gt;0,Main!BF265,"")</f>
        <v/>
      </c>
      <c r="W264" s="263">
        <f>IF(Main!BS265&gt;0,Main!BS265,"")</f>
        <v>42128</v>
      </c>
      <c r="X264" s="263">
        <f>IF(Main!BT265&gt;0,Main!BT265,"")</f>
        <v>42128</v>
      </c>
      <c r="Y264" s="263">
        <f>IF(Main!BU265&gt;0,Main!BU265,"")</f>
        <v>42128</v>
      </c>
      <c r="Z264" s="263" t="str">
        <f>IF(Main!AS265&gt;0,Main!AS265,"")</f>
        <v/>
      </c>
      <c r="AA264" s="263">
        <f>IF(Main!BJ265&gt;0,Main!BJ265,"")</f>
        <v>42130</v>
      </c>
      <c r="AB264" s="263" t="str">
        <f>IF(Main!BC265&gt;0,Main!BC265,"")</f>
        <v/>
      </c>
      <c r="AC264" s="263">
        <f>IF(Main!AW265&gt;0,Main!AW265,"")</f>
        <v>42130</v>
      </c>
      <c r="AD264" s="263" t="str">
        <f>IF(Main!BG265&gt;0,Main!BG265,"")</f>
        <v/>
      </c>
      <c r="AE264" s="263" t="str">
        <f>IF(Main!BE265&gt;0,Main!BE265,"")</f>
        <v/>
      </c>
      <c r="AF264" s="263">
        <f>IF(Main!BM265&gt;0,Main!BM265,"")</f>
        <v>42130</v>
      </c>
      <c r="AG264" s="263" t="str">
        <f>IF(Main!BN265&gt;0,Main!BN265,"")</f>
        <v/>
      </c>
      <c r="AH264" s="263" t="str">
        <f>IF(Main!BO265&gt;0,Main!BO265,"")</f>
        <v/>
      </c>
      <c r="AI264" s="263">
        <f>IF(Main!BR265&gt;0,Main!BR265,"")</f>
        <v>42130</v>
      </c>
      <c r="AJ264" s="263">
        <f>IF(Main!BQ265&gt;0,Main!BQ265,"")</f>
        <v>42130</v>
      </c>
      <c r="AK264" s="263" t="str">
        <f>IF(Main!AV265&gt;0,Main!AV265,"")</f>
        <v/>
      </c>
      <c r="AL264" s="263" t="str">
        <f>IF(Main!AU265&gt;0,Main!AU265,"")</f>
        <v/>
      </c>
      <c r="AM264" s="263" t="str">
        <f>IF(Main!AT265&gt;0,Main!AT265,"")</f>
        <v/>
      </c>
      <c r="AN264" s="259" t="str">
        <f>Main!BW265</f>
        <v/>
      </c>
    </row>
    <row r="265" spans="1:40" x14ac:dyDescent="0.25">
      <c r="A265" s="258">
        <f>Main!C266</f>
        <v>1082482</v>
      </c>
      <c r="B265" s="259" t="str">
        <f>Main!D266</f>
        <v>Jandusay, Kristian Andy San Miguel</v>
      </c>
      <c r="C265" s="259" t="str">
        <f>Main!AH266</f>
        <v>Probationary</v>
      </c>
      <c r="D265" s="260">
        <f>Main!B266</f>
        <v>42128</v>
      </c>
      <c r="E265" s="260" t="str">
        <f>IF(Main!AI266&lt;1,"",Main!AI266)</f>
        <v>ERP - Gually Ong</v>
      </c>
      <c r="F265" s="260" t="str">
        <f>IF(Main!AJ266&lt;1,"",Main!AJ266)</f>
        <v>Gually Ong</v>
      </c>
      <c r="G265" s="260" t="str">
        <f>IF(Main!AK266&lt;1,"",Main!AK266)</f>
        <v/>
      </c>
      <c r="H265" s="259" t="str">
        <f>Main!Y266</f>
        <v>Senior Recruiter</v>
      </c>
      <c r="I265" s="259" t="str">
        <f>Main!Z266</f>
        <v>Level 1</v>
      </c>
      <c r="J265" s="259">
        <f>IF(Main!A266&lt;1,"",Main!A266)</f>
        <v>195</v>
      </c>
      <c r="K265" s="260" t="str">
        <f>IF(Main!AN266&gt;0,Main!AN266,"")</f>
        <v>09/031994</v>
      </c>
      <c r="L265" s="258" t="str">
        <f>IF(Main!Q266&gt;0,Main!Q266,"")</f>
        <v>kajandusay@gmail.com</v>
      </c>
      <c r="M265" s="410">
        <f>VALUE(IF(Main!S266&gt;0,Main!S266,""))</f>
        <v>9277897845</v>
      </c>
      <c r="N265" s="261" t="str">
        <f>Main!T266</f>
        <v/>
      </c>
      <c r="O265" s="258" t="str">
        <f>IF(Main!AO266&gt;0,Main!AO266,"")</f>
        <v>219 Saint Rita Street Lower Maricaban Pasay City</v>
      </c>
      <c r="P265" s="258" t="str">
        <f>IF(Main!AP266&gt;0,Main!AP266,"")</f>
        <v>219 Saint Rita Street Lower Maricaban Pasay City</v>
      </c>
      <c r="Q265" s="258" t="str">
        <f>IF(Main!AR266&gt;0,Main!AR266,"")</f>
        <v>Single</v>
      </c>
      <c r="R265" s="259" t="str">
        <f>IF(Main!AQ266&gt;0,Main!AQ266,"")</f>
        <v>Male</v>
      </c>
      <c r="S265" s="259" t="str">
        <f>IF(Main!BD266&gt;0,Main!BD266,"")</f>
        <v>34-3578935-9</v>
      </c>
      <c r="T265" s="259" t="str">
        <f>IF(Main!AX266&gt;0,Main!AX266,"")</f>
        <v>315-257-277</v>
      </c>
      <c r="U265" s="259" t="str">
        <f>IF(Main!BH266&gt;0,Main!BH266,"")</f>
        <v>01-051658311-3</v>
      </c>
      <c r="V265" s="268" t="str">
        <f>IF(Main!BF266&gt;0,Main!BF266,"")</f>
        <v/>
      </c>
      <c r="W265" s="263">
        <f>IF(Main!BS266&gt;0,Main!BS266,"")</f>
        <v>42128</v>
      </c>
      <c r="X265" s="263">
        <f>IF(Main!BT266&gt;0,Main!BT266,"")</f>
        <v>42128</v>
      </c>
      <c r="Y265" s="263">
        <f>IF(Main!BU266&gt;0,Main!BU266,"")</f>
        <v>42128</v>
      </c>
      <c r="Z265" s="263">
        <f>IF(Main!AS266&gt;0,Main!AS266,"")</f>
        <v>42130</v>
      </c>
      <c r="AA265" s="263">
        <f>IF(Main!BJ266&gt;0,Main!BJ266,"")</f>
        <v>42130</v>
      </c>
      <c r="AB265" s="263">
        <f>IF(Main!BC266&gt;0,Main!BC266,"")</f>
        <v>42130</v>
      </c>
      <c r="AC265" s="263">
        <f>IF(Main!AW266&gt;0,Main!AW266,"")</f>
        <v>42139</v>
      </c>
      <c r="AD265" s="263">
        <f>IF(Main!BG266&gt;0,Main!BG266,"")</f>
        <v>42139</v>
      </c>
      <c r="AE265" s="263" t="str">
        <f>IF(Main!BE266&gt;0,Main!BE266,"")</f>
        <v/>
      </c>
      <c r="AF265" s="263">
        <f>IF(Main!BM266&gt;0,Main!BM266,"")</f>
        <v>42130</v>
      </c>
      <c r="AG265" s="263" t="str">
        <f>IF(Main!BN266&gt;0,Main!BN266,"")</f>
        <v/>
      </c>
      <c r="AH265" s="263" t="str">
        <f>IF(Main!BO266&gt;0,Main!BO266,"")</f>
        <v/>
      </c>
      <c r="AI265" s="263" t="str">
        <f>IF(Main!BR266&gt;0,Main!BR266,"")</f>
        <v/>
      </c>
      <c r="AJ265" s="263">
        <f>IF(Main!BQ266&gt;0,Main!BQ266,"")</f>
        <v>42130</v>
      </c>
      <c r="AK265" s="263" t="str">
        <f>IF(Main!AV266&gt;0,Main!AV266,"")</f>
        <v/>
      </c>
      <c r="AL265" s="263">
        <f>IF(Main!AU266&gt;0,Main!AU266,"")</f>
        <v>42130</v>
      </c>
      <c r="AM265" s="263">
        <f>IF(Main!AT266&gt;0,Main!AT266,"")</f>
        <v>42130</v>
      </c>
      <c r="AN265" s="259" t="str">
        <f>Main!BW266</f>
        <v xml:space="preserve">1905 (for processing) 5/15/2015, 2305 (for processing) 5/15/2015, MDR 5/15/2015, </v>
      </c>
    </row>
    <row r="266" spans="1:40" x14ac:dyDescent="0.25">
      <c r="A266" s="258">
        <f>Main!C267</f>
        <v>1082483</v>
      </c>
      <c r="B266" s="259" t="str">
        <f>Main!D267</f>
        <v>Li, Annie Chailyn Bautista</v>
      </c>
      <c r="C266" s="259" t="str">
        <f>Main!AH267</f>
        <v>Probationary</v>
      </c>
      <c r="D266" s="260">
        <f>Main!B267</f>
        <v>42128</v>
      </c>
      <c r="E266" s="260" t="str">
        <f>IF(Main!AI267&lt;1,"",Main!AI267)</f>
        <v>Job Fair</v>
      </c>
      <c r="F266" s="260" t="str">
        <f>IF(Main!AJ267&lt;1,"",Main!AJ267)</f>
        <v/>
      </c>
      <c r="G266" s="260" t="str">
        <f>IF(Main!AK267&lt;1,"",Main!AK267)</f>
        <v/>
      </c>
      <c r="H266" s="259" t="str">
        <f>Main!Y267</f>
        <v>Senior Recruiter</v>
      </c>
      <c r="I266" s="259" t="str">
        <f>Main!Z267</f>
        <v>Level 2</v>
      </c>
      <c r="J266" s="259">
        <f>IF(Main!A267&lt;1,"",Main!A267)</f>
        <v>195</v>
      </c>
      <c r="K266" s="260">
        <f>IF(Main!AN267&gt;0,Main!AN267,"")</f>
        <v>29611</v>
      </c>
      <c r="L266" s="258" t="str">
        <f>IF(Main!Q267&gt;0,Main!Q267,"")</f>
        <v>syobz_chai@yahoo.com</v>
      </c>
      <c r="M266" s="410">
        <f>VALUE(IF(Main!S267&gt;0,Main!S267,""))</f>
        <v>9155551240</v>
      </c>
      <c r="N266" s="261" t="str">
        <f>Main!T267</f>
        <v/>
      </c>
      <c r="O266" s="258" t="str">
        <f>IF(Main!AO267&gt;0,Main!AO267,"")</f>
        <v>365 P. Guevarra St San Juan City</v>
      </c>
      <c r="P266" s="258" t="str">
        <f>IF(Main!AP267&gt;0,Main!AP267,"")</f>
        <v>365 P. Guevarra St San Juan City</v>
      </c>
      <c r="Q266" s="258" t="str">
        <f>IF(Main!AR267&gt;0,Main!AR267,"")</f>
        <v>Single Parent</v>
      </c>
      <c r="R266" s="259" t="str">
        <f>IF(Main!AQ267&gt;0,Main!AQ267,"")</f>
        <v>Female</v>
      </c>
      <c r="S266" s="259" t="str">
        <f>IF(Main!BD267&gt;0,Main!BD267,"")</f>
        <v>33-9753213-6</v>
      </c>
      <c r="T266" s="259" t="str">
        <f>IF(Main!AX267&gt;0,Main!AX267,"")</f>
        <v/>
      </c>
      <c r="U266" s="259" t="str">
        <f>IF(Main!BH267&gt;0,Main!BH267,"")</f>
        <v>01-025253567-0</v>
      </c>
      <c r="V266" s="268" t="str">
        <f>IF(Main!BF267&gt;0,Main!BF267,"")</f>
        <v>1210-6275-5273</v>
      </c>
      <c r="W266" s="263">
        <f>IF(Main!BS267&gt;0,Main!BS267,"")</f>
        <v>42128</v>
      </c>
      <c r="X266" s="263">
        <f>IF(Main!BT267&gt;0,Main!BT267,"")</f>
        <v>42128</v>
      </c>
      <c r="Y266" s="263">
        <f>IF(Main!BU267&gt;0,Main!BU267,"")</f>
        <v>42128</v>
      </c>
      <c r="Z266" s="263">
        <f>IF(Main!AS267&gt;0,Main!AS267,"")</f>
        <v>42130</v>
      </c>
      <c r="AA266" s="263">
        <f>IF(Main!BJ267&gt;0,Main!BJ267,"")</f>
        <v>42130</v>
      </c>
      <c r="AB266" s="263">
        <f>IF(Main!BC267&gt;0,Main!BC267,"")</f>
        <v>42130</v>
      </c>
      <c r="AC266" s="263" t="str">
        <f>IF(Main!AW267&gt;0,Main!AW267,"")</f>
        <v/>
      </c>
      <c r="AD266" s="263">
        <f>IF(Main!BG267&gt;0,Main!BG267,"")</f>
        <v>42129</v>
      </c>
      <c r="AE266" s="263">
        <f>IF(Main!BE267&gt;0,Main!BE267,"")</f>
        <v>42130</v>
      </c>
      <c r="AF266" s="263">
        <f>IF(Main!BM267&gt;0,Main!BM267,"")</f>
        <v>42130</v>
      </c>
      <c r="AG266" s="263" t="str">
        <f>IF(Main!BN267&gt;0,Main!BN267,"")</f>
        <v/>
      </c>
      <c r="AH266" s="263" t="str">
        <f>IF(Main!BO267&gt;0,Main!BO267,"")</f>
        <v/>
      </c>
      <c r="AI266" s="263">
        <f>IF(Main!BR267&gt;0,Main!BR267,"")</f>
        <v>42130</v>
      </c>
      <c r="AJ266" s="263">
        <f>IF(Main!BQ267&gt;0,Main!BQ267,"")</f>
        <v>42130</v>
      </c>
      <c r="AK266" s="263">
        <f>IF(Main!AV267&gt;0,Main!AV267,"")</f>
        <v>42129</v>
      </c>
      <c r="AL266" s="263">
        <f>IF(Main!AU267&gt;0,Main!AU267,"")</f>
        <v>42130</v>
      </c>
      <c r="AM266" s="263">
        <f>IF(Main!AT267&gt;0,Main!AT267,"")</f>
        <v>42130</v>
      </c>
      <c r="AN266" s="259" t="str">
        <f>Main!BW267</f>
        <v xml:space="preserve">2305 (for processing) 5/6/2015, MDR 5/6/2015, </v>
      </c>
    </row>
    <row r="267" spans="1:40" x14ac:dyDescent="0.25">
      <c r="A267" s="258">
        <f>Main!C268</f>
        <v>1082484</v>
      </c>
      <c r="B267" s="259" t="str">
        <f>Main!D268</f>
        <v>Manglal-lan, Mary Grace Marcelino</v>
      </c>
      <c r="C267" s="259" t="str">
        <f>Main!AH268</f>
        <v>Probationary</v>
      </c>
      <c r="D267" s="260">
        <f>Main!B268</f>
        <v>42128</v>
      </c>
      <c r="E267" s="260" t="str">
        <f>IF(Main!AI268&lt;1,"",Main!AI268)</f>
        <v>Jobstreet</v>
      </c>
      <c r="F267" s="260" t="str">
        <f>IF(Main!AJ268&lt;1,"",Main!AJ268)</f>
        <v/>
      </c>
      <c r="G267" s="260" t="str">
        <f>IF(Main!AK268&lt;1,"",Main!AK268)</f>
        <v/>
      </c>
      <c r="H267" s="259" t="str">
        <f>Main!Y268</f>
        <v>Senior Recruiter</v>
      </c>
      <c r="I267" s="259" t="str">
        <f>Main!Z268</f>
        <v>Level 1</v>
      </c>
      <c r="J267" s="259">
        <f>IF(Main!A268&lt;1,"",Main!A268)</f>
        <v>195</v>
      </c>
      <c r="K267" s="260">
        <f>IF(Main!AN268&gt;0,Main!AN268,"")</f>
        <v>31328</v>
      </c>
      <c r="L267" s="258" t="str">
        <f>IF(Main!Q268&gt;0,Main!Q268,"")</f>
        <v>markgrace11@yahoo.com</v>
      </c>
      <c r="M267" s="410">
        <f>VALUE(IF(Main!S268&gt;0,Main!S268,""))</f>
        <v>9254833792</v>
      </c>
      <c r="N267" s="261" t="str">
        <f>Main!T268</f>
        <v/>
      </c>
      <c r="O267" s="258" t="str">
        <f>IF(Main!AO268&gt;0,Main!AO268,"")</f>
        <v>Unit 111 Bldg. B 141 San Miguel St., Plainview, Mandaluyong City</v>
      </c>
      <c r="P267" s="258" t="str">
        <f>IF(Main!AP268&gt;0,Main!AP268,"")</f>
        <v>Unit 111 Bldg. B 141 San Miguel St., Plainview, Mandaluyong City</v>
      </c>
      <c r="Q267" s="258" t="str">
        <f>IF(Main!AR268&gt;0,Main!AR268,"")</f>
        <v>Married</v>
      </c>
      <c r="R267" s="259" t="str">
        <f>IF(Main!AQ268&gt;0,Main!AQ268,"")</f>
        <v>Female</v>
      </c>
      <c r="S267" s="259" t="str">
        <f>IF(Main!BD268&gt;0,Main!BD268,"")</f>
        <v>33-9572242-7</v>
      </c>
      <c r="T267" s="259" t="str">
        <f>IF(Main!AX268&gt;0,Main!AX268,"")</f>
        <v>255-577-209</v>
      </c>
      <c r="U267" s="259" t="str">
        <f>IF(Main!BH268&gt;0,Main!BH268,"")</f>
        <v>03-050472210-0</v>
      </c>
      <c r="V267" s="268" t="str">
        <f>IF(Main!BF268&gt;0,Main!BF268,"")</f>
        <v>1210-2175-9015</v>
      </c>
      <c r="W267" s="263">
        <f>IF(Main!BS268&gt;0,Main!BS268,"")</f>
        <v>42128</v>
      </c>
      <c r="X267" s="263">
        <f>IF(Main!BT268&gt;0,Main!BT268,"")</f>
        <v>42128</v>
      </c>
      <c r="Y267" s="263">
        <f>IF(Main!BU268&gt;0,Main!BU268,"")</f>
        <v>42128</v>
      </c>
      <c r="Z267" s="263">
        <f>IF(Main!AS268&gt;0,Main!AS268,"")</f>
        <v>42130</v>
      </c>
      <c r="AA267" s="263" t="str">
        <f>IF(Main!BJ268&gt;0,Main!BJ268,"")</f>
        <v/>
      </c>
      <c r="AB267" s="263">
        <f>IF(Main!BC268&gt;0,Main!BC268,"")</f>
        <v>42130</v>
      </c>
      <c r="AC267" s="263">
        <f>IF(Main!AW268&gt;0,Main!AW268,"")</f>
        <v>42130</v>
      </c>
      <c r="AD267" s="263">
        <f>IF(Main!BG268&gt;0,Main!BG268,"")</f>
        <v>42132</v>
      </c>
      <c r="AE267" s="263">
        <f>IF(Main!BE268&gt;0,Main!BE268,"")</f>
        <v>42130</v>
      </c>
      <c r="AF267" s="263">
        <f>IF(Main!BM268&gt;0,Main!BM268,"")</f>
        <v>42130</v>
      </c>
      <c r="AG267" s="263" t="str">
        <f>IF(Main!BN268&gt;0,Main!BN268,"")</f>
        <v/>
      </c>
      <c r="AH267" s="263" t="str">
        <f>IF(Main!BO268&gt;0,Main!BO268,"")</f>
        <v/>
      </c>
      <c r="AI267" s="263">
        <f>IF(Main!BR268&gt;0,Main!BR268,"")</f>
        <v>42130</v>
      </c>
      <c r="AJ267" s="263" t="str">
        <f>IF(Main!BQ268&gt;0,Main!BQ268,"")</f>
        <v/>
      </c>
      <c r="AK267" s="263" t="str">
        <f>IF(Main!AV268&gt;0,Main!AV268,"")</f>
        <v/>
      </c>
      <c r="AL267" s="263">
        <f>IF(Main!AU268&gt;0,Main!AU268,"")</f>
        <v>42130</v>
      </c>
      <c r="AM267" s="263">
        <f>IF(Main!AT268&gt;0,Main!AT268,"")</f>
        <v>42130</v>
      </c>
      <c r="AN267" s="259" t="str">
        <f>Main!BW268</f>
        <v>1905 (for processing) 5/8/2015, 2305 (for processing) 5/6/2015, 2316 (2014) - 5/6/2015</v>
      </c>
    </row>
    <row r="268" spans="1:40" x14ac:dyDescent="0.25">
      <c r="A268" s="258">
        <f>Main!C269</f>
        <v>1082485</v>
      </c>
      <c r="B268" s="259" t="str">
        <f>Main!D269</f>
        <v>Marfil, Lito Martin Sandig</v>
      </c>
      <c r="C268" s="259" t="str">
        <f>Main!AH269</f>
        <v>Probationary</v>
      </c>
      <c r="D268" s="260">
        <f>Main!B269</f>
        <v>42128</v>
      </c>
      <c r="E268" s="260" t="str">
        <f>IF(Main!AI269&lt;1,"",Main!AI269)</f>
        <v>ERP - Ronel Autor</v>
      </c>
      <c r="F268" s="260" t="str">
        <f>IF(Main!AJ269&lt;1,"",Main!AJ269)</f>
        <v>Ronel Autor</v>
      </c>
      <c r="G268" s="260" t="str">
        <f>IF(Main!AK269&lt;1,"",Main!AK269)</f>
        <v/>
      </c>
      <c r="H268" s="259" t="str">
        <f>Main!Y269</f>
        <v>Senior Recruiter</v>
      </c>
      <c r="I268" s="259" t="str">
        <f>Main!Z269</f>
        <v>Level 2</v>
      </c>
      <c r="J268" s="259">
        <f>IF(Main!A269&lt;1,"",Main!A269)</f>
        <v>195</v>
      </c>
      <c r="K268" s="260">
        <f>IF(Main!AN269&gt;0,Main!AN269,"")</f>
        <v>32185</v>
      </c>
      <c r="L268" s="258" t="str">
        <f>IF(Main!Q269&gt;0,Main!Q269,"")</f>
        <v>martin.lifram@gmail.com</v>
      </c>
      <c r="M268" s="410">
        <f>VALUE(IF(Main!S269&gt;0,Main!S269,""))</f>
        <v>9062333736</v>
      </c>
      <c r="N268" s="261" t="str">
        <f>Main!T269</f>
        <v/>
      </c>
      <c r="O268" s="258" t="str">
        <f>IF(Main!AO269&gt;0,Main!AO269,"")</f>
        <v>4-B Calderon St. Brgy. Marilag Proj 4 Cubao, Quezon City</v>
      </c>
      <c r="P268" s="258" t="str">
        <f>IF(Main!AP269&gt;0,Main!AP269,"")</f>
        <v>4-B Calderon St. Brgy. Marilag Proj 4 Cubao, Quezon City</v>
      </c>
      <c r="Q268" s="258" t="str">
        <f>IF(Main!AR269&gt;0,Main!AR269,"")</f>
        <v>Single</v>
      </c>
      <c r="R268" s="259" t="str">
        <f>IF(Main!AQ269&gt;0,Main!AQ269,"")</f>
        <v>Male</v>
      </c>
      <c r="S268" s="259" t="str">
        <f>IF(Main!BD269&gt;0,Main!BD269,"")</f>
        <v>34-0654439-0</v>
      </c>
      <c r="T268" s="259" t="str">
        <f>IF(Main!AX269&gt;0,Main!AX269,"")</f>
        <v>253-854-580</v>
      </c>
      <c r="U268" s="259" t="str">
        <f>IF(Main!BH269&gt;0,Main!BH269,"")</f>
        <v>03-051140375-4</v>
      </c>
      <c r="V268" s="268" t="str">
        <f>IF(Main!BF269&gt;0,Main!BF269,"")</f>
        <v>1211-0009-7191</v>
      </c>
      <c r="W268" s="263">
        <f>IF(Main!BS269&gt;0,Main!BS269,"")</f>
        <v>42128</v>
      </c>
      <c r="X268" s="263">
        <f>IF(Main!BT269&gt;0,Main!BT269,"")</f>
        <v>42128</v>
      </c>
      <c r="Y268" s="263">
        <f>IF(Main!BU269&gt;0,Main!BU269,"")</f>
        <v>42128</v>
      </c>
      <c r="Z268" s="263">
        <f>IF(Main!AS269&gt;0,Main!AS269,"")</f>
        <v>42130</v>
      </c>
      <c r="AA268" s="263">
        <f>IF(Main!BJ269&gt;0,Main!BJ269,"")</f>
        <v>42136</v>
      </c>
      <c r="AB268" s="263">
        <f>IF(Main!BC269&gt;0,Main!BC269,"")</f>
        <v>42136</v>
      </c>
      <c r="AC268" s="263">
        <f>IF(Main!AW269&gt;0,Main!AW269,"")</f>
        <v>42130</v>
      </c>
      <c r="AD268" s="263">
        <f>IF(Main!BG269&gt;0,Main!BG269,"")</f>
        <v>42136</v>
      </c>
      <c r="AE268" s="263">
        <f>IF(Main!BE269&gt;0,Main!BE269,"")</f>
        <v>42130</v>
      </c>
      <c r="AF268" s="263">
        <f>IF(Main!BM269&gt;0,Main!BM269,"")</f>
        <v>42130</v>
      </c>
      <c r="AG268" s="263" t="str">
        <f>IF(Main!BN269&gt;0,Main!BN269,"")</f>
        <v/>
      </c>
      <c r="AH268" s="263" t="str">
        <f>IF(Main!BO269&gt;0,Main!BO269,"")</f>
        <v/>
      </c>
      <c r="AI268" s="263">
        <f>IF(Main!BR269&gt;0,Main!BR269,"")</f>
        <v>42130</v>
      </c>
      <c r="AJ268" s="263">
        <f>IF(Main!BQ269&gt;0,Main!BQ269,"")</f>
        <v>42130</v>
      </c>
      <c r="AK268" s="263">
        <f>IF(Main!AV269&gt;0,Main!AV269,"")</f>
        <v>42140</v>
      </c>
      <c r="AL268" s="263">
        <f>IF(Main!AU269&gt;0,Main!AU269,"")</f>
        <v>42130</v>
      </c>
      <c r="AM268" s="263">
        <f>IF(Main!AT269&gt;0,Main!AT269,"")</f>
        <v>42130</v>
      </c>
      <c r="AN268" s="259" t="str">
        <f>Main!BW269</f>
        <v xml:space="preserve">1905 (for processing) 5/12/2015, 2305 (for processing) 5/8/2015, MDR 5/12/2015, </v>
      </c>
    </row>
    <row r="269" spans="1:40" x14ac:dyDescent="0.25">
      <c r="A269" s="258">
        <f>Main!C270</f>
        <v>1082486</v>
      </c>
      <c r="B269" s="259" t="str">
        <f>Main!D270</f>
        <v>Martinez, Susan Andes</v>
      </c>
      <c r="C269" s="259" t="str">
        <f>Main!AH270</f>
        <v>Probationary</v>
      </c>
      <c r="D269" s="260">
        <f>Main!B270</f>
        <v>42128</v>
      </c>
      <c r="E269" s="260" t="str">
        <f>IF(Main!AI270&lt;1,"",Main!AI270)</f>
        <v>Job Fair</v>
      </c>
      <c r="F269" s="260" t="str">
        <f>IF(Main!AJ270&lt;1,"",Main!AJ270)</f>
        <v/>
      </c>
      <c r="G269" s="260" t="str">
        <f>IF(Main!AK270&lt;1,"",Main!AK270)</f>
        <v/>
      </c>
      <c r="H269" s="259" t="str">
        <f>Main!Y270</f>
        <v>Senior Recruiter</v>
      </c>
      <c r="I269" s="259" t="str">
        <f>Main!Z270</f>
        <v>Level 2</v>
      </c>
      <c r="J269" s="259">
        <f>IF(Main!A270&lt;1,"",Main!A270)</f>
        <v>195</v>
      </c>
      <c r="K269" s="260">
        <f>IF(Main!AN270&gt;0,Main!AN270,"")</f>
        <v>31122</v>
      </c>
      <c r="L269" s="258" t="str">
        <f>IF(Main!Q270&gt;0,Main!Q270,"")</f>
        <v>samartinez000@gmail.com</v>
      </c>
      <c r="M269" s="410">
        <f>VALUE(IF(Main!S270&gt;0,Main!S270,""))</f>
        <v>9192082533</v>
      </c>
      <c r="N269" s="261" t="str">
        <f>Main!T270</f>
        <v/>
      </c>
      <c r="O269" s="258" t="str">
        <f>IF(Main!AO270&gt;0,Main!AO270,"")</f>
        <v>#93 P. Cruz New Zaniga Mandaluyon City</v>
      </c>
      <c r="P269" s="258" t="str">
        <f>IF(Main!AP270&gt;0,Main!AP270,"")</f>
        <v>#93 P. Cruz New Zaniga Mandaluyon City</v>
      </c>
      <c r="Q269" s="258" t="str">
        <f>IF(Main!AR270&gt;0,Main!AR270,"")</f>
        <v>Single</v>
      </c>
      <c r="R269" s="259" t="str">
        <f>IF(Main!AQ270&gt;0,Main!AQ270,"")</f>
        <v>Female</v>
      </c>
      <c r="S269" s="259" t="str">
        <f>IF(Main!BD270&gt;0,Main!BD270,"")</f>
        <v>05-0583624-5</v>
      </c>
      <c r="T269" s="259" t="str">
        <f>IF(Main!AX270&gt;0,Main!AX270,"")</f>
        <v>301-822-799</v>
      </c>
      <c r="U269" s="259" t="str">
        <f>IF(Main!BH270&gt;0,Main!BH270,"")</f>
        <v>01-025214982-7</v>
      </c>
      <c r="V269" s="268" t="str">
        <f>IF(Main!BF270&gt;0,Main!BF270,"")</f>
        <v>1090-0303-5404</v>
      </c>
      <c r="W269" s="263">
        <f>IF(Main!BS270&gt;0,Main!BS270,"")</f>
        <v>42128</v>
      </c>
      <c r="X269" s="263">
        <f>IF(Main!BT270&gt;0,Main!BT270,"")</f>
        <v>42128</v>
      </c>
      <c r="Y269" s="263">
        <f>IF(Main!BU270&gt;0,Main!BU270,"")</f>
        <v>42128</v>
      </c>
      <c r="Z269" s="263">
        <f>IF(Main!AS270&gt;0,Main!AS270,"")</f>
        <v>42136</v>
      </c>
      <c r="AA269" s="263">
        <f>IF(Main!BJ270&gt;0,Main!BJ270,"")</f>
        <v>42136</v>
      </c>
      <c r="AB269" s="263">
        <f>IF(Main!BC270&gt;0,Main!BC270,"")</f>
        <v>42136</v>
      </c>
      <c r="AC269" s="263">
        <f>IF(Main!AW270&gt;0,Main!AW270,"")</f>
        <v>42129</v>
      </c>
      <c r="AD269" s="263">
        <f>IF(Main!BG270&gt;0,Main!BG270,"")</f>
        <v>42129</v>
      </c>
      <c r="AE269" s="263">
        <f>IF(Main!BE270&gt;0,Main!BE270,"")</f>
        <v>42129</v>
      </c>
      <c r="AF269" s="263">
        <f>IF(Main!BM270&gt;0,Main!BM270,"")</f>
        <v>42129</v>
      </c>
      <c r="AG269" s="263" t="str">
        <f>IF(Main!BN270&gt;0,Main!BN270,"")</f>
        <v/>
      </c>
      <c r="AH269" s="263" t="str">
        <f>IF(Main!BO270&gt;0,Main!BO270,"")</f>
        <v/>
      </c>
      <c r="AI269" s="263" t="str">
        <f>IF(Main!BR270&gt;0,Main!BR270,"")</f>
        <v/>
      </c>
      <c r="AJ269" s="263">
        <f>IF(Main!BQ270&gt;0,Main!BQ270,"")</f>
        <v>42129</v>
      </c>
      <c r="AK269" s="263" t="str">
        <f>IF(Main!AV270&gt;0,Main!AV270,"")</f>
        <v/>
      </c>
      <c r="AL269" s="263">
        <f>IF(Main!AU270&gt;0,Main!AU270,"")</f>
        <v>42129</v>
      </c>
      <c r="AM269" s="263">
        <f>IF(Main!AT270&gt;0,Main!AT270,"")</f>
        <v>42136</v>
      </c>
      <c r="AN269" s="259" t="str">
        <f>Main!BW270</f>
        <v xml:space="preserve">2305 (for processing) 5/12/2015, MDR 5/12/2015, NBI receipt 5/5/2015, </v>
      </c>
    </row>
    <row r="270" spans="1:40" x14ac:dyDescent="0.25">
      <c r="A270" s="258">
        <f>Main!C271</f>
        <v>1082487</v>
      </c>
      <c r="B270" s="259" t="str">
        <f>Main!D271</f>
        <v>Morta, Christine Armenio</v>
      </c>
      <c r="C270" s="259" t="str">
        <f>Main!AH271</f>
        <v>Probationary</v>
      </c>
      <c r="D270" s="260">
        <f>Main!B271</f>
        <v>42128</v>
      </c>
      <c r="E270" s="260" t="str">
        <f>IF(Main!AI271&lt;1,"",Main!AI271)</f>
        <v>Jobstreet</v>
      </c>
      <c r="F270" s="260" t="str">
        <f>IF(Main!AJ271&lt;1,"",Main!AJ271)</f>
        <v/>
      </c>
      <c r="G270" s="260" t="str">
        <f>IF(Main!AK271&lt;1,"",Main!AK271)</f>
        <v/>
      </c>
      <c r="H270" s="259" t="str">
        <f>Main!Y271</f>
        <v>Senior Recruiter</v>
      </c>
      <c r="I270" s="259" t="str">
        <f>Main!Z271</f>
        <v>Level 2</v>
      </c>
      <c r="J270" s="259">
        <f>IF(Main!A271&lt;1,"",Main!A271)</f>
        <v>195</v>
      </c>
      <c r="K270" s="260">
        <f>IF(Main!AN271&gt;0,Main!AN271,"")</f>
        <v>31675</v>
      </c>
      <c r="L270" s="258" t="str">
        <f>IF(Main!Q271&gt;0,Main!Q271,"")</f>
        <v>bhutin07@yahoo.com</v>
      </c>
      <c r="M270" s="410">
        <f>VALUE(IF(Main!S271&gt;0,Main!S271,""))</f>
        <v>9335894700</v>
      </c>
      <c r="N270" s="261" t="str">
        <f>Main!T271</f>
        <v/>
      </c>
      <c r="O270" s="258" t="str">
        <f>IF(Main!AO271&gt;0,Main!AO271,"")</f>
        <v>Int 79 Del Pilar St. Alaminos, Laguna</v>
      </c>
      <c r="P270" s="258" t="str">
        <f>IF(Main!AP271&gt;0,Main!AP271,"")</f>
        <v>Int 79 Del Pilar St. Alaminos, Laguna</v>
      </c>
      <c r="Q270" s="258" t="str">
        <f>IF(Main!AR271&gt;0,Main!AR271,"")</f>
        <v>Single</v>
      </c>
      <c r="R270" s="259" t="str">
        <f>IF(Main!AQ271&gt;0,Main!AQ271,"")</f>
        <v>Female</v>
      </c>
      <c r="S270" s="259" t="str">
        <f>IF(Main!BD271&gt;0,Main!BD271,"")</f>
        <v>04-2120805-4</v>
      </c>
      <c r="T270" s="259" t="str">
        <f>IF(Main!AX271&gt;0,Main!AX271,"")</f>
        <v/>
      </c>
      <c r="U270" s="259" t="str">
        <f>IF(Main!BH271&gt;0,Main!BH271,"")</f>
        <v>08-050864647-3</v>
      </c>
      <c r="V270" s="268" t="str">
        <f>IF(Main!BF271&gt;0,Main!BF271,"")</f>
        <v>1210-3568-3939</v>
      </c>
      <c r="W270" s="263">
        <f>IF(Main!BS271&gt;0,Main!BS271,"")</f>
        <v>42128</v>
      </c>
      <c r="X270" s="263">
        <f>IF(Main!BT271&gt;0,Main!BT271,"")</f>
        <v>42128</v>
      </c>
      <c r="Y270" s="263">
        <f>IF(Main!BU271&gt;0,Main!BU271,"")</f>
        <v>42128</v>
      </c>
      <c r="Z270" s="263">
        <f>IF(Main!AS271&gt;0,Main!AS271,"")</f>
        <v>42130</v>
      </c>
      <c r="AA270" s="263">
        <f>IF(Main!BJ271&gt;0,Main!BJ271,"")</f>
        <v>42130</v>
      </c>
      <c r="AB270" s="263">
        <f>IF(Main!BC271&gt;0,Main!BC271,"")</f>
        <v>42130</v>
      </c>
      <c r="AC270" s="263" t="str">
        <f>IF(Main!AW271&gt;0,Main!AW271,"")</f>
        <v/>
      </c>
      <c r="AD270" s="263">
        <f>IF(Main!BG271&gt;0,Main!BG271,"")</f>
        <v>42130</v>
      </c>
      <c r="AE270" s="263">
        <f>IF(Main!BE271&gt;0,Main!BE271,"")</f>
        <v>42130</v>
      </c>
      <c r="AF270" s="263">
        <f>IF(Main!BM271&gt;0,Main!BM271,"")</f>
        <v>42130</v>
      </c>
      <c r="AG270" s="263" t="str">
        <f>IF(Main!BN271&gt;0,Main!BN271,"")</f>
        <v/>
      </c>
      <c r="AH270" s="263" t="str">
        <f>IF(Main!BO271&gt;0,Main!BO271,"")</f>
        <v/>
      </c>
      <c r="AI270" s="263">
        <f>IF(Main!BR271&gt;0,Main!BR271,"")</f>
        <v>42130</v>
      </c>
      <c r="AJ270" s="263">
        <f>IF(Main!BQ271&gt;0,Main!BQ271,"")</f>
        <v>42130</v>
      </c>
      <c r="AK270" s="263" t="str">
        <f>IF(Main!AV271&gt;0,Main!AV271,"")</f>
        <v/>
      </c>
      <c r="AL270" s="263">
        <f>IF(Main!AU271&gt;0,Main!AU271,"")</f>
        <v>42130</v>
      </c>
      <c r="AM270" s="263">
        <f>IF(Main!AT271&gt;0,Main!AT271,"")</f>
        <v>42130</v>
      </c>
      <c r="AN270" s="259" t="str">
        <f>Main!BW271</f>
        <v xml:space="preserve">2305 (for processing) 5/6/2015, </v>
      </c>
    </row>
    <row r="271" spans="1:40" x14ac:dyDescent="0.25">
      <c r="A271" s="258">
        <f>Main!C272</f>
        <v>1082488</v>
      </c>
      <c r="B271" s="259" t="str">
        <f>Main!D272</f>
        <v>Perez, Mark Anthony Asiao</v>
      </c>
      <c r="C271" s="259" t="str">
        <f>Main!AH272</f>
        <v>Probationary</v>
      </c>
      <c r="D271" s="260">
        <f>Main!B272</f>
        <v>42128</v>
      </c>
      <c r="E271" s="260" t="str">
        <f>IF(Main!AI272&lt;1,"",Main!AI272)</f>
        <v>ERP - Cristina Tantoco</v>
      </c>
      <c r="F271" s="260" t="str">
        <f>IF(Main!AJ272&lt;1,"",Main!AJ272)</f>
        <v>Cristina Tantoco</v>
      </c>
      <c r="G271" s="260" t="str">
        <f>IF(Main!AK272&lt;1,"",Main!AK272)</f>
        <v/>
      </c>
      <c r="H271" s="259" t="str">
        <f>Main!Y272</f>
        <v>Senior Recruiter</v>
      </c>
      <c r="I271" s="259" t="str">
        <f>Main!Z272</f>
        <v>Level 2</v>
      </c>
      <c r="J271" s="259">
        <f>IF(Main!A272&lt;1,"",Main!A272)</f>
        <v>195</v>
      </c>
      <c r="K271" s="260">
        <f>IF(Main!AN272&gt;0,Main!AN272,"")</f>
        <v>32711</v>
      </c>
      <c r="L271" s="258" t="str">
        <f>IF(Main!Q272&gt;0,Main!Q272,"")</f>
        <v>markanthony.perez22@gmail.com</v>
      </c>
      <c r="M271" s="410">
        <f>VALUE(IF(Main!S272&gt;0,Main!S272,""))</f>
        <v>9175494989</v>
      </c>
      <c r="N271" s="261" t="str">
        <f>Main!T272</f>
        <v/>
      </c>
      <c r="O271" s="258" t="str">
        <f>IF(Main!AO272&gt;0,Main!AO272,"")</f>
        <v/>
      </c>
      <c r="P271" s="258" t="str">
        <f>IF(Main!AP272&gt;0,Main!AP272,"")</f>
        <v/>
      </c>
      <c r="Q271" s="258" t="str">
        <f>IF(Main!AR272&gt;0,Main!AR272,"")</f>
        <v/>
      </c>
      <c r="R271" s="259" t="str">
        <f>IF(Main!AQ272&gt;0,Main!AQ272,"")</f>
        <v/>
      </c>
      <c r="S271" s="259" t="str">
        <f>IF(Main!BD272&gt;0,Main!BD272,"")</f>
        <v>34-0336475-1</v>
      </c>
      <c r="T271" s="259" t="str">
        <f>IF(Main!AX272&gt;0,Main!AX272,"")</f>
        <v>248-911-911</v>
      </c>
      <c r="U271" s="259" t="str">
        <f>IF(Main!BH272&gt;0,Main!BH272,"")</f>
        <v>03-025480427-0</v>
      </c>
      <c r="V271" s="268" t="str">
        <f>IF(Main!BF272&gt;0,Main!BF272,"")</f>
        <v>1211-4375-3592</v>
      </c>
      <c r="W271" s="263">
        <f>IF(Main!BS272&gt;0,Main!BS272,"")</f>
        <v>42128</v>
      </c>
      <c r="X271" s="263">
        <f>IF(Main!BT272&gt;0,Main!BT272,"")</f>
        <v>42128</v>
      </c>
      <c r="Y271" s="263">
        <f>IF(Main!BU272&gt;0,Main!BU272,"")</f>
        <v>42128</v>
      </c>
      <c r="Z271" s="263" t="str">
        <f>IF(Main!AS272&gt;0,Main!AS272,"")</f>
        <v/>
      </c>
      <c r="AA271" s="263" t="str">
        <f>IF(Main!BJ272&gt;0,Main!BJ272,"")</f>
        <v/>
      </c>
      <c r="AB271" s="263">
        <f>IF(Main!BC272&gt;0,Main!BC272,"")</f>
        <v>42129</v>
      </c>
      <c r="AC271" s="263">
        <f>IF(Main!AW272&gt;0,Main!AW272,"")</f>
        <v>42129</v>
      </c>
      <c r="AD271" s="263">
        <f>IF(Main!BG272&gt;0,Main!BG272,"")</f>
        <v>42129</v>
      </c>
      <c r="AE271" s="263">
        <f>IF(Main!BE272&gt;0,Main!BE272,"")</f>
        <v>42129</v>
      </c>
      <c r="AF271" s="263">
        <f>IF(Main!BM272&gt;0,Main!BM272,"")</f>
        <v>42129</v>
      </c>
      <c r="AG271" s="263" t="str">
        <f>IF(Main!BN272&gt;0,Main!BN272,"")</f>
        <v/>
      </c>
      <c r="AH271" s="263" t="str">
        <f>IF(Main!BO272&gt;0,Main!BO272,"")</f>
        <v/>
      </c>
      <c r="AI271" s="263">
        <f>IF(Main!BR272&gt;0,Main!BR272,"")</f>
        <v>42129</v>
      </c>
      <c r="AJ271" s="263" t="str">
        <f>IF(Main!BQ272&gt;0,Main!BQ272,"")</f>
        <v/>
      </c>
      <c r="AK271" s="263" t="str">
        <f>IF(Main!AV272&gt;0,Main!AV272,"")</f>
        <v/>
      </c>
      <c r="AL271" s="263" t="str">
        <f>IF(Main!AU272&gt;0,Main!AU272,"")</f>
        <v/>
      </c>
      <c r="AM271" s="263" t="str">
        <f>IF(Main!AT272&gt;0,Main!AT272,"")</f>
        <v/>
      </c>
      <c r="AN271" s="259" t="str">
        <f>Main!BW272</f>
        <v xml:space="preserve">1905 (for processing) 5/5/2015, 2305 (for processing) 5/5/2015, </v>
      </c>
    </row>
    <row r="272" spans="1:40" x14ac:dyDescent="0.25">
      <c r="A272" s="258">
        <f>Main!C273</f>
        <v>1082489</v>
      </c>
      <c r="B272" s="259" t="str">
        <f>Main!D273</f>
        <v>Valdez, Jillian Lajara</v>
      </c>
      <c r="C272" s="259" t="str">
        <f>Main!AH273</f>
        <v>Probationary</v>
      </c>
      <c r="D272" s="260">
        <f>Main!B273</f>
        <v>42128</v>
      </c>
      <c r="E272" s="260" t="str">
        <f>IF(Main!AI273&lt;1,"",Main!AI273)</f>
        <v>Jobstreet</v>
      </c>
      <c r="F272" s="260" t="str">
        <f>IF(Main!AJ273&lt;1,"",Main!AJ273)</f>
        <v/>
      </c>
      <c r="G272" s="260" t="str">
        <f>IF(Main!AK273&lt;1,"",Main!AK273)</f>
        <v/>
      </c>
      <c r="H272" s="259" t="str">
        <f>Main!Y273</f>
        <v>Senior Recruiter</v>
      </c>
      <c r="I272" s="259" t="str">
        <f>Main!Z273</f>
        <v>Level 1</v>
      </c>
      <c r="J272" s="259">
        <f>IF(Main!A273&lt;1,"",Main!A273)</f>
        <v>195</v>
      </c>
      <c r="K272" s="260">
        <f>IF(Main!AN273&gt;0,Main!AN273,"")</f>
        <v>34148</v>
      </c>
      <c r="L272" s="258" t="str">
        <f>IF(Main!Q273&gt;0,Main!Q273,"")</f>
        <v>valdezjillian@ymail.com</v>
      </c>
      <c r="M272" s="410">
        <f>VALUE(IF(Main!S273&gt;0,Main!S273,""))</f>
        <v>9067852828</v>
      </c>
      <c r="N272" s="261" t="str">
        <f>Main!T273</f>
        <v/>
      </c>
      <c r="O272" s="258" t="str">
        <f>IF(Main!AO273&gt;0,Main!AO273,"")</f>
        <v>34 Marigold St. Rivera Village, NAIA, Pasay City</v>
      </c>
      <c r="P272" s="258" t="str">
        <f>IF(Main!AP273&gt;0,Main!AP273,"")</f>
        <v>34 Marigold St. Rivera Village, NAIA, Pasay City</v>
      </c>
      <c r="Q272" s="258" t="str">
        <f>IF(Main!AR273&gt;0,Main!AR273,"")</f>
        <v>Single</v>
      </c>
      <c r="R272" s="259" t="str">
        <f>IF(Main!AQ273&gt;0,Main!AQ273,"")</f>
        <v>Female</v>
      </c>
      <c r="S272" s="259" t="str">
        <f>IF(Main!BD273&gt;0,Main!BD273,"")</f>
        <v>34-3217936-0</v>
      </c>
      <c r="T272" s="259" t="str">
        <f>IF(Main!AX273&gt;0,Main!AX273,"")</f>
        <v>436-662-122</v>
      </c>
      <c r="U272" s="259" t="str">
        <f>IF(Main!BH273&gt;0,Main!BH273,"")</f>
        <v>22-000125697-1</v>
      </c>
      <c r="V272" s="268" t="str">
        <f>IF(Main!BF273&gt;0,Main!BF273,"")</f>
        <v>1210-9191-8924</v>
      </c>
      <c r="W272" s="263">
        <f>IF(Main!BS273&gt;0,Main!BS273,"")</f>
        <v>42128</v>
      </c>
      <c r="X272" s="263">
        <f>IF(Main!BT273&gt;0,Main!BT273,"")</f>
        <v>42128</v>
      </c>
      <c r="Y272" s="263">
        <f>IF(Main!BU273&gt;0,Main!BU273,"")</f>
        <v>42128</v>
      </c>
      <c r="Z272" s="263">
        <f>IF(Main!AS273&gt;0,Main!AS273,"")</f>
        <v>42130</v>
      </c>
      <c r="AA272" s="263">
        <f>IF(Main!BJ273&gt;0,Main!BJ273,"")</f>
        <v>42130</v>
      </c>
      <c r="AB272" s="263">
        <f>IF(Main!BC273&gt;0,Main!BC273,"")</f>
        <v>42130</v>
      </c>
      <c r="AC272" s="263">
        <f>IF(Main!AW273&gt;0,Main!AW273,"")</f>
        <v>42130</v>
      </c>
      <c r="AD272" s="263">
        <f>IF(Main!BG273&gt;0,Main!BG273,"")</f>
        <v>42130</v>
      </c>
      <c r="AE272" s="263">
        <f>IF(Main!BE273&gt;0,Main!BE273,"")</f>
        <v>42130</v>
      </c>
      <c r="AF272" s="263">
        <f>IF(Main!BM273&gt;0,Main!BM273,"")</f>
        <v>42130</v>
      </c>
      <c r="AG272" s="263" t="str">
        <f>IF(Main!BN273&gt;0,Main!BN273,"")</f>
        <v/>
      </c>
      <c r="AH272" s="263" t="str">
        <f>IF(Main!BO273&gt;0,Main!BO273,"")</f>
        <v/>
      </c>
      <c r="AI272" s="263">
        <f>IF(Main!BR273&gt;0,Main!BR273,"")</f>
        <v>42130</v>
      </c>
      <c r="AJ272" s="263">
        <f>IF(Main!BQ273&gt;0,Main!BQ273,"")</f>
        <v>42130</v>
      </c>
      <c r="AK272" s="263">
        <f>IF(Main!AV273&gt;0,Main!AV273,"")</f>
        <v>42131</v>
      </c>
      <c r="AL272" s="263">
        <f>IF(Main!AU273&gt;0,Main!AU273,"")</f>
        <v>42130</v>
      </c>
      <c r="AM272" s="263">
        <f>IF(Main!AT273&gt;0,Main!AT273,"")</f>
        <v>42130</v>
      </c>
      <c r="AN272" s="259" t="str">
        <f>Main!BW273</f>
        <v xml:space="preserve">1905 (for processing) 5/6/2015, 2305 (for processing) 5/6/2015, MDR 5/6/2015, </v>
      </c>
    </row>
    <row r="273" spans="1:40" x14ac:dyDescent="0.25">
      <c r="A273" s="258">
        <f>Main!C274</f>
        <v>1082490</v>
      </c>
      <c r="B273" s="259" t="str">
        <f>Main!D274</f>
        <v>Almodovar, Cherwilyn Lumabi</v>
      </c>
      <c r="C273" s="259" t="str">
        <f>Main!AH274</f>
        <v>Probationary</v>
      </c>
      <c r="D273" s="260">
        <f>Main!B274</f>
        <v>42135</v>
      </c>
      <c r="E273" s="260" t="str">
        <f>IF(Main!AI274&lt;1,"",Main!AI274)</f>
        <v>ERP - Raymond Bunda</v>
      </c>
      <c r="F273" s="260" t="str">
        <f>IF(Main!AJ274&lt;1,"",Main!AJ274)</f>
        <v>Raymond Bunda</v>
      </c>
      <c r="G273" s="260" t="str">
        <f>IF(Main!AK274&lt;1,"",Main!AK274)</f>
        <v/>
      </c>
      <c r="H273" s="259" t="str">
        <f>Main!Y274</f>
        <v>Senior Recruiter</v>
      </c>
      <c r="I273" s="259" t="str">
        <f>Main!Z274</f>
        <v>Level 2</v>
      </c>
      <c r="J273" s="259">
        <f>IF(Main!A274&lt;1,"",Main!A274)</f>
        <v>196</v>
      </c>
      <c r="K273" s="260">
        <f>IF(Main!AN274&gt;0,Main!AN274,"")</f>
        <v>32351</v>
      </c>
      <c r="L273" s="258" t="str">
        <f>IF(Main!Q274&gt;0,Main!Q274,"")</f>
        <v/>
      </c>
      <c r="M273" s="410">
        <f>VALUE(IF(Main!S274&gt;0,Main!S274,""))</f>
        <v>9433884606</v>
      </c>
      <c r="N273" s="261" t="str">
        <f>Main!T274</f>
        <v/>
      </c>
      <c r="O273" s="258" t="str">
        <f>IF(Main!AO274&gt;0,Main!AO274,"")</f>
        <v>79 Esligue St. Manggahan Pasig City</v>
      </c>
      <c r="P273" s="258" t="str">
        <f>IF(Main!AP274&gt;0,Main!AP274,"")</f>
        <v>79 Esligue St. Manggahan Pasig City</v>
      </c>
      <c r="Q273" s="258" t="str">
        <f>IF(Main!AR274&gt;0,Main!AR274,"")</f>
        <v>Single</v>
      </c>
      <c r="R273" s="259" t="str">
        <f>IF(Main!AQ274&gt;0,Main!AQ274,"")</f>
        <v>Female</v>
      </c>
      <c r="S273" s="259" t="str">
        <f>IF(Main!BD274&gt;0,Main!BD274,"")</f>
        <v>34-0951466-0</v>
      </c>
      <c r="T273" s="259" t="str">
        <f>IF(Main!AX274&gt;0,Main!AX274,"")</f>
        <v>257-457-289</v>
      </c>
      <c r="U273" s="259" t="str">
        <f>IF(Main!BH274&gt;0,Main!BH274,"")</f>
        <v>01-025199914-2</v>
      </c>
      <c r="V273" s="268" t="str">
        <f>IF(Main!BF274&gt;0,Main!BF274,"")</f>
        <v>1210-2294-0058</v>
      </c>
      <c r="W273" s="263">
        <f>IF(Main!BS274&gt;0,Main!BS274,"")</f>
        <v>42137</v>
      </c>
      <c r="X273" s="263">
        <f>IF(Main!BT274&gt;0,Main!BT274,"")</f>
        <v>42137</v>
      </c>
      <c r="Y273" s="263">
        <f>IF(Main!BU274&gt;0,Main!BU274,"")</f>
        <v>42137</v>
      </c>
      <c r="Z273" s="263">
        <f>IF(Main!AS274&gt;0,Main!AS274,"")</f>
        <v>42137</v>
      </c>
      <c r="AA273" s="263" t="str">
        <f>IF(Main!BJ274&gt;0,Main!BJ274,"")</f>
        <v/>
      </c>
      <c r="AB273" s="263">
        <f>IF(Main!BC274&gt;0,Main!BC274,"")</f>
        <v>42137</v>
      </c>
      <c r="AC273" s="263">
        <f>IF(Main!AW274&gt;0,Main!AW274,"")</f>
        <v>42137</v>
      </c>
      <c r="AD273" s="263">
        <f>IF(Main!BG274&gt;0,Main!BG274,"")</f>
        <v>42137</v>
      </c>
      <c r="AE273" s="263">
        <f>IF(Main!BE274&gt;0,Main!BE274,"")</f>
        <v>42137</v>
      </c>
      <c r="AF273" s="263">
        <f>IF(Main!BM274&gt;0,Main!BM274,"")</f>
        <v>42137</v>
      </c>
      <c r="AG273" s="263" t="str">
        <f>IF(Main!BN274&gt;0,Main!BN274,"")</f>
        <v/>
      </c>
      <c r="AH273" s="263" t="str">
        <f>IF(Main!BO274&gt;0,Main!BO274,"")</f>
        <v/>
      </c>
      <c r="AI273" s="263">
        <f>IF(Main!BR274&gt;0,Main!BR274,"")</f>
        <v>42137</v>
      </c>
      <c r="AJ273" s="263" t="str">
        <f>IF(Main!BQ274&gt;0,Main!BQ274,"")</f>
        <v/>
      </c>
      <c r="AK273" s="263" t="str">
        <f>IF(Main!AV274&gt;0,Main!AV274,"")</f>
        <v/>
      </c>
      <c r="AL273" s="263">
        <f>IF(Main!AU274&gt;0,Main!AU274,"")</f>
        <v>42136</v>
      </c>
      <c r="AM273" s="263">
        <f>IF(Main!AT274&gt;0,Main!AT274,"")</f>
        <v>42136</v>
      </c>
      <c r="AN273" s="259" t="str">
        <f>Main!BW274</f>
        <v xml:space="preserve">1905 (for processing) 5/13/2015, 2305 (for processing) 5/12/2015, </v>
      </c>
    </row>
    <row r="274" spans="1:40" x14ac:dyDescent="0.25">
      <c r="A274" s="258">
        <f>Main!C275</f>
        <v>1082491</v>
      </c>
      <c r="B274" s="259" t="str">
        <f>Main!D275</f>
        <v>Bagaoisan, Chrystee Gem Sacramed</v>
      </c>
      <c r="C274" s="259" t="str">
        <f>Main!AH275</f>
        <v>Probationary</v>
      </c>
      <c r="D274" s="260">
        <f>Main!B275</f>
        <v>42135</v>
      </c>
      <c r="E274" s="260" t="str">
        <f>IF(Main!AI275&lt;1,"",Main!AI275)</f>
        <v>Jobstreet</v>
      </c>
      <c r="F274" s="260" t="str">
        <f>IF(Main!AJ275&lt;1,"",Main!AJ275)</f>
        <v/>
      </c>
      <c r="G274" s="260" t="str">
        <f>IF(Main!AK275&lt;1,"",Main!AK275)</f>
        <v/>
      </c>
      <c r="H274" s="259" t="str">
        <f>Main!Y275</f>
        <v>Senior Recruiter</v>
      </c>
      <c r="I274" s="259" t="str">
        <f>Main!Z275</f>
        <v>Level 2</v>
      </c>
      <c r="J274" s="259">
        <f>IF(Main!A275&lt;1,"",Main!A275)</f>
        <v>196</v>
      </c>
      <c r="K274" s="260">
        <f>IF(Main!AN275&gt;0,Main!AN275,"")</f>
        <v>30888</v>
      </c>
      <c r="L274" s="258" t="str">
        <f>IF(Main!Q275&gt;0,Main!Q275,"")</f>
        <v/>
      </c>
      <c r="M274" s="410">
        <f>VALUE(IF(Main!S275&gt;0,Main!S275,""))</f>
        <v>9368220115</v>
      </c>
      <c r="N274" s="261" t="str">
        <f>Main!T275</f>
        <v/>
      </c>
      <c r="O274" s="258" t="str">
        <f>IF(Main!AO275&gt;0,Main!AO275,"")</f>
        <v># 315 Romans St. Adelina I San Pedro Laguna City</v>
      </c>
      <c r="P274" s="258" t="str">
        <f>IF(Main!AP275&gt;0,Main!AP275,"")</f>
        <v># 315 Romans St. Adelina I San Pedro Laguna City</v>
      </c>
      <c r="Q274" s="258" t="str">
        <f>IF(Main!AR275&gt;0,Main!AR275,"")</f>
        <v>Single Parent</v>
      </c>
      <c r="R274" s="259" t="str">
        <f>IF(Main!AQ275&gt;0,Main!AQ275,"")</f>
        <v>Female</v>
      </c>
      <c r="S274" s="259" t="str">
        <f>IF(Main!BD275&gt;0,Main!BD275,"")</f>
        <v>04-2326903-3</v>
      </c>
      <c r="T274" s="259" t="str">
        <f>IF(Main!AX275&gt;0,Main!AX275,"")</f>
        <v>402-078-311</v>
      </c>
      <c r="U274" s="259" t="str">
        <f>IF(Main!BH275&gt;0,Main!BH275,"")</f>
        <v>01-051278814-4</v>
      </c>
      <c r="V274" s="268" t="str">
        <f>IF(Main!BF275&gt;0,Main!BF275,"")</f>
        <v>1210-6253-5486</v>
      </c>
      <c r="W274" s="263">
        <f>IF(Main!BS275&gt;0,Main!BS275,"")</f>
        <v>42137</v>
      </c>
      <c r="X274" s="263">
        <f>IF(Main!BT275&gt;0,Main!BT275,"")</f>
        <v>42137</v>
      </c>
      <c r="Y274" s="263">
        <f>IF(Main!BU275&gt;0,Main!BU275,"")</f>
        <v>42137</v>
      </c>
      <c r="Z274" s="263">
        <f>IF(Main!AS275&gt;0,Main!AS275,"")</f>
        <v>42139</v>
      </c>
      <c r="AA274" s="263" t="str">
        <f>IF(Main!BJ275&gt;0,Main!BJ275,"")</f>
        <v/>
      </c>
      <c r="AB274" s="263">
        <f>IF(Main!BC275&gt;0,Main!BC275,"")</f>
        <v>42140</v>
      </c>
      <c r="AC274" s="263">
        <f>IF(Main!AW275&gt;0,Main!AW275,"")</f>
        <v>42139</v>
      </c>
      <c r="AD274" s="263">
        <f>IF(Main!BG275&gt;0,Main!BG275,"")</f>
        <v>42139</v>
      </c>
      <c r="AE274" s="263">
        <f>IF(Main!BE275&gt;0,Main!BE275,"")</f>
        <v>42140</v>
      </c>
      <c r="AF274" s="263">
        <f>IF(Main!BM275&gt;0,Main!BM275,"")</f>
        <v>42139</v>
      </c>
      <c r="AG274" s="263" t="str">
        <f>IF(Main!BN275&gt;0,Main!BN275,"")</f>
        <v/>
      </c>
      <c r="AH274" s="263">
        <f>IF(Main!BO275&gt;0,Main!BO275,"")</f>
        <v>42139</v>
      </c>
      <c r="AI274" s="263" t="str">
        <f>IF(Main!BR275&gt;0,Main!BR275,"")</f>
        <v/>
      </c>
      <c r="AJ274" s="263">
        <f>IF(Main!BQ275&gt;0,Main!BQ275,"")</f>
        <v>42140</v>
      </c>
      <c r="AK274" s="263" t="str">
        <f>IF(Main!AV275&gt;0,Main!AV275,"")</f>
        <v/>
      </c>
      <c r="AL274" s="263">
        <f>IF(Main!AU275&gt;0,Main!AU275,"")</f>
        <v>42136</v>
      </c>
      <c r="AM274" s="263">
        <f>IF(Main!AT275&gt;0,Main!AT275,"")</f>
        <v>42136</v>
      </c>
      <c r="AN274" s="259" t="str">
        <f>Main!BW275</f>
        <v xml:space="preserve">1905 (for processing) 5/15/2015, 2305 (for processing) 5/12/2015, NBI receipt 5/16/2015, </v>
      </c>
    </row>
    <row r="275" spans="1:40" x14ac:dyDescent="0.25">
      <c r="A275" s="258">
        <f>Main!C276</f>
        <v>1082492</v>
      </c>
      <c r="B275" s="259" t="str">
        <f>Main!D276</f>
        <v>De Lara, Danilyn Tanglao</v>
      </c>
      <c r="C275" s="259" t="str">
        <f>Main!AH276</f>
        <v>Probationary</v>
      </c>
      <c r="D275" s="260">
        <f>Main!B276</f>
        <v>42135</v>
      </c>
      <c r="E275" s="260" t="str">
        <f>IF(Main!AI276&lt;1,"",Main!AI276)</f>
        <v>ERP - Roxanne Verdera</v>
      </c>
      <c r="F275" s="260" t="str">
        <f>IF(Main!AJ276&lt;1,"",Main!AJ276)</f>
        <v>Roxanne Verdera</v>
      </c>
      <c r="G275" s="260" t="str">
        <f>IF(Main!AK276&lt;1,"",Main!AK276)</f>
        <v/>
      </c>
      <c r="H275" s="259" t="str">
        <f>Main!Y276</f>
        <v>Senior Recruiter</v>
      </c>
      <c r="I275" s="259" t="str">
        <f>Main!Z276</f>
        <v>Level 1</v>
      </c>
      <c r="J275" s="259">
        <f>IF(Main!A276&lt;1,"",Main!A276)</f>
        <v>196</v>
      </c>
      <c r="K275" s="260">
        <f>IF(Main!AN276&gt;0,Main!AN276,"")</f>
        <v>32716</v>
      </c>
      <c r="L275" s="258" t="str">
        <f>IF(Main!Q276&gt;0,Main!Q276,"")</f>
        <v/>
      </c>
      <c r="M275" s="410">
        <f>VALUE(IF(Main!S276&gt;0,Main!S276,""))</f>
        <v>9487098763</v>
      </c>
      <c r="N275" s="261" t="str">
        <f>Main!T276</f>
        <v/>
      </c>
      <c r="O275" s="258" t="str">
        <f>IF(Main!AO276&gt;0,Main!AO276,"")</f>
        <v/>
      </c>
      <c r="P275" s="258" t="str">
        <f>IF(Main!AP276&gt;0,Main!AP276,"")</f>
        <v/>
      </c>
      <c r="Q275" s="258" t="str">
        <f>IF(Main!AR276&gt;0,Main!AR276,"")</f>
        <v/>
      </c>
      <c r="R275" s="259" t="str">
        <f>IF(Main!AQ276&gt;0,Main!AQ276,"")</f>
        <v/>
      </c>
      <c r="S275" s="259" t="str">
        <f>IF(Main!BD276&gt;0,Main!BD276,"")</f>
        <v>34-2437357-2</v>
      </c>
      <c r="T275" s="259" t="str">
        <f>IF(Main!AX276&gt;0,Main!AX276,"")</f>
        <v>318-965-947</v>
      </c>
      <c r="U275" s="259" t="str">
        <f>IF(Main!BH276&gt;0,Main!BH276,"")</f>
        <v>02-051038339-8</v>
      </c>
      <c r="V275" s="268" t="str">
        <f>IF(Main!BF276&gt;0,Main!BF276,"")</f>
        <v/>
      </c>
      <c r="W275" s="263">
        <f>IF(Main!BS276&gt;0,Main!BS276,"")</f>
        <v>42137</v>
      </c>
      <c r="X275" s="263">
        <f>IF(Main!BT276&gt;0,Main!BT276,"")</f>
        <v>42137</v>
      </c>
      <c r="Y275" s="263">
        <f>IF(Main!BU276&gt;0,Main!BU276,"")</f>
        <v>42137</v>
      </c>
      <c r="Z275" s="263" t="str">
        <f>IF(Main!AS276&gt;0,Main!AS276,"")</f>
        <v/>
      </c>
      <c r="AA275" s="263" t="str">
        <f>IF(Main!BJ276&gt;0,Main!BJ276,"")</f>
        <v/>
      </c>
      <c r="AB275" s="263">
        <f>IF(Main!BC276&gt;0,Main!BC276,"")</f>
        <v>42139</v>
      </c>
      <c r="AC275" s="263">
        <f>IF(Main!AW276&gt;0,Main!AW276,"")</f>
        <v>42139</v>
      </c>
      <c r="AD275" s="263">
        <f>IF(Main!BG276&gt;0,Main!BG276,"")</f>
        <v>42139</v>
      </c>
      <c r="AE275" s="263" t="str">
        <f>IF(Main!BE276&gt;0,Main!BE276,"")</f>
        <v/>
      </c>
      <c r="AF275" s="263">
        <f>IF(Main!BM276&gt;0,Main!BM276,"")</f>
        <v>42139</v>
      </c>
      <c r="AG275" s="263" t="str">
        <f>IF(Main!BN276&gt;0,Main!BN276,"")</f>
        <v/>
      </c>
      <c r="AH275" s="263" t="str">
        <f>IF(Main!BO276&gt;0,Main!BO276,"")</f>
        <v/>
      </c>
      <c r="AI275" s="263" t="str">
        <f>IF(Main!BR276&gt;0,Main!BR276,"")</f>
        <v/>
      </c>
      <c r="AJ275" s="263">
        <f>IF(Main!BQ276&gt;0,Main!BQ276,"")</f>
        <v>42139</v>
      </c>
      <c r="AK275" s="263" t="str">
        <f>IF(Main!AV276&gt;0,Main!AV276,"")</f>
        <v/>
      </c>
      <c r="AL275" s="263">
        <f>IF(Main!AU276&gt;0,Main!AU276,"")</f>
        <v>42136</v>
      </c>
      <c r="AM275" s="263">
        <f>IF(Main!AT276&gt;0,Main!AT276,"")</f>
        <v>42136</v>
      </c>
      <c r="AN275" s="259" t="str">
        <f>Main!BW276</f>
        <v>2305 (for processing) 5/12/2015, 2316 (2014) - 5/15/2015</v>
      </c>
    </row>
    <row r="276" spans="1:40" x14ac:dyDescent="0.25">
      <c r="A276" s="258">
        <f>Main!C277</f>
        <v>1082493</v>
      </c>
      <c r="B276" s="259" t="str">
        <f>Main!D277</f>
        <v>Grajo Jr., Edgardo Diaz</v>
      </c>
      <c r="C276" s="259" t="str">
        <f>Main!AH277</f>
        <v>Probationary</v>
      </c>
      <c r="D276" s="260">
        <f>Main!B277</f>
        <v>42135</v>
      </c>
      <c r="E276" s="260" t="str">
        <f>IF(Main!AI277&lt;1,"",Main!AI277)</f>
        <v>Jobstreet</v>
      </c>
      <c r="F276" s="260" t="str">
        <f>IF(Main!AJ277&lt;1,"",Main!AJ277)</f>
        <v/>
      </c>
      <c r="G276" s="260" t="str">
        <f>IF(Main!AK277&lt;1,"",Main!AK277)</f>
        <v/>
      </c>
      <c r="H276" s="259" t="str">
        <f>Main!Y277</f>
        <v>Senior Recruiter</v>
      </c>
      <c r="I276" s="259" t="str">
        <f>Main!Z277</f>
        <v>Level 2</v>
      </c>
      <c r="J276" s="259">
        <f>IF(Main!A277&lt;1,"",Main!A277)</f>
        <v>196</v>
      </c>
      <c r="K276" s="260">
        <f>IF(Main!AN277&gt;0,Main!AN277,"")</f>
        <v>33420</v>
      </c>
      <c r="L276" s="258" t="str">
        <f>IF(Main!Q277&gt;0,Main!Q277,"")</f>
        <v/>
      </c>
      <c r="M276" s="410">
        <f>VALUE(IF(Main!S277&gt;0,Main!S277,""))</f>
        <v>9061991073</v>
      </c>
      <c r="N276" s="261" t="str">
        <f>Main!T277</f>
        <v/>
      </c>
      <c r="O276" s="258" t="str">
        <f>IF(Main!AO277&gt;0,Main!AO277,"")</f>
        <v/>
      </c>
      <c r="P276" s="258" t="str">
        <f>IF(Main!AP277&gt;0,Main!AP277,"")</f>
        <v/>
      </c>
      <c r="Q276" s="258" t="str">
        <f>IF(Main!AR277&gt;0,Main!AR277,"")</f>
        <v/>
      </c>
      <c r="R276" s="259" t="str">
        <f>IF(Main!AQ277&gt;0,Main!AQ277,"")</f>
        <v/>
      </c>
      <c r="S276" s="259" t="str">
        <f>IF(Main!BD277&gt;0,Main!BD277,"")</f>
        <v>34-1758908-5</v>
      </c>
      <c r="T276" s="259" t="str">
        <f>IF(Main!AX277&gt;0,Main!AX277,"")</f>
        <v>433-561-871</v>
      </c>
      <c r="U276" s="259" t="str">
        <f>IF(Main!BH277&gt;0,Main!BH277,"")</f>
        <v>02-050531045-5</v>
      </c>
      <c r="V276" s="268" t="str">
        <f>IF(Main!BF277&gt;0,Main!BF277,"")</f>
        <v>1210-9655-5308</v>
      </c>
      <c r="W276" s="263">
        <f>IF(Main!BS277&gt;0,Main!BS277,"")</f>
        <v>42137</v>
      </c>
      <c r="X276" s="263">
        <f>IF(Main!BT277&gt;0,Main!BT277,"")</f>
        <v>42137</v>
      </c>
      <c r="Y276" s="263">
        <f>IF(Main!BU277&gt;0,Main!BU277,"")</f>
        <v>42137</v>
      </c>
      <c r="Z276" s="263" t="str">
        <f>IF(Main!AS277&gt;0,Main!AS277,"")</f>
        <v/>
      </c>
      <c r="AA276" s="263" t="str">
        <f>IF(Main!BJ277&gt;0,Main!BJ277,"")</f>
        <v/>
      </c>
      <c r="AB276" s="263">
        <f>IF(Main!BC277&gt;0,Main!BC277,"")</f>
        <v>42139</v>
      </c>
      <c r="AC276" s="263">
        <f>IF(Main!AW277&gt;0,Main!AW277,"")</f>
        <v>42139</v>
      </c>
      <c r="AD276" s="263">
        <f>IF(Main!BG277&gt;0,Main!BG277,"")</f>
        <v>42139</v>
      </c>
      <c r="AE276" s="263">
        <f>IF(Main!BE277&gt;0,Main!BE277,"")</f>
        <v>42139</v>
      </c>
      <c r="AF276" s="263">
        <f>IF(Main!BM277&gt;0,Main!BM277,"")</f>
        <v>42139</v>
      </c>
      <c r="AG276" s="263" t="str">
        <f>IF(Main!BN277&gt;0,Main!BN277,"")</f>
        <v/>
      </c>
      <c r="AH276" s="263" t="str">
        <f>IF(Main!BO277&gt;0,Main!BO277,"")</f>
        <v/>
      </c>
      <c r="AI276" s="263">
        <f>IF(Main!BR277&gt;0,Main!BR277,"")</f>
        <v>42139</v>
      </c>
      <c r="AJ276" s="263" t="str">
        <f>IF(Main!BQ277&gt;0,Main!BQ277,"")</f>
        <v/>
      </c>
      <c r="AK276" s="263" t="str">
        <f>IF(Main!AV277&gt;0,Main!AV277,"")</f>
        <v/>
      </c>
      <c r="AL276" s="263">
        <f>IF(Main!AU277&gt;0,Main!AU277,"")</f>
        <v>42136</v>
      </c>
      <c r="AM276" s="263">
        <f>IF(Main!AT277&gt;0,Main!AT277,"")</f>
        <v>42136</v>
      </c>
      <c r="AN276" s="259" t="str">
        <f>Main!BW277</f>
        <v>1905 (for processing) 5/15/2015, 2305 (for processing) 5/15/2015, 2316 (2014) - 5/15/2015</v>
      </c>
    </row>
    <row r="277" spans="1:40" x14ac:dyDescent="0.25">
      <c r="A277" s="258">
        <f>Main!C278</f>
        <v>1082494</v>
      </c>
      <c r="B277" s="259" t="str">
        <f>Main!D278</f>
        <v>Asuncion, Eliza Charmaine Joy</v>
      </c>
      <c r="C277" s="259" t="str">
        <f>Main!AH278</f>
        <v>Probationary</v>
      </c>
      <c r="D277" s="260">
        <f>Main!B278</f>
        <v>42135</v>
      </c>
      <c r="E277" s="260" t="str">
        <f>IF(Main!AI278&lt;1,"",Main!AI278)</f>
        <v>Jobstreet</v>
      </c>
      <c r="F277" s="260" t="str">
        <f>IF(Main!AJ278&lt;1,"",Main!AJ278)</f>
        <v/>
      </c>
      <c r="G277" s="260" t="str">
        <f>IF(Main!AK278&lt;1,"",Main!AK278)</f>
        <v/>
      </c>
      <c r="H277" s="259" t="str">
        <f>Main!Y278</f>
        <v>Senior Recruiter</v>
      </c>
      <c r="I277" s="259" t="str">
        <f>Main!Z278</f>
        <v>Level 1</v>
      </c>
      <c r="J277" s="259">
        <f>IF(Main!A278&lt;1,"",Main!A278)</f>
        <v>196</v>
      </c>
      <c r="K277" s="260">
        <f>IF(Main!AN278&gt;0,Main!AN278,"")</f>
        <v>33830</v>
      </c>
      <c r="L277" s="258" t="str">
        <f>IF(Main!Q278&gt;0,Main!Q278,"")</f>
        <v/>
      </c>
      <c r="M277" s="410">
        <f>VALUE(IF(Main!S278&gt;0,Main!S278,""))</f>
        <v>9771396486</v>
      </c>
      <c r="N277" s="261" t="str">
        <f>Main!T278</f>
        <v/>
      </c>
      <c r="O277" s="258" t="str">
        <f>IF(Main!AO278&gt;0,Main!AO278,"")</f>
        <v/>
      </c>
      <c r="P277" s="258" t="str">
        <f>IF(Main!AP278&gt;0,Main!AP278,"")</f>
        <v/>
      </c>
      <c r="Q277" s="258" t="str">
        <f>IF(Main!AR278&gt;0,Main!AR278,"")</f>
        <v/>
      </c>
      <c r="R277" s="259" t="str">
        <f>IF(Main!AQ278&gt;0,Main!AQ278,"")</f>
        <v/>
      </c>
      <c r="S277" s="259" t="str">
        <f>IF(Main!BD278&gt;0,Main!BD278,"")</f>
        <v/>
      </c>
      <c r="T277" s="259" t="str">
        <f>IF(Main!AX278&gt;0,Main!AX278,"")</f>
        <v/>
      </c>
      <c r="U277" s="259" t="str">
        <f>IF(Main!BH278&gt;0,Main!BH278,"")</f>
        <v/>
      </c>
      <c r="V277" s="268" t="str">
        <f>IF(Main!BF278&gt;0,Main!BF278,"")</f>
        <v/>
      </c>
      <c r="W277" s="263">
        <f>IF(Main!BS278&gt;0,Main!BS278,"")</f>
        <v>42137</v>
      </c>
      <c r="X277" s="263">
        <f>IF(Main!BT278&gt;0,Main!BT278,"")</f>
        <v>42137</v>
      </c>
      <c r="Y277" s="263">
        <f>IF(Main!BU278&gt;0,Main!BU278,"")</f>
        <v>42137</v>
      </c>
      <c r="Z277" s="263" t="str">
        <f>IF(Main!AS278&gt;0,Main!AS278,"")</f>
        <v/>
      </c>
      <c r="AA277" s="263" t="str">
        <f>IF(Main!BJ278&gt;0,Main!BJ278,"")</f>
        <v/>
      </c>
      <c r="AB277" s="263" t="str">
        <f>IF(Main!BC278&gt;0,Main!BC278,"")</f>
        <v/>
      </c>
      <c r="AC277" s="263" t="str">
        <f>IF(Main!AW278&gt;0,Main!AW278,"")</f>
        <v/>
      </c>
      <c r="AD277" s="263" t="str">
        <f>IF(Main!BG278&gt;0,Main!BG278,"")</f>
        <v/>
      </c>
      <c r="AE277" s="263" t="str">
        <f>IF(Main!BE278&gt;0,Main!BE278,"")</f>
        <v/>
      </c>
      <c r="AF277" s="263" t="str">
        <f>IF(Main!BM278&gt;0,Main!BM278,"")</f>
        <v/>
      </c>
      <c r="AG277" s="263" t="str">
        <f>IF(Main!BN278&gt;0,Main!BN278,"")</f>
        <v/>
      </c>
      <c r="AH277" s="263" t="str">
        <f>IF(Main!BO278&gt;0,Main!BO278,"")</f>
        <v/>
      </c>
      <c r="AI277" s="263" t="str">
        <f>IF(Main!BR278&gt;0,Main!BR278,"")</f>
        <v/>
      </c>
      <c r="AJ277" s="263" t="str">
        <f>IF(Main!BQ278&gt;0,Main!BQ278,"")</f>
        <v/>
      </c>
      <c r="AK277" s="263" t="str">
        <f>IF(Main!AV278&gt;0,Main!AV278,"")</f>
        <v/>
      </c>
      <c r="AL277" s="263">
        <f>IF(Main!AU278&gt;0,Main!AU278,"")</f>
        <v>42136</v>
      </c>
      <c r="AM277" s="263">
        <f>IF(Main!AT278&gt;0,Main!AT278,"")</f>
        <v>42136</v>
      </c>
      <c r="AN277" s="259" t="str">
        <f>Main!BW278</f>
        <v xml:space="preserve">2305 (for processing) 5/12/2015, </v>
      </c>
    </row>
    <row r="278" spans="1:40" x14ac:dyDescent="0.25">
      <c r="A278" s="258">
        <f>Main!C279</f>
        <v>1082495</v>
      </c>
      <c r="B278" s="259" t="str">
        <f>Main!D279</f>
        <v>Japson, Eunice Joyce</v>
      </c>
      <c r="C278" s="259" t="str">
        <f>Main!AH279</f>
        <v>Probationary</v>
      </c>
      <c r="D278" s="260">
        <f>Main!B279</f>
        <v>42135</v>
      </c>
      <c r="E278" s="260" t="str">
        <f>IF(Main!AI279&lt;1,"",Main!AI279)</f>
        <v>Jobstreet</v>
      </c>
      <c r="F278" s="260" t="str">
        <f>IF(Main!AJ279&lt;1,"",Main!AJ279)</f>
        <v/>
      </c>
      <c r="G278" s="260" t="str">
        <f>IF(Main!AK279&lt;1,"",Main!AK279)</f>
        <v/>
      </c>
      <c r="H278" s="259" t="str">
        <f>Main!Y279</f>
        <v>Senior Recruiter</v>
      </c>
      <c r="I278" s="259" t="str">
        <f>Main!Z279</f>
        <v>Level 1</v>
      </c>
      <c r="J278" s="259">
        <f>IF(Main!A279&lt;1,"",Main!A279)</f>
        <v>196</v>
      </c>
      <c r="K278" s="260">
        <f>IF(Main!AN279&gt;0,Main!AN279,"")</f>
        <v>34686</v>
      </c>
      <c r="L278" s="258" t="str">
        <f>IF(Main!Q279&gt;0,Main!Q279,"")</f>
        <v/>
      </c>
      <c r="M278" s="410">
        <f>VALUE(IF(Main!S279&gt;0,Main!S279,""))</f>
        <v>9353105128</v>
      </c>
      <c r="N278" s="261" t="str">
        <f>Main!T279</f>
        <v/>
      </c>
      <c r="O278" s="258" t="str">
        <f>IF(Main!AO279&gt;0,Main!AO279,"")</f>
        <v/>
      </c>
      <c r="P278" s="258" t="str">
        <f>IF(Main!AP279&gt;0,Main!AP279,"")</f>
        <v/>
      </c>
      <c r="Q278" s="258" t="str">
        <f>IF(Main!AR279&gt;0,Main!AR279,"")</f>
        <v/>
      </c>
      <c r="R278" s="259" t="str">
        <f>IF(Main!AQ279&gt;0,Main!AQ279,"")</f>
        <v/>
      </c>
      <c r="S278" s="259" t="str">
        <f>IF(Main!BD279&gt;0,Main!BD279,"")</f>
        <v/>
      </c>
      <c r="T278" s="259" t="str">
        <f>IF(Main!AX279&gt;0,Main!AX279,"")</f>
        <v/>
      </c>
      <c r="U278" s="259" t="str">
        <f>IF(Main!BH279&gt;0,Main!BH279,"")</f>
        <v/>
      </c>
      <c r="V278" s="268" t="str">
        <f>IF(Main!BF279&gt;0,Main!BF279,"")</f>
        <v/>
      </c>
      <c r="W278" s="263">
        <f>IF(Main!BS279&gt;0,Main!BS279,"")</f>
        <v>42137</v>
      </c>
      <c r="X278" s="263">
        <f>IF(Main!BT279&gt;0,Main!BT279,"")</f>
        <v>42137</v>
      </c>
      <c r="Y278" s="263">
        <f>IF(Main!BU279&gt;0,Main!BU279,"")</f>
        <v>42137</v>
      </c>
      <c r="Z278" s="263" t="str">
        <f>IF(Main!AS279&gt;0,Main!AS279,"")</f>
        <v/>
      </c>
      <c r="AA278" s="263" t="str">
        <f>IF(Main!BJ279&gt;0,Main!BJ279,"")</f>
        <v/>
      </c>
      <c r="AB278" s="263" t="str">
        <f>IF(Main!BC279&gt;0,Main!BC279,"")</f>
        <v/>
      </c>
      <c r="AC278" s="263" t="str">
        <f>IF(Main!AW279&gt;0,Main!AW279,"")</f>
        <v/>
      </c>
      <c r="AD278" s="263" t="str">
        <f>IF(Main!BG279&gt;0,Main!BG279,"")</f>
        <v/>
      </c>
      <c r="AE278" s="263" t="str">
        <f>IF(Main!BE279&gt;0,Main!BE279,"")</f>
        <v/>
      </c>
      <c r="AF278" s="263" t="str">
        <f>IF(Main!BM279&gt;0,Main!BM279,"")</f>
        <v/>
      </c>
      <c r="AG278" s="263" t="str">
        <f>IF(Main!BN279&gt;0,Main!BN279,"")</f>
        <v/>
      </c>
      <c r="AH278" s="263" t="str">
        <f>IF(Main!BO279&gt;0,Main!BO279,"")</f>
        <v/>
      </c>
      <c r="AI278" s="263" t="str">
        <f>IF(Main!BR279&gt;0,Main!BR279,"")</f>
        <v/>
      </c>
      <c r="AJ278" s="263" t="str">
        <f>IF(Main!BQ279&gt;0,Main!BQ279,"")</f>
        <v/>
      </c>
      <c r="AK278" s="263" t="str">
        <f>IF(Main!AV279&gt;0,Main!AV279,"")</f>
        <v/>
      </c>
      <c r="AL278" s="263" t="str">
        <f>IF(Main!AU279&gt;0,Main!AU279,"")</f>
        <v/>
      </c>
      <c r="AM278" s="263" t="str">
        <f>IF(Main!AT279&gt;0,Main!AT279,"")</f>
        <v/>
      </c>
      <c r="AN278" s="259" t="str">
        <f>Main!BW279</f>
        <v/>
      </c>
    </row>
    <row r="279" spans="1:40" x14ac:dyDescent="0.25">
      <c r="A279" s="258">
        <f>Main!C280</f>
        <v>1082496</v>
      </c>
      <c r="B279" s="259" t="str">
        <f>Main!D280</f>
        <v>Mapili, Hazel Borromeo</v>
      </c>
      <c r="C279" s="259" t="str">
        <f>Main!AH280</f>
        <v>Probationary</v>
      </c>
      <c r="D279" s="260">
        <f>Main!B280</f>
        <v>42135</v>
      </c>
      <c r="E279" s="260" t="str">
        <f>IF(Main!AI280&lt;1,"",Main!AI280)</f>
        <v>Jobstreet</v>
      </c>
      <c r="F279" s="260" t="str">
        <f>IF(Main!AJ280&lt;1,"",Main!AJ280)</f>
        <v/>
      </c>
      <c r="G279" s="260" t="str">
        <f>IF(Main!AK280&lt;1,"",Main!AK280)</f>
        <v/>
      </c>
      <c r="H279" s="259" t="str">
        <f>Main!Y280</f>
        <v>Senior Recruiter</v>
      </c>
      <c r="I279" s="259" t="str">
        <f>Main!Z280</f>
        <v>Level 1</v>
      </c>
      <c r="J279" s="259">
        <f>IF(Main!A280&lt;1,"",Main!A280)</f>
        <v>196</v>
      </c>
      <c r="K279" s="260">
        <f>IF(Main!AN280&gt;0,Main!AN280,"")</f>
        <v>30909</v>
      </c>
      <c r="L279" s="258" t="str">
        <f>IF(Main!Q280&gt;0,Main!Q280,"")</f>
        <v/>
      </c>
      <c r="M279" s="410">
        <f>VALUE(IF(Main!S280&gt;0,Main!S280,""))</f>
        <v>9205395601</v>
      </c>
      <c r="N279" s="261" t="str">
        <f>Main!T280</f>
        <v/>
      </c>
      <c r="O279" s="258" t="str">
        <f>IF(Main!AO280&gt;0,Main!AO280,"")</f>
        <v>7 Doroteo Ext. Santolan Pasig City</v>
      </c>
      <c r="P279" s="258" t="str">
        <f>IF(Main!AP280&gt;0,Main!AP280,"")</f>
        <v>7 Doroteo Ext. Santolan Pasig City</v>
      </c>
      <c r="Q279" s="258" t="str">
        <f>IF(Main!AR280&gt;0,Main!AR280,"")</f>
        <v>Single</v>
      </c>
      <c r="R279" s="259" t="str">
        <f>IF(Main!AQ280&gt;0,Main!AQ280,"")</f>
        <v>Female</v>
      </c>
      <c r="S279" s="259" t="str">
        <f>IF(Main!BD280&gt;0,Main!BD280,"")</f>
        <v/>
      </c>
      <c r="T279" s="259" t="str">
        <f>IF(Main!AX280&gt;0,Main!AX280,"")</f>
        <v>264-991-973</v>
      </c>
      <c r="U279" s="259" t="str">
        <f>IF(Main!BH280&gt;0,Main!BH280,"")</f>
        <v>01-050736458-1</v>
      </c>
      <c r="V279" s="268" t="str">
        <f>IF(Main!BF280&gt;0,Main!BF280,"")</f>
        <v>1210-2236-5263</v>
      </c>
      <c r="W279" s="263">
        <f>IF(Main!BS280&gt;0,Main!BS280,"")</f>
        <v>42137</v>
      </c>
      <c r="X279" s="263">
        <f>IF(Main!BT280&gt;0,Main!BT280,"")</f>
        <v>42137</v>
      </c>
      <c r="Y279" s="263">
        <f>IF(Main!BU280&gt;0,Main!BU280,"")</f>
        <v>42137</v>
      </c>
      <c r="Z279" s="263">
        <f>IF(Main!AS280&gt;0,Main!AS280,"")</f>
        <v>42137</v>
      </c>
      <c r="AA279" s="263">
        <f>IF(Main!BJ280&gt;0,Main!BJ280,"")</f>
        <v>42137</v>
      </c>
      <c r="AB279" s="263" t="str">
        <f>IF(Main!BC280&gt;0,Main!BC280,"")</f>
        <v/>
      </c>
      <c r="AC279" s="263">
        <f>IF(Main!AW280&gt;0,Main!AW280,"")</f>
        <v>42139</v>
      </c>
      <c r="AD279" s="263">
        <f>IF(Main!BG280&gt;0,Main!BG280,"")</f>
        <v>42139</v>
      </c>
      <c r="AE279" s="263">
        <f>IF(Main!BE280&gt;0,Main!BE280,"")</f>
        <v>42139</v>
      </c>
      <c r="AF279" s="263">
        <f>IF(Main!BM280&gt;0,Main!BM280,"")</f>
        <v>42137</v>
      </c>
      <c r="AG279" s="263" t="str">
        <f>IF(Main!BN280&gt;0,Main!BN280,"")</f>
        <v/>
      </c>
      <c r="AH279" s="263" t="str">
        <f>IF(Main!BO280&gt;0,Main!BO280,"")</f>
        <v/>
      </c>
      <c r="AI279" s="263">
        <f>IF(Main!BR280&gt;0,Main!BR280,"")</f>
        <v>42137</v>
      </c>
      <c r="AJ279" s="263" t="str">
        <f>IF(Main!BQ280&gt;0,Main!BQ280,"")</f>
        <v/>
      </c>
      <c r="AK279" s="263" t="str">
        <f>IF(Main!AV280&gt;0,Main!AV280,"")</f>
        <v/>
      </c>
      <c r="AL279" s="263">
        <f>IF(Main!AU280&gt;0,Main!AU280,"")</f>
        <v>42136</v>
      </c>
      <c r="AM279" s="263">
        <f>IF(Main!AT280&gt;0,Main!AT280,"")</f>
        <v>42136</v>
      </c>
      <c r="AN279" s="259" t="str">
        <f>Main!BW280</f>
        <v xml:space="preserve">1905 (for processing) 5/15/2015, 2305 (for processing) 5/12/2015, MDR 5/15/2015, </v>
      </c>
    </row>
    <row r="280" spans="1:40" x14ac:dyDescent="0.25">
      <c r="A280" s="258">
        <f>Main!C281</f>
        <v>1082497</v>
      </c>
      <c r="B280" s="259" t="str">
        <f>Main!D281</f>
        <v>Tan, Karen Bernadette Sacdalan</v>
      </c>
      <c r="C280" s="259" t="str">
        <f>Main!AH281</f>
        <v>Probationary</v>
      </c>
      <c r="D280" s="260">
        <f>Main!B281</f>
        <v>42135</v>
      </c>
      <c r="E280" s="260" t="str">
        <f>IF(Main!AI281&lt;1,"",Main!AI281)</f>
        <v>Jobstreet</v>
      </c>
      <c r="F280" s="260" t="str">
        <f>IF(Main!AJ281&lt;1,"",Main!AJ281)</f>
        <v/>
      </c>
      <c r="G280" s="260" t="str">
        <f>IF(Main!AK281&lt;1,"",Main!AK281)</f>
        <v/>
      </c>
      <c r="H280" s="259" t="str">
        <f>Main!Y281</f>
        <v>Senior Recruiter</v>
      </c>
      <c r="I280" s="259" t="str">
        <f>Main!Z281</f>
        <v>Level 2</v>
      </c>
      <c r="J280" s="259">
        <f>IF(Main!A281&lt;1,"",Main!A281)</f>
        <v>196</v>
      </c>
      <c r="K280" s="260">
        <f>IF(Main!AN281&gt;0,Main!AN281,"")</f>
        <v>33164</v>
      </c>
      <c r="L280" s="258" t="str">
        <f>IF(Main!Q281&gt;0,Main!Q281,"")</f>
        <v/>
      </c>
      <c r="M280" s="410">
        <f>VALUE(IF(Main!S281&gt;0,Main!S281,""))</f>
        <v>9157649319</v>
      </c>
      <c r="N280" s="261" t="str">
        <f>Main!T281</f>
        <v/>
      </c>
      <c r="O280" s="258" t="str">
        <f>IF(Main!AO281&gt;0,Main!AO281,"")</f>
        <v/>
      </c>
      <c r="P280" s="258" t="str">
        <f>IF(Main!AP281&gt;0,Main!AP281,"")</f>
        <v/>
      </c>
      <c r="Q280" s="258" t="str">
        <f>IF(Main!AR281&gt;0,Main!AR281,"")</f>
        <v/>
      </c>
      <c r="R280" s="259" t="str">
        <f>IF(Main!AQ281&gt;0,Main!AQ281,"")</f>
        <v/>
      </c>
      <c r="S280" s="259" t="str">
        <f>IF(Main!BD281&gt;0,Main!BD281,"")</f>
        <v/>
      </c>
      <c r="T280" s="259" t="str">
        <f>IF(Main!AX281&gt;0,Main!AX281,"")</f>
        <v/>
      </c>
      <c r="U280" s="259" t="str">
        <f>IF(Main!BH281&gt;0,Main!BH281,"")</f>
        <v/>
      </c>
      <c r="V280" s="268" t="str">
        <f>IF(Main!BF281&gt;0,Main!BF281,"")</f>
        <v/>
      </c>
      <c r="W280" s="263">
        <f>IF(Main!BS281&gt;0,Main!BS281,"")</f>
        <v>42137</v>
      </c>
      <c r="X280" s="263">
        <f>IF(Main!BT281&gt;0,Main!BT281,"")</f>
        <v>42137</v>
      </c>
      <c r="Y280" s="263">
        <f>IF(Main!BU281&gt;0,Main!BU281,"")</f>
        <v>42137</v>
      </c>
      <c r="Z280" s="263" t="str">
        <f>IF(Main!AS281&gt;0,Main!AS281,"")</f>
        <v/>
      </c>
      <c r="AA280" s="263" t="str">
        <f>IF(Main!BJ281&gt;0,Main!BJ281,"")</f>
        <v/>
      </c>
      <c r="AB280" s="263" t="str">
        <f>IF(Main!BC281&gt;0,Main!BC281,"")</f>
        <v/>
      </c>
      <c r="AC280" s="263" t="str">
        <f>IF(Main!AW281&gt;0,Main!AW281,"")</f>
        <v/>
      </c>
      <c r="AD280" s="263" t="str">
        <f>IF(Main!BG281&gt;0,Main!BG281,"")</f>
        <v/>
      </c>
      <c r="AE280" s="263" t="str">
        <f>IF(Main!BE281&gt;0,Main!BE281,"")</f>
        <v/>
      </c>
      <c r="AF280" s="263" t="str">
        <f>IF(Main!BM281&gt;0,Main!BM281,"")</f>
        <v/>
      </c>
      <c r="AG280" s="263" t="str">
        <f>IF(Main!BN281&gt;0,Main!BN281,"")</f>
        <v/>
      </c>
      <c r="AH280" s="263" t="str">
        <f>IF(Main!BO281&gt;0,Main!BO281,"")</f>
        <v/>
      </c>
      <c r="AI280" s="263" t="str">
        <f>IF(Main!BR281&gt;0,Main!BR281,"")</f>
        <v/>
      </c>
      <c r="AJ280" s="263" t="str">
        <f>IF(Main!BQ281&gt;0,Main!BQ281,"")</f>
        <v/>
      </c>
      <c r="AK280" s="263" t="str">
        <f>IF(Main!AV281&gt;0,Main!AV281,"")</f>
        <v/>
      </c>
      <c r="AL280" s="263">
        <f>IF(Main!AU281&gt;0,Main!AU281,"")</f>
        <v>42136</v>
      </c>
      <c r="AM280" s="263">
        <f>IF(Main!AT281&gt;0,Main!AT281,"")</f>
        <v>42136</v>
      </c>
      <c r="AN280" s="259" t="str">
        <f>Main!BW281</f>
        <v/>
      </c>
    </row>
    <row r="281" spans="1:40" x14ac:dyDescent="0.25">
      <c r="A281" s="258">
        <f>Main!C282</f>
        <v>1082498</v>
      </c>
      <c r="B281" s="259" t="str">
        <f>Main!D282</f>
        <v>Quin, Karmille Mae</v>
      </c>
      <c r="C281" s="259" t="str">
        <f>Main!AH282</f>
        <v>Probationary</v>
      </c>
      <c r="D281" s="260">
        <f>Main!B282</f>
        <v>42135</v>
      </c>
      <c r="E281" s="260" t="str">
        <f>IF(Main!AI282&lt;1,"",Main!AI282)</f>
        <v>Jobstreet</v>
      </c>
      <c r="F281" s="260" t="str">
        <f>IF(Main!AJ282&lt;1,"",Main!AJ282)</f>
        <v/>
      </c>
      <c r="G281" s="260" t="str">
        <f>IF(Main!AK282&lt;1,"",Main!AK282)</f>
        <v/>
      </c>
      <c r="H281" s="259" t="str">
        <f>Main!Y282</f>
        <v>Senior Recruiter</v>
      </c>
      <c r="I281" s="259" t="str">
        <f>Main!Z282</f>
        <v>Level 2</v>
      </c>
      <c r="J281" s="259">
        <f>IF(Main!A282&lt;1,"",Main!A282)</f>
        <v>196</v>
      </c>
      <c r="K281" s="260">
        <f>IF(Main!AN282&gt;0,Main!AN282,"")</f>
        <v>32408</v>
      </c>
      <c r="L281" s="258" t="str">
        <f>IF(Main!Q282&gt;0,Main!Q282,"")</f>
        <v/>
      </c>
      <c r="M281" s="410">
        <f>VALUE(IF(Main!S282&gt;0,Main!S282,""))</f>
        <v>9271287389</v>
      </c>
      <c r="N281" s="261" t="str">
        <f>Main!T282</f>
        <v/>
      </c>
      <c r="O281" s="258" t="str">
        <f>IF(Main!AO282&gt;0,Main!AO282,"")</f>
        <v/>
      </c>
      <c r="P281" s="258" t="str">
        <f>IF(Main!AP282&gt;0,Main!AP282,"")</f>
        <v/>
      </c>
      <c r="Q281" s="258" t="str">
        <f>IF(Main!AR282&gt;0,Main!AR282,"")</f>
        <v/>
      </c>
      <c r="R281" s="259" t="str">
        <f>IF(Main!AQ282&gt;0,Main!AQ282,"")</f>
        <v/>
      </c>
      <c r="S281" s="259" t="str">
        <f>IF(Main!BD282&gt;0,Main!BD282,"")</f>
        <v/>
      </c>
      <c r="T281" s="259" t="str">
        <f>IF(Main!AX282&gt;0,Main!AX282,"")</f>
        <v/>
      </c>
      <c r="U281" s="259" t="str">
        <f>IF(Main!BH282&gt;0,Main!BH282,"")</f>
        <v/>
      </c>
      <c r="V281" s="268" t="str">
        <f>IF(Main!BF282&gt;0,Main!BF282,"")</f>
        <v/>
      </c>
      <c r="W281" s="263">
        <f>IF(Main!BS282&gt;0,Main!BS282,"")</f>
        <v>42137</v>
      </c>
      <c r="X281" s="263">
        <f>IF(Main!BT282&gt;0,Main!BT282,"")</f>
        <v>42137</v>
      </c>
      <c r="Y281" s="263">
        <f>IF(Main!BU282&gt;0,Main!BU282,"")</f>
        <v>42137</v>
      </c>
      <c r="Z281" s="263" t="str">
        <f>IF(Main!AS282&gt;0,Main!AS282,"")</f>
        <v/>
      </c>
      <c r="AA281" s="263" t="str">
        <f>IF(Main!BJ282&gt;0,Main!BJ282,"")</f>
        <v/>
      </c>
      <c r="AB281" s="263" t="str">
        <f>IF(Main!BC282&gt;0,Main!BC282,"")</f>
        <v/>
      </c>
      <c r="AC281" s="263" t="str">
        <f>IF(Main!AW282&gt;0,Main!AW282,"")</f>
        <v/>
      </c>
      <c r="AD281" s="263" t="str">
        <f>IF(Main!BG282&gt;0,Main!BG282,"")</f>
        <v/>
      </c>
      <c r="AE281" s="263" t="str">
        <f>IF(Main!BE282&gt;0,Main!BE282,"")</f>
        <v/>
      </c>
      <c r="AF281" s="263" t="str">
        <f>IF(Main!BM282&gt;0,Main!BM282,"")</f>
        <v/>
      </c>
      <c r="AG281" s="263" t="str">
        <f>IF(Main!BN282&gt;0,Main!BN282,"")</f>
        <v/>
      </c>
      <c r="AH281" s="263" t="str">
        <f>IF(Main!BO282&gt;0,Main!BO282,"")</f>
        <v/>
      </c>
      <c r="AI281" s="263" t="str">
        <f>IF(Main!BR282&gt;0,Main!BR282,"")</f>
        <v/>
      </c>
      <c r="AJ281" s="263" t="str">
        <f>IF(Main!BQ282&gt;0,Main!BQ282,"")</f>
        <v/>
      </c>
      <c r="AK281" s="263" t="str">
        <f>IF(Main!AV282&gt;0,Main!AV282,"")</f>
        <v/>
      </c>
      <c r="AL281" s="263">
        <f>IF(Main!AU282&gt;0,Main!AU282,"")</f>
        <v>42136</v>
      </c>
      <c r="AM281" s="263">
        <f>IF(Main!AT282&gt;0,Main!AT282,"")</f>
        <v>42136</v>
      </c>
      <c r="AN281" s="259" t="str">
        <f>Main!BW282</f>
        <v xml:space="preserve">2305 (for processing) 5/12/2015, </v>
      </c>
    </row>
    <row r="282" spans="1:40" x14ac:dyDescent="0.25">
      <c r="A282" s="258">
        <f>Main!C283</f>
        <v>1082499</v>
      </c>
      <c r="B282" s="259" t="str">
        <f>Main!D283</f>
        <v>Torreliza, Kathleen May Ortiz</v>
      </c>
      <c r="C282" s="259" t="str">
        <f>Main!AH283</f>
        <v>Probationary</v>
      </c>
      <c r="D282" s="260">
        <f>Main!B283</f>
        <v>42135</v>
      </c>
      <c r="E282" s="260" t="str">
        <f>IF(Main!AI283&lt;1,"",Main!AI283)</f>
        <v>K-Search</v>
      </c>
      <c r="F282" s="260" t="str">
        <f>IF(Main!AJ283&lt;1,"",Main!AJ283)</f>
        <v/>
      </c>
      <c r="G282" s="260" t="str">
        <f>IF(Main!AK283&lt;1,"",Main!AK283)</f>
        <v/>
      </c>
      <c r="H282" s="259" t="str">
        <f>Main!Y283</f>
        <v>Senior Recruiter</v>
      </c>
      <c r="I282" s="259" t="str">
        <f>Main!Z283</f>
        <v>Level 1</v>
      </c>
      <c r="J282" s="259">
        <f>IF(Main!A283&lt;1,"",Main!A283)</f>
        <v>196</v>
      </c>
      <c r="K282" s="260">
        <f>IF(Main!AN283&gt;0,Main!AN283,"")</f>
        <v>33402</v>
      </c>
      <c r="L282" s="258" t="str">
        <f>IF(Main!Q283&gt;0,Main!Q283,"")</f>
        <v/>
      </c>
      <c r="M282" s="410">
        <f>VALUE(IF(Main!S283&gt;0,Main!S283,""))</f>
        <v>9052216710</v>
      </c>
      <c r="N282" s="261" t="str">
        <f>Main!T283</f>
        <v/>
      </c>
      <c r="O282" s="258" t="str">
        <f>IF(Main!AO283&gt;0,Main!AO283,"")</f>
        <v>416  A.H. Lacson Ave. Sampaloc, Manila</v>
      </c>
      <c r="P282" s="258" t="str">
        <f>IF(Main!AP283&gt;0,Main!AP283,"")</f>
        <v>416  A.H. Lacson Ave. Sampaloc, Manila</v>
      </c>
      <c r="Q282" s="258" t="str">
        <f>IF(Main!AR283&gt;0,Main!AR283,"")</f>
        <v>Single</v>
      </c>
      <c r="R282" s="259" t="str">
        <f>IF(Main!AQ283&gt;0,Main!AQ283,"")</f>
        <v>Female</v>
      </c>
      <c r="S282" s="259" t="str">
        <f>IF(Main!BD283&gt;0,Main!BD283,"")</f>
        <v>34-2257917-4</v>
      </c>
      <c r="T282" s="259" t="str">
        <f>IF(Main!AX283&gt;0,Main!AX283,"")</f>
        <v>312-899-577</v>
      </c>
      <c r="U282" s="259" t="str">
        <f>IF(Main!BH283&gt;0,Main!BH283,"")</f>
        <v>03-050712097-7</v>
      </c>
      <c r="V282" s="268" t="str">
        <f>IF(Main!BF283&gt;0,Main!BF283,"")</f>
        <v>1210-3487-7224</v>
      </c>
      <c r="W282" s="263">
        <f>IF(Main!BS283&gt;0,Main!BS283,"")</f>
        <v>42137</v>
      </c>
      <c r="X282" s="263">
        <f>IF(Main!BT283&gt;0,Main!BT283,"")</f>
        <v>42137</v>
      </c>
      <c r="Y282" s="263">
        <f>IF(Main!BU283&gt;0,Main!BU283,"")</f>
        <v>42137</v>
      </c>
      <c r="Z282" s="263">
        <f>IF(Main!AS283&gt;0,Main!AS283,"")</f>
        <v>42139</v>
      </c>
      <c r="AA282" s="263">
        <f>IF(Main!BJ283&gt;0,Main!BJ283,"")</f>
        <v>42137</v>
      </c>
      <c r="AB282" s="263">
        <f>IF(Main!BC283&gt;0,Main!BC283,"")</f>
        <v>42137</v>
      </c>
      <c r="AC282" s="263">
        <f>IF(Main!AW283&gt;0,Main!AW283,"")</f>
        <v>42137</v>
      </c>
      <c r="AD282" s="263">
        <f>IF(Main!BG283&gt;0,Main!BG283,"")</f>
        <v>42137</v>
      </c>
      <c r="AE282" s="263">
        <f>IF(Main!BE283&gt;0,Main!BE283,"")</f>
        <v>42137</v>
      </c>
      <c r="AF282" s="263">
        <f>IF(Main!BM283&gt;0,Main!BM283,"")</f>
        <v>42137</v>
      </c>
      <c r="AG282" s="263" t="str">
        <f>IF(Main!BN283&gt;0,Main!BN283,"")</f>
        <v/>
      </c>
      <c r="AH282" s="263" t="str">
        <f>IF(Main!BO283&gt;0,Main!BO283,"")</f>
        <v/>
      </c>
      <c r="AI282" s="263">
        <f>IF(Main!BR283&gt;0,Main!BR283,"")</f>
        <v>42137</v>
      </c>
      <c r="AJ282" s="263" t="str">
        <f>IF(Main!BQ283&gt;0,Main!BQ283,"")</f>
        <v/>
      </c>
      <c r="AK282" s="263" t="str">
        <f>IF(Main!AV283&gt;0,Main!AV283,"")</f>
        <v/>
      </c>
      <c r="AL282" s="263">
        <f>IF(Main!AU283&gt;0,Main!AU283,"")</f>
        <v>42136</v>
      </c>
      <c r="AM282" s="263">
        <f>IF(Main!AT283&gt;0,Main!AT283,"")</f>
        <v>42136</v>
      </c>
      <c r="AN282" s="259" t="str">
        <f>Main!BW283</f>
        <v xml:space="preserve">MDR 5/13/2015, </v>
      </c>
    </row>
    <row r="283" spans="1:40" x14ac:dyDescent="0.25">
      <c r="A283" s="258">
        <f>Main!C284</f>
        <v>1082500</v>
      </c>
      <c r="B283" s="259" t="str">
        <f>Main!D284</f>
        <v>Villanueva, Lauren Ava</v>
      </c>
      <c r="C283" s="259" t="str">
        <f>Main!AH284</f>
        <v>Probationary</v>
      </c>
      <c r="D283" s="260">
        <f>Main!B284</f>
        <v>42135</v>
      </c>
      <c r="E283" s="260" t="str">
        <f>IF(Main!AI284&lt;1,"",Main!AI284)</f>
        <v>Jobstreet</v>
      </c>
      <c r="F283" s="260" t="str">
        <f>IF(Main!AJ284&lt;1,"",Main!AJ284)</f>
        <v/>
      </c>
      <c r="G283" s="260" t="str">
        <f>IF(Main!AK284&lt;1,"",Main!AK284)</f>
        <v/>
      </c>
      <c r="H283" s="259" t="str">
        <f>Main!Y284</f>
        <v>Senior Recruiter</v>
      </c>
      <c r="I283" s="259" t="str">
        <f>Main!Z284</f>
        <v>Level 2</v>
      </c>
      <c r="J283" s="259">
        <f>IF(Main!A284&lt;1,"",Main!A284)</f>
        <v>196</v>
      </c>
      <c r="K283" s="260">
        <f>IF(Main!AN284&gt;0,Main!AN284,"")</f>
        <v>30997</v>
      </c>
      <c r="L283" s="258" t="str">
        <f>IF(Main!Q284&gt;0,Main!Q284,"")</f>
        <v/>
      </c>
      <c r="M283" s="410">
        <f>VALUE(IF(Main!S284&gt;0,Main!S284,""))</f>
        <v>9235936596</v>
      </c>
      <c r="N283" s="261" t="str">
        <f>Main!T284</f>
        <v/>
      </c>
      <c r="O283" s="258" t="str">
        <f>IF(Main!AO284&gt;0,Main!AO284,"")</f>
        <v/>
      </c>
      <c r="P283" s="258" t="str">
        <f>IF(Main!AP284&gt;0,Main!AP284,"")</f>
        <v/>
      </c>
      <c r="Q283" s="258" t="str">
        <f>IF(Main!AR284&gt;0,Main!AR284,"")</f>
        <v/>
      </c>
      <c r="R283" s="259" t="str">
        <f>IF(Main!AQ284&gt;0,Main!AQ284,"")</f>
        <v/>
      </c>
      <c r="S283" s="259" t="str">
        <f>IF(Main!BD284&gt;0,Main!BD284,"")</f>
        <v>02-2221259-5</v>
      </c>
      <c r="T283" s="259" t="str">
        <f>IF(Main!AX284&gt;0,Main!AX284,"")</f>
        <v>231-790-948</v>
      </c>
      <c r="U283" s="259" t="str">
        <f>IF(Main!BH284&gt;0,Main!BH284,"")</f>
        <v>07-050357560-2</v>
      </c>
      <c r="V283" s="268" t="str">
        <f>IF(Main!BF284&gt;0,Main!BF284,"")</f>
        <v>1210-5430-3234</v>
      </c>
      <c r="W283" s="263">
        <f>IF(Main!BS284&gt;0,Main!BS284,"")</f>
        <v>42137</v>
      </c>
      <c r="X283" s="263">
        <f>IF(Main!BT284&gt;0,Main!BT284,"")</f>
        <v>42137</v>
      </c>
      <c r="Y283" s="263">
        <f>IF(Main!BU284&gt;0,Main!BU284,"")</f>
        <v>42137</v>
      </c>
      <c r="Z283" s="263" t="str">
        <f>IF(Main!AS284&gt;0,Main!AS284,"")</f>
        <v/>
      </c>
      <c r="AA283" s="263" t="str">
        <f>IF(Main!BJ284&gt;0,Main!BJ284,"")</f>
        <v/>
      </c>
      <c r="AB283" s="263">
        <f>IF(Main!BC284&gt;0,Main!BC284,"")</f>
        <v>42137</v>
      </c>
      <c r="AC283" s="263">
        <f>IF(Main!AW284&gt;0,Main!AW284,"")</f>
        <v>42137</v>
      </c>
      <c r="AD283" s="263">
        <f>IF(Main!BG284&gt;0,Main!BG284,"")</f>
        <v>42137</v>
      </c>
      <c r="AE283" s="263">
        <f>IF(Main!BE284&gt;0,Main!BE284,"")</f>
        <v>42137</v>
      </c>
      <c r="AF283" s="263" t="str">
        <f>IF(Main!BM284&gt;0,Main!BM284,"")</f>
        <v/>
      </c>
      <c r="AG283" s="263" t="str">
        <f>IF(Main!BN284&gt;0,Main!BN284,"")</f>
        <v/>
      </c>
      <c r="AH283" s="263" t="str">
        <f>IF(Main!BO284&gt;0,Main!BO284,"")</f>
        <v/>
      </c>
      <c r="AI283" s="263" t="str">
        <f>IF(Main!BR284&gt;0,Main!BR284,"")</f>
        <v/>
      </c>
      <c r="AJ283" s="263" t="str">
        <f>IF(Main!BQ284&gt;0,Main!BQ284,"")</f>
        <v/>
      </c>
      <c r="AK283" s="263" t="str">
        <f>IF(Main!AV284&gt;0,Main!AV284,"")</f>
        <v/>
      </c>
      <c r="AL283" s="263">
        <f>IF(Main!AU284&gt;0,Main!AU284,"")</f>
        <v>42136</v>
      </c>
      <c r="AM283" s="263">
        <f>IF(Main!AT284&gt;0,Main!AT284,"")</f>
        <v>42136</v>
      </c>
      <c r="AN283" s="259" t="str">
        <f>Main!BW284</f>
        <v xml:space="preserve">1905 (for processing) 5/13/2015, 2305 (for processing) 5/12/2015, MDR 5/13/2015, </v>
      </c>
    </row>
    <row r="284" spans="1:40" x14ac:dyDescent="0.25">
      <c r="A284" s="258">
        <f>Main!C285</f>
        <v>1082501</v>
      </c>
      <c r="B284" s="259" t="str">
        <f>Main!D285</f>
        <v>Cruz, Leslee Ann Pedragosa</v>
      </c>
      <c r="C284" s="259" t="str">
        <f>Main!AH285</f>
        <v>Probationary</v>
      </c>
      <c r="D284" s="260">
        <f>Main!B285</f>
        <v>42135</v>
      </c>
      <c r="E284" s="260" t="str">
        <f>IF(Main!AI285&lt;1,"",Main!AI285)</f>
        <v>ARP</v>
      </c>
      <c r="F284" s="260" t="str">
        <f>IF(Main!AJ285&lt;1,"",Main!AJ285)</f>
        <v/>
      </c>
      <c r="G284" s="260" t="str">
        <f>IF(Main!AK285&lt;1,"",Main!AK285)</f>
        <v/>
      </c>
      <c r="H284" s="259" t="str">
        <f>Main!Y285</f>
        <v>Senior Recruiter</v>
      </c>
      <c r="I284" s="259" t="str">
        <f>Main!Z285</f>
        <v>Level 2</v>
      </c>
      <c r="J284" s="259">
        <f>IF(Main!A285&lt;1,"",Main!A285)</f>
        <v>196</v>
      </c>
      <c r="K284" s="260">
        <f>IF(Main!AN285&gt;0,Main!AN285,"")</f>
        <v>33870</v>
      </c>
      <c r="L284" s="258" t="str">
        <f>IF(Main!Q285&gt;0,Main!Q285,"")</f>
        <v/>
      </c>
      <c r="M284" s="410">
        <f>VALUE(IF(Main!S285&gt;0,Main!S285,""))</f>
        <v>9274225847</v>
      </c>
      <c r="N284" s="261" t="str">
        <f>Main!T285</f>
        <v/>
      </c>
      <c r="O284" s="258" t="str">
        <f>IF(Main!AO285&gt;0,Main!AO285,"")</f>
        <v># 33 Road 26 Brgy Bagong Nayon 1 Cogeo Village Antipolo City</v>
      </c>
      <c r="P284" s="258" t="str">
        <f>IF(Main!AP285&gt;0,Main!AP285,"")</f>
        <v># 33 Road 26 Brgy Bagong Nayon 1 Cogeo Village Antipolo City</v>
      </c>
      <c r="Q284" s="258" t="str">
        <f>IF(Main!AR285&gt;0,Main!AR285,"")</f>
        <v>Single</v>
      </c>
      <c r="R284" s="259" t="str">
        <f>IF(Main!AQ285&gt;0,Main!AQ285,"")</f>
        <v>Female</v>
      </c>
      <c r="S284" s="259" t="str">
        <f>IF(Main!BD285&gt;0,Main!BD285,"")</f>
        <v>34-2567990-3</v>
      </c>
      <c r="T284" s="259" t="str">
        <f>IF(Main!AX285&gt;0,Main!AX285,"")</f>
        <v>311-979-176</v>
      </c>
      <c r="U284" s="259" t="str">
        <f>IF(Main!BH285&gt;0,Main!BH285,"")</f>
        <v>03-050950529-9</v>
      </c>
      <c r="V284" s="268" t="str">
        <f>IF(Main!BF285&gt;0,Main!BF285,"")</f>
        <v>1210-3579-7284</v>
      </c>
      <c r="W284" s="263">
        <f>IF(Main!BS285&gt;0,Main!BS285,"")</f>
        <v>42137</v>
      </c>
      <c r="X284" s="263">
        <f>IF(Main!BT285&gt;0,Main!BT285,"")</f>
        <v>42137</v>
      </c>
      <c r="Y284" s="263">
        <f>IF(Main!BU285&gt;0,Main!BU285,"")</f>
        <v>42137</v>
      </c>
      <c r="Z284" s="263">
        <f>IF(Main!AS285&gt;0,Main!AS285,"")</f>
        <v>42139</v>
      </c>
      <c r="AA284" s="263" t="str">
        <f>IF(Main!BJ285&gt;0,Main!BJ285,"")</f>
        <v/>
      </c>
      <c r="AB284" s="263">
        <f>IF(Main!BC285&gt;0,Main!BC285,"")</f>
        <v>42139</v>
      </c>
      <c r="AC284" s="263">
        <f>IF(Main!AW285&gt;0,Main!AW285,"")</f>
        <v>42139</v>
      </c>
      <c r="AD284" s="263">
        <f>IF(Main!BG285&gt;0,Main!BG285,"")</f>
        <v>42139</v>
      </c>
      <c r="AE284" s="263">
        <f>IF(Main!BE285&gt;0,Main!BE285,"")</f>
        <v>42139</v>
      </c>
      <c r="AF284" s="263">
        <f>IF(Main!BM285&gt;0,Main!BM285,"")</f>
        <v>42139</v>
      </c>
      <c r="AG284" s="263" t="str">
        <f>IF(Main!BN285&gt;0,Main!BN285,"")</f>
        <v/>
      </c>
      <c r="AH284" s="263" t="str">
        <f>IF(Main!BO285&gt;0,Main!BO285,"")</f>
        <v/>
      </c>
      <c r="AI284" s="263" t="str">
        <f>IF(Main!BR285&gt;0,Main!BR285,"")</f>
        <v/>
      </c>
      <c r="AJ284" s="263">
        <f>IF(Main!BQ285&gt;0,Main!BQ285,"")</f>
        <v>42140</v>
      </c>
      <c r="AK284" s="263" t="str">
        <f>IF(Main!AV285&gt;0,Main!AV285,"")</f>
        <v/>
      </c>
      <c r="AL284" s="263">
        <f>IF(Main!AU285&gt;0,Main!AU285,"")</f>
        <v>42136</v>
      </c>
      <c r="AM284" s="263">
        <f>IF(Main!AT285&gt;0,Main!AT285,"")</f>
        <v>42136</v>
      </c>
      <c r="AN284" s="259" t="str">
        <f>Main!BW285</f>
        <v xml:space="preserve">1905 (for processing) 5/15/2015, 2305 (for processing) 5/12/2015, MDR 5/15/2015, NBI receipt 5/15/2015, </v>
      </c>
    </row>
    <row r="285" spans="1:40" x14ac:dyDescent="0.25">
      <c r="A285" s="258">
        <f>Main!C286</f>
        <v>1082502</v>
      </c>
      <c r="B285" s="259" t="str">
        <f>Main!D286</f>
        <v>Palanca, Mark Angelo</v>
      </c>
      <c r="C285" s="259" t="str">
        <f>Main!AH286</f>
        <v>Probationary</v>
      </c>
      <c r="D285" s="260">
        <f>Main!B286</f>
        <v>42135</v>
      </c>
      <c r="E285" s="260" t="str">
        <f>IF(Main!AI286&lt;1,"",Main!AI286)</f>
        <v>ARP</v>
      </c>
      <c r="F285" s="260" t="str">
        <f>IF(Main!AJ286&lt;1,"",Main!AJ286)</f>
        <v/>
      </c>
      <c r="G285" s="260" t="str">
        <f>IF(Main!AK286&lt;1,"",Main!AK286)</f>
        <v/>
      </c>
      <c r="H285" s="259" t="str">
        <f>Main!Y286</f>
        <v>Billing Specialist</v>
      </c>
      <c r="I285" s="259" t="str">
        <f>Main!Z286</f>
        <v>Level 1</v>
      </c>
      <c r="J285" s="259">
        <f>IF(Main!A286&lt;1,"",Main!A286)</f>
        <v>196</v>
      </c>
      <c r="K285" s="260" t="str">
        <f>IF(Main!AN286&gt;0,Main!AN286,"")</f>
        <v/>
      </c>
      <c r="L285" s="258" t="str">
        <f>IF(Main!Q286&gt;0,Main!Q286,"")</f>
        <v/>
      </c>
      <c r="M285" s="410">
        <f>VALUE(IF(Main!S286&gt;0,Main!S286,""))</f>
        <v>9166507439</v>
      </c>
      <c r="N285" s="261" t="str">
        <f>Main!T286</f>
        <v/>
      </c>
      <c r="O285" s="258" t="str">
        <f>IF(Main!AO286&gt;0,Main!AO286,"")</f>
        <v>24 Grey St. San Juan City</v>
      </c>
      <c r="P285" s="258" t="str">
        <f>IF(Main!AP286&gt;0,Main!AP286,"")</f>
        <v>24 Grey St. San Juan City</v>
      </c>
      <c r="Q285" s="258" t="str">
        <f>IF(Main!AR286&gt;0,Main!AR286,"")</f>
        <v>Single</v>
      </c>
      <c r="R285" s="259" t="str">
        <f>IF(Main!AQ286&gt;0,Main!AQ286,"")</f>
        <v>Male</v>
      </c>
      <c r="S285" s="259" t="str">
        <f>IF(Main!BD286&gt;0,Main!BD286,"")</f>
        <v>34-2273342-8</v>
      </c>
      <c r="T285" s="259" t="str">
        <f>IF(Main!AX286&gt;0,Main!AX286,"")</f>
        <v>309-819-852</v>
      </c>
      <c r="U285" s="259" t="str">
        <f>IF(Main!BH286&gt;0,Main!BH286,"")</f>
        <v>01-051506611-5</v>
      </c>
      <c r="V285" s="268" t="str">
        <f>IF(Main!BF286&gt;0,Main!BF286,"")</f>
        <v>1211-1608-0696</v>
      </c>
      <c r="W285" s="263">
        <f>IF(Main!BS286&gt;0,Main!BS286,"")</f>
        <v>42137</v>
      </c>
      <c r="X285" s="263">
        <f>IF(Main!BT286&gt;0,Main!BT286,"")</f>
        <v>42137</v>
      </c>
      <c r="Y285" s="263">
        <f>IF(Main!BU286&gt;0,Main!BU286,"")</f>
        <v>42137</v>
      </c>
      <c r="Z285" s="263">
        <f>IF(Main!AS286&gt;0,Main!AS286,"")</f>
        <v>42137</v>
      </c>
      <c r="AA285" s="263" t="str">
        <f>IF(Main!BJ286&gt;0,Main!BJ286,"")</f>
        <v/>
      </c>
      <c r="AB285" s="263">
        <f>IF(Main!BC286&gt;0,Main!BC286,"")</f>
        <v>42137</v>
      </c>
      <c r="AC285" s="263">
        <f>IF(Main!AW286&gt;0,Main!AW286,"")</f>
        <v>42137</v>
      </c>
      <c r="AD285" s="263">
        <f>IF(Main!BG286&gt;0,Main!BG286,"")</f>
        <v>42137</v>
      </c>
      <c r="AE285" s="263">
        <f>IF(Main!BE286&gt;0,Main!BE286,"")</f>
        <v>42137</v>
      </c>
      <c r="AF285" s="263">
        <f>IF(Main!BM286&gt;0,Main!BM286,"")</f>
        <v>42137</v>
      </c>
      <c r="AG285" s="263" t="str">
        <f>IF(Main!BN286&gt;0,Main!BN286,"")</f>
        <v/>
      </c>
      <c r="AH285" s="263" t="str">
        <f>IF(Main!BO286&gt;0,Main!BO286,"")</f>
        <v/>
      </c>
      <c r="AI285" s="263" t="str">
        <f>IF(Main!BR286&gt;0,Main!BR286,"")</f>
        <v/>
      </c>
      <c r="AJ285" s="263">
        <f>IF(Main!BQ286&gt;0,Main!BQ286,"")</f>
        <v>42137</v>
      </c>
      <c r="AK285" s="263" t="str">
        <f>IF(Main!AV286&gt;0,Main!AV286,"")</f>
        <v/>
      </c>
      <c r="AL285" s="263">
        <f>IF(Main!AU286&gt;0,Main!AU286,"")</f>
        <v>42136</v>
      </c>
      <c r="AM285" s="263">
        <f>IF(Main!AT286&gt;0,Main!AT286,"")</f>
        <v>42136</v>
      </c>
      <c r="AN285" s="259" t="str">
        <f>Main!BW286</f>
        <v>2305 (for processing) 5/12/2015, MDR 5/13/2015, 2316 (2014) - 5/13/2015</v>
      </c>
    </row>
    <row r="286" spans="1:40" x14ac:dyDescent="0.25">
      <c r="A286" s="258">
        <f>Main!C287</f>
        <v>1082503</v>
      </c>
      <c r="B286" s="259" t="str">
        <f>Main!D287</f>
        <v>Sierra, Michael Angelo Marasigan</v>
      </c>
      <c r="C286" s="259" t="str">
        <f>Main!AH287</f>
        <v>Probationary</v>
      </c>
      <c r="D286" s="260">
        <f>Main!B287</f>
        <v>42135</v>
      </c>
      <c r="E286" s="260" t="str">
        <f>IF(Main!AI287&lt;1,"",Main!AI287)</f>
        <v>Jobstreet</v>
      </c>
      <c r="F286" s="260" t="str">
        <f>IF(Main!AJ287&lt;1,"",Main!AJ287)</f>
        <v/>
      </c>
      <c r="G286" s="260" t="str">
        <f>IF(Main!AK287&lt;1,"",Main!AK287)</f>
        <v/>
      </c>
      <c r="H286" s="259" t="str">
        <f>Main!Y287</f>
        <v>Senior Recruiter</v>
      </c>
      <c r="I286" s="259" t="str">
        <f>Main!Z287</f>
        <v>Level 2</v>
      </c>
      <c r="J286" s="259">
        <f>IF(Main!A287&lt;1,"",Main!A287)</f>
        <v>196</v>
      </c>
      <c r="K286" s="260">
        <f>IF(Main!AN287&gt;0,Main!AN287,"")</f>
        <v>34489</v>
      </c>
      <c r="L286" s="258" t="str">
        <f>IF(Main!Q287&gt;0,Main!Q287,"")</f>
        <v/>
      </c>
      <c r="M286" s="410">
        <f>VALUE(IF(Main!S287&gt;0,Main!S287,""))</f>
        <v>9168275201</v>
      </c>
      <c r="N286" s="261" t="str">
        <f>Main!T287</f>
        <v/>
      </c>
      <c r="O286" s="258" t="str">
        <f>IF(Main!AO287&gt;0,Main!AO287,"")</f>
        <v/>
      </c>
      <c r="P286" s="258" t="str">
        <f>IF(Main!AP287&gt;0,Main!AP287,"")</f>
        <v/>
      </c>
      <c r="Q286" s="258" t="str">
        <f>IF(Main!AR287&gt;0,Main!AR287,"")</f>
        <v/>
      </c>
      <c r="R286" s="259" t="str">
        <f>IF(Main!AQ287&gt;0,Main!AQ287,"")</f>
        <v/>
      </c>
      <c r="S286" s="259" t="str">
        <f>IF(Main!BD287&gt;0,Main!BD287,"")</f>
        <v>34-4455622-7</v>
      </c>
      <c r="T286" s="259" t="str">
        <f>IF(Main!AX287&gt;0,Main!AX287,"")</f>
        <v>317-384-796</v>
      </c>
      <c r="U286" s="259" t="str">
        <f>IF(Main!BH287&gt;0,Main!BH287,"")</f>
        <v>01-051898483-2</v>
      </c>
      <c r="V286" s="268" t="str">
        <f>IF(Main!BF287&gt;0,Main!BF287,"")</f>
        <v>1211-1959-1325</v>
      </c>
      <c r="W286" s="263">
        <f>IF(Main!BS287&gt;0,Main!BS287,"")</f>
        <v>42137</v>
      </c>
      <c r="X286" s="263">
        <f>IF(Main!BT287&gt;0,Main!BT287,"")</f>
        <v>42137</v>
      </c>
      <c r="Y286" s="263">
        <f>IF(Main!BU287&gt;0,Main!BU287,"")</f>
        <v>42137</v>
      </c>
      <c r="Z286" s="263" t="str">
        <f>IF(Main!AS287&gt;0,Main!AS287,"")</f>
        <v/>
      </c>
      <c r="AA286" s="263" t="str">
        <f>IF(Main!BJ287&gt;0,Main!BJ287,"")</f>
        <v/>
      </c>
      <c r="AB286" s="263">
        <f>IF(Main!BC287&gt;0,Main!BC287,"")</f>
        <v>42139</v>
      </c>
      <c r="AC286" s="263">
        <f>IF(Main!AW287&gt;0,Main!AW287,"")</f>
        <v>42139</v>
      </c>
      <c r="AD286" s="263">
        <f>IF(Main!BG287&gt;0,Main!BG287,"")</f>
        <v>42139</v>
      </c>
      <c r="AE286" s="263">
        <f>IF(Main!BE287&gt;0,Main!BE287,"")</f>
        <v>42139</v>
      </c>
      <c r="AF286" s="263" t="str">
        <f>IF(Main!BM287&gt;0,Main!BM287,"")</f>
        <v/>
      </c>
      <c r="AG286" s="263" t="str">
        <f>IF(Main!BN287&gt;0,Main!BN287,"")</f>
        <v/>
      </c>
      <c r="AH286" s="263" t="str">
        <f>IF(Main!BO287&gt;0,Main!BO287,"")</f>
        <v/>
      </c>
      <c r="AI286" s="263" t="str">
        <f>IF(Main!BR287&gt;0,Main!BR287,"")</f>
        <v/>
      </c>
      <c r="AJ286" s="263" t="str">
        <f>IF(Main!BQ287&gt;0,Main!BQ287,"")</f>
        <v/>
      </c>
      <c r="AK286" s="263" t="str">
        <f>IF(Main!AV287&gt;0,Main!AV287,"")</f>
        <v/>
      </c>
      <c r="AL286" s="263" t="str">
        <f>IF(Main!AU287&gt;0,Main!AU287,"")</f>
        <v/>
      </c>
      <c r="AM286" s="263" t="str">
        <f>IF(Main!AT287&gt;0,Main!AT287,"")</f>
        <v/>
      </c>
      <c r="AN286" s="259" t="str">
        <f>Main!BW287</f>
        <v xml:space="preserve">1905 (for processing) 5/15/2015, 2305 (for processing) 5/15/2015, </v>
      </c>
    </row>
    <row r="287" spans="1:40" x14ac:dyDescent="0.25">
      <c r="A287" s="258">
        <f>Main!C288</f>
        <v>1082504</v>
      </c>
      <c r="B287" s="259" t="str">
        <f>Main!D288</f>
        <v>Pandio, Rene Baldos</v>
      </c>
      <c r="C287" s="259" t="str">
        <f>Main!AH288</f>
        <v>Probationary</v>
      </c>
      <c r="D287" s="260">
        <f>Main!B288</f>
        <v>42135</v>
      </c>
      <c r="E287" s="260" t="str">
        <f>IF(Main!AI288&lt;1,"",Main!AI288)</f>
        <v>ERP - Raymond Bunda</v>
      </c>
      <c r="F287" s="260" t="str">
        <f>IF(Main!AJ288&lt;1,"",Main!AJ288)</f>
        <v>Raymond Bunda</v>
      </c>
      <c r="G287" s="260" t="str">
        <f>IF(Main!AK288&lt;1,"",Main!AK288)</f>
        <v/>
      </c>
      <c r="H287" s="259" t="str">
        <f>Main!Y288</f>
        <v>Senior Recruiter</v>
      </c>
      <c r="I287" s="259" t="str">
        <f>Main!Z288</f>
        <v>Level 2</v>
      </c>
      <c r="J287" s="259">
        <f>IF(Main!A288&lt;1,"",Main!A288)</f>
        <v>196</v>
      </c>
      <c r="K287" s="260">
        <f>IF(Main!AN288&gt;0,Main!AN288,"")</f>
        <v>29962</v>
      </c>
      <c r="L287" s="258" t="str">
        <f>IF(Main!Q288&gt;0,Main!Q288,"")</f>
        <v/>
      </c>
      <c r="M287" s="410">
        <f>VALUE(IF(Main!S288&gt;0,Main!S288,""))</f>
        <v>9276411009</v>
      </c>
      <c r="N287" s="261" t="str">
        <f>Main!T288</f>
        <v/>
      </c>
      <c r="O287" s="258" t="str">
        <f>IF(Main!AO288&gt;0,Main!AO288,"")</f>
        <v/>
      </c>
      <c r="P287" s="258" t="str">
        <f>IF(Main!AP288&gt;0,Main!AP288,"")</f>
        <v/>
      </c>
      <c r="Q287" s="258" t="str">
        <f>IF(Main!AR288&gt;0,Main!AR288,"")</f>
        <v/>
      </c>
      <c r="R287" s="259" t="str">
        <f>IF(Main!AQ288&gt;0,Main!AQ288,"")</f>
        <v/>
      </c>
      <c r="S287" s="259" t="str">
        <f>IF(Main!BD288&gt;0,Main!BD288,"")</f>
        <v>33-7313963-4</v>
      </c>
      <c r="T287" s="259" t="str">
        <f>IF(Main!AX288&gt;0,Main!AX288,"")</f>
        <v>301-075-104</v>
      </c>
      <c r="U287" s="259" t="str">
        <f>IF(Main!BH288&gt;0,Main!BH288,"")</f>
        <v>19-090306840-3</v>
      </c>
      <c r="V287" s="268" t="str">
        <f>IF(Main!BF288&gt;0,Main!BF288,"")</f>
        <v>1090-0174-5541</v>
      </c>
      <c r="W287" s="263">
        <f>IF(Main!BS288&gt;0,Main!BS288,"")</f>
        <v>42137</v>
      </c>
      <c r="X287" s="263">
        <f>IF(Main!BT288&gt;0,Main!BT288,"")</f>
        <v>42137</v>
      </c>
      <c r="Y287" s="263">
        <f>IF(Main!BU288&gt;0,Main!BU288,"")</f>
        <v>42137</v>
      </c>
      <c r="Z287" s="263" t="str">
        <f>IF(Main!AS288&gt;0,Main!AS288,"")</f>
        <v/>
      </c>
      <c r="AA287" s="263" t="str">
        <f>IF(Main!BJ288&gt;0,Main!BJ288,"")</f>
        <v/>
      </c>
      <c r="AB287" s="263">
        <f>IF(Main!BC288&gt;0,Main!BC288,"")</f>
        <v>42139</v>
      </c>
      <c r="AC287" s="263">
        <f>IF(Main!AW288&gt;0,Main!AW288,"")</f>
        <v>42139</v>
      </c>
      <c r="AD287" s="263">
        <f>IF(Main!BG288&gt;0,Main!BG288,"")</f>
        <v>42139</v>
      </c>
      <c r="AE287" s="263">
        <f>IF(Main!BE288&gt;0,Main!BE288,"")</f>
        <v>42139</v>
      </c>
      <c r="AF287" s="263">
        <f>IF(Main!BM288&gt;0,Main!BM288,"")</f>
        <v>42139</v>
      </c>
      <c r="AG287" s="263" t="str">
        <f>IF(Main!BN288&gt;0,Main!BN288,"")</f>
        <v/>
      </c>
      <c r="AH287" s="263" t="str">
        <f>IF(Main!BO288&gt;0,Main!BO288,"")</f>
        <v/>
      </c>
      <c r="AI287" s="263">
        <f>IF(Main!BR288&gt;0,Main!BR288,"")</f>
        <v>42139</v>
      </c>
      <c r="AJ287" s="263" t="str">
        <f>IF(Main!BQ288&gt;0,Main!BQ288,"")</f>
        <v/>
      </c>
      <c r="AK287" s="263" t="str">
        <f>IF(Main!AV288&gt;0,Main!AV288,"")</f>
        <v/>
      </c>
      <c r="AL287" s="263">
        <f>IF(Main!AU288&gt;0,Main!AU288,"")</f>
        <v>42136</v>
      </c>
      <c r="AM287" s="263">
        <f>IF(Main!AT288&gt;0,Main!AT288,"")</f>
        <v>42136</v>
      </c>
      <c r="AN287" s="259" t="str">
        <f>Main!BW288</f>
        <v xml:space="preserve">1905 (for processing) 5/15/2015, 2305 (for processing) 5/12/2015, </v>
      </c>
    </row>
    <row r="288" spans="1:40" x14ac:dyDescent="0.25">
      <c r="A288" s="258">
        <f>Main!C289</f>
        <v>1082505</v>
      </c>
      <c r="B288" s="259" t="str">
        <f>Main!D289</f>
        <v>Mariano, Trixia Louise</v>
      </c>
      <c r="C288" s="259" t="str">
        <f>Main!AH289</f>
        <v>Probationary</v>
      </c>
      <c r="D288" s="260">
        <f>Main!B289</f>
        <v>42135</v>
      </c>
      <c r="E288" s="260" t="str">
        <f>IF(Main!AI289&lt;1,"",Main!AI289)</f>
        <v>Jobstreet</v>
      </c>
      <c r="F288" s="260" t="str">
        <f>IF(Main!AJ289&lt;1,"",Main!AJ289)</f>
        <v/>
      </c>
      <c r="G288" s="260" t="str">
        <f>IF(Main!AK289&lt;1,"",Main!AK289)</f>
        <v/>
      </c>
      <c r="H288" s="259" t="str">
        <f>Main!Y289</f>
        <v>Senior Recruiter</v>
      </c>
      <c r="I288" s="259" t="str">
        <f>Main!Z289</f>
        <v>Level  1</v>
      </c>
      <c r="J288" s="259">
        <f>IF(Main!A289&lt;1,"",Main!A289)</f>
        <v>196</v>
      </c>
      <c r="K288" s="260" t="str">
        <f>IF(Main!AN289&gt;0,Main!AN289,"")</f>
        <v> 8/29/1993</v>
      </c>
      <c r="L288" s="258" t="str">
        <f>IF(Main!Q289&gt;0,Main!Q289,"")</f>
        <v/>
      </c>
      <c r="M288" s="410">
        <f>VALUE(IF(Main!S289&gt;0,Main!S289,""))</f>
        <v>9063166439</v>
      </c>
      <c r="N288" s="261" t="str">
        <f>Main!T289</f>
        <v/>
      </c>
      <c r="O288" s="258" t="str">
        <f>IF(Main!AO289&gt;0,Main!AO289,"")</f>
        <v/>
      </c>
      <c r="P288" s="258" t="str">
        <f>IF(Main!AP289&gt;0,Main!AP289,"")</f>
        <v/>
      </c>
      <c r="Q288" s="258" t="str">
        <f>IF(Main!AR289&gt;0,Main!AR289,"")</f>
        <v/>
      </c>
      <c r="R288" s="259" t="str">
        <f>IF(Main!AQ289&gt;0,Main!AQ289,"")</f>
        <v/>
      </c>
      <c r="S288" s="259" t="str">
        <f>IF(Main!BD289&gt;0,Main!BD289,"")</f>
        <v/>
      </c>
      <c r="T288" s="259" t="str">
        <f>IF(Main!AX289&gt;0,Main!AX289,"")</f>
        <v/>
      </c>
      <c r="U288" s="259" t="str">
        <f>IF(Main!BH289&gt;0,Main!BH289,"")</f>
        <v/>
      </c>
      <c r="V288" s="268" t="str">
        <f>IF(Main!BF289&gt;0,Main!BF289,"")</f>
        <v/>
      </c>
      <c r="W288" s="263">
        <f>IF(Main!BS289&gt;0,Main!BS289,"")</f>
        <v>42137</v>
      </c>
      <c r="X288" s="263">
        <f>IF(Main!BT289&gt;0,Main!BT289,"")</f>
        <v>42137</v>
      </c>
      <c r="Y288" s="263">
        <f>IF(Main!BU289&gt;0,Main!BU289,"")</f>
        <v>42137</v>
      </c>
      <c r="Z288" s="263" t="str">
        <f>IF(Main!AS289&gt;0,Main!AS289,"")</f>
        <v/>
      </c>
      <c r="AA288" s="263" t="str">
        <f>IF(Main!BJ289&gt;0,Main!BJ289,"")</f>
        <v/>
      </c>
      <c r="AB288" s="263" t="str">
        <f>IF(Main!BC289&gt;0,Main!BC289,"")</f>
        <v/>
      </c>
      <c r="AC288" s="263" t="str">
        <f>IF(Main!AW289&gt;0,Main!AW289,"")</f>
        <v/>
      </c>
      <c r="AD288" s="263" t="str">
        <f>IF(Main!BG289&gt;0,Main!BG289,"")</f>
        <v/>
      </c>
      <c r="AE288" s="263" t="str">
        <f>IF(Main!BE289&gt;0,Main!BE289,"")</f>
        <v/>
      </c>
      <c r="AF288" s="263" t="str">
        <f>IF(Main!BM289&gt;0,Main!BM289,"")</f>
        <v/>
      </c>
      <c r="AG288" s="263" t="str">
        <f>IF(Main!BN289&gt;0,Main!BN289,"")</f>
        <v/>
      </c>
      <c r="AH288" s="263" t="str">
        <f>IF(Main!BO289&gt;0,Main!BO289,"")</f>
        <v/>
      </c>
      <c r="AI288" s="263" t="str">
        <f>IF(Main!BR289&gt;0,Main!BR289,"")</f>
        <v/>
      </c>
      <c r="AJ288" s="263" t="str">
        <f>IF(Main!BQ289&gt;0,Main!BQ289,"")</f>
        <v/>
      </c>
      <c r="AK288" s="263" t="str">
        <f>IF(Main!AV289&gt;0,Main!AV289,"")</f>
        <v/>
      </c>
      <c r="AL288" s="263">
        <f>IF(Main!AU289&gt;0,Main!AU289,"")</f>
        <v>42136</v>
      </c>
      <c r="AM288" s="263">
        <f>IF(Main!AT289&gt;0,Main!AT289,"")</f>
        <v>42136</v>
      </c>
      <c r="AN288" s="259" t="str">
        <f>Main!BW289</f>
        <v/>
      </c>
    </row>
    <row r="289" spans="1:40" x14ac:dyDescent="0.25">
      <c r="A289" s="258"/>
      <c r="B289" s="259"/>
      <c r="C289" s="259"/>
      <c r="D289" s="260"/>
      <c r="E289" s="260"/>
      <c r="F289" s="260"/>
      <c r="G289" s="260"/>
      <c r="H289" s="259"/>
      <c r="I289" s="259"/>
      <c r="J289" s="259"/>
      <c r="K289" s="260"/>
      <c r="L289" s="258"/>
      <c r="M289" s="410"/>
      <c r="N289" s="261"/>
      <c r="O289" s="258"/>
      <c r="P289" s="258"/>
      <c r="Q289" s="258"/>
      <c r="R289" s="259"/>
      <c r="S289" s="259"/>
      <c r="T289" s="259"/>
      <c r="U289" s="259"/>
      <c r="V289" s="268"/>
      <c r="W289" s="263"/>
      <c r="X289" s="263"/>
      <c r="Y289" s="263"/>
      <c r="Z289" s="263"/>
      <c r="AA289" s="263"/>
      <c r="AB289" s="263"/>
      <c r="AC289" s="263"/>
      <c r="AD289" s="263"/>
      <c r="AE289" s="263"/>
      <c r="AF289" s="263"/>
      <c r="AG289" s="263"/>
      <c r="AH289" s="263"/>
      <c r="AI289" s="263"/>
      <c r="AJ289" s="263"/>
      <c r="AK289" s="263"/>
      <c r="AL289" s="263"/>
      <c r="AM289" s="263"/>
      <c r="AN289" s="259"/>
    </row>
    <row r="290" spans="1:40" x14ac:dyDescent="0.25">
      <c r="A290" s="258"/>
      <c r="B290" s="259"/>
      <c r="C290" s="259"/>
      <c r="D290" s="260"/>
      <c r="E290" s="260"/>
      <c r="F290" s="260"/>
      <c r="G290" s="260"/>
      <c r="H290" s="259"/>
      <c r="I290" s="259"/>
      <c r="J290" s="259"/>
      <c r="K290" s="260"/>
      <c r="L290" s="258"/>
      <c r="M290" s="410"/>
      <c r="N290" s="261"/>
      <c r="O290" s="258"/>
      <c r="P290" s="258"/>
      <c r="Q290" s="258"/>
      <c r="R290" s="259"/>
      <c r="S290" s="259"/>
      <c r="T290" s="259"/>
      <c r="U290" s="259"/>
      <c r="V290" s="268"/>
      <c r="W290" s="263"/>
      <c r="X290" s="263"/>
      <c r="Y290" s="263"/>
      <c r="Z290" s="263"/>
      <c r="AA290" s="263"/>
      <c r="AB290" s="263"/>
      <c r="AC290" s="263"/>
      <c r="AD290" s="263"/>
      <c r="AE290" s="263"/>
      <c r="AF290" s="263"/>
      <c r="AG290" s="263"/>
      <c r="AH290" s="263"/>
      <c r="AI290" s="263"/>
      <c r="AJ290" s="263"/>
      <c r="AK290" s="263"/>
      <c r="AL290" s="263"/>
      <c r="AM290" s="263"/>
      <c r="AN290" s="259"/>
    </row>
    <row r="291" spans="1:40" x14ac:dyDescent="0.25">
      <c r="A291" s="258"/>
      <c r="B291" s="259"/>
      <c r="C291" s="259"/>
      <c r="D291" s="260"/>
      <c r="E291" s="260"/>
      <c r="F291" s="260"/>
      <c r="G291" s="260"/>
      <c r="H291" s="259"/>
      <c r="I291" s="259"/>
      <c r="J291" s="259"/>
      <c r="K291" s="260"/>
      <c r="L291" s="258"/>
      <c r="M291" s="410"/>
      <c r="N291" s="261"/>
      <c r="O291" s="258"/>
      <c r="P291" s="258"/>
      <c r="Q291" s="258"/>
      <c r="R291" s="259"/>
      <c r="S291" s="259"/>
      <c r="T291" s="259"/>
      <c r="U291" s="259"/>
      <c r="V291" s="268"/>
      <c r="W291" s="263"/>
      <c r="X291" s="263"/>
      <c r="Y291" s="263"/>
      <c r="Z291" s="263"/>
      <c r="AA291" s="263"/>
      <c r="AB291" s="263"/>
      <c r="AC291" s="263"/>
      <c r="AD291" s="263"/>
      <c r="AE291" s="263"/>
      <c r="AF291" s="263"/>
      <c r="AG291" s="263"/>
      <c r="AH291" s="263"/>
      <c r="AI291" s="263"/>
      <c r="AJ291" s="263"/>
      <c r="AK291" s="263"/>
      <c r="AL291" s="263"/>
      <c r="AM291" s="263"/>
      <c r="AN291" s="259"/>
    </row>
    <row r="292" spans="1:40" x14ac:dyDescent="0.25">
      <c r="A292" s="258"/>
      <c r="B292" s="259"/>
      <c r="C292" s="259"/>
      <c r="D292" s="260"/>
      <c r="E292" s="260"/>
      <c r="F292" s="260"/>
      <c r="G292" s="260"/>
      <c r="H292" s="259"/>
      <c r="I292" s="259"/>
      <c r="J292" s="259"/>
      <c r="K292" s="260"/>
      <c r="L292" s="258"/>
      <c r="M292" s="410"/>
      <c r="N292" s="261"/>
      <c r="O292" s="258"/>
      <c r="P292" s="258"/>
      <c r="Q292" s="258"/>
      <c r="R292" s="259"/>
      <c r="S292" s="259"/>
      <c r="T292" s="259"/>
      <c r="U292" s="259"/>
      <c r="V292" s="268"/>
      <c r="W292" s="263"/>
      <c r="X292" s="263"/>
      <c r="Y292" s="263"/>
      <c r="Z292" s="263"/>
      <c r="AA292" s="263"/>
      <c r="AB292" s="263"/>
      <c r="AC292" s="263"/>
      <c r="AD292" s="263"/>
      <c r="AE292" s="263"/>
      <c r="AF292" s="263"/>
      <c r="AG292" s="263"/>
      <c r="AH292" s="263"/>
      <c r="AI292" s="263"/>
      <c r="AJ292" s="263"/>
      <c r="AK292" s="263"/>
      <c r="AL292" s="263"/>
      <c r="AM292" s="263"/>
      <c r="AN292" s="259"/>
    </row>
    <row r="293" spans="1:40" x14ac:dyDescent="0.25">
      <c r="A293" s="258"/>
      <c r="B293" s="259"/>
      <c r="C293" s="259"/>
      <c r="D293" s="260"/>
      <c r="E293" s="260"/>
      <c r="F293" s="260"/>
      <c r="G293" s="260"/>
      <c r="H293" s="259"/>
      <c r="I293" s="259"/>
      <c r="J293" s="259"/>
      <c r="K293" s="260"/>
      <c r="L293" s="258"/>
      <c r="M293" s="410"/>
      <c r="N293" s="261"/>
      <c r="O293" s="258"/>
      <c r="P293" s="258"/>
      <c r="Q293" s="258"/>
      <c r="R293" s="259"/>
      <c r="S293" s="259"/>
      <c r="T293" s="259"/>
      <c r="U293" s="259"/>
      <c r="V293" s="268"/>
      <c r="W293" s="263"/>
      <c r="X293" s="263"/>
      <c r="Y293" s="263"/>
      <c r="Z293" s="263"/>
      <c r="AA293" s="263"/>
      <c r="AB293" s="263"/>
      <c r="AC293" s="263"/>
      <c r="AD293" s="263"/>
      <c r="AE293" s="263"/>
      <c r="AF293" s="263"/>
      <c r="AG293" s="263"/>
      <c r="AH293" s="263"/>
      <c r="AI293" s="263"/>
      <c r="AJ293" s="263"/>
      <c r="AK293" s="263"/>
      <c r="AL293" s="263"/>
      <c r="AM293" s="263"/>
      <c r="AN293" s="259"/>
    </row>
    <row r="294" spans="1:40" x14ac:dyDescent="0.25">
      <c r="A294" s="258"/>
      <c r="B294" s="259"/>
      <c r="C294" s="259"/>
      <c r="D294" s="260"/>
      <c r="E294" s="260"/>
      <c r="F294" s="260"/>
      <c r="G294" s="260"/>
      <c r="H294" s="259"/>
      <c r="I294" s="259"/>
      <c r="J294" s="259"/>
      <c r="K294" s="260"/>
      <c r="L294" s="258"/>
      <c r="M294" s="410"/>
      <c r="N294" s="261"/>
      <c r="O294" s="258"/>
      <c r="P294" s="258"/>
      <c r="Q294" s="258"/>
      <c r="R294" s="259"/>
      <c r="S294" s="259"/>
      <c r="T294" s="259"/>
      <c r="U294" s="259"/>
      <c r="V294" s="268"/>
      <c r="W294" s="263"/>
      <c r="X294" s="263"/>
      <c r="Y294" s="263"/>
      <c r="Z294" s="263"/>
      <c r="AA294" s="263"/>
      <c r="AB294" s="263"/>
      <c r="AC294" s="263"/>
      <c r="AD294" s="263"/>
      <c r="AE294" s="263"/>
      <c r="AF294" s="263"/>
      <c r="AG294" s="263"/>
      <c r="AH294" s="263"/>
      <c r="AI294" s="263"/>
      <c r="AJ294" s="263"/>
      <c r="AK294" s="263"/>
      <c r="AL294" s="263"/>
      <c r="AM294" s="263"/>
      <c r="AN294" s="259"/>
    </row>
    <row r="295" spans="1:40" x14ac:dyDescent="0.25">
      <c r="A295" s="258"/>
      <c r="B295" s="259"/>
      <c r="C295" s="259"/>
      <c r="D295" s="260"/>
      <c r="E295" s="260"/>
      <c r="F295" s="260"/>
      <c r="G295" s="260"/>
      <c r="H295" s="259"/>
      <c r="I295" s="259"/>
      <c r="J295" s="259"/>
      <c r="K295" s="260"/>
      <c r="L295" s="258"/>
      <c r="M295" s="410"/>
      <c r="N295" s="261"/>
      <c r="O295" s="258"/>
      <c r="P295" s="258"/>
      <c r="Q295" s="258"/>
      <c r="R295" s="259"/>
      <c r="S295" s="259"/>
      <c r="T295" s="259"/>
      <c r="U295" s="259"/>
      <c r="V295" s="268"/>
      <c r="W295" s="263"/>
      <c r="X295" s="263"/>
      <c r="Y295" s="263"/>
      <c r="Z295" s="263"/>
      <c r="AA295" s="263"/>
      <c r="AB295" s="263"/>
      <c r="AC295" s="263"/>
      <c r="AD295" s="263"/>
      <c r="AE295" s="263"/>
      <c r="AF295" s="263"/>
      <c r="AG295" s="263"/>
      <c r="AH295" s="263"/>
      <c r="AI295" s="263"/>
      <c r="AJ295" s="263"/>
      <c r="AK295" s="263"/>
      <c r="AL295" s="263"/>
      <c r="AM295" s="263"/>
      <c r="AN295" s="259"/>
    </row>
    <row r="296" spans="1:40" x14ac:dyDescent="0.25">
      <c r="A296" s="258"/>
      <c r="B296" s="259"/>
      <c r="C296" s="259"/>
      <c r="D296" s="260"/>
      <c r="E296" s="260"/>
      <c r="F296" s="260"/>
      <c r="G296" s="260"/>
      <c r="H296" s="259"/>
      <c r="I296" s="259"/>
      <c r="J296" s="259"/>
      <c r="K296" s="260"/>
      <c r="L296" s="258"/>
      <c r="M296" s="410"/>
      <c r="N296" s="261"/>
      <c r="O296" s="258"/>
      <c r="P296" s="258"/>
      <c r="Q296" s="258"/>
      <c r="R296" s="259"/>
      <c r="S296" s="259"/>
      <c r="T296" s="259"/>
      <c r="U296" s="259"/>
      <c r="V296" s="268"/>
      <c r="W296" s="263"/>
      <c r="X296" s="263"/>
      <c r="Y296" s="263"/>
      <c r="Z296" s="263"/>
      <c r="AA296" s="263"/>
      <c r="AB296" s="263"/>
      <c r="AC296" s="263"/>
      <c r="AD296" s="263"/>
      <c r="AE296" s="263"/>
      <c r="AF296" s="263"/>
      <c r="AG296" s="263"/>
      <c r="AH296" s="263"/>
      <c r="AI296" s="263"/>
      <c r="AJ296" s="263"/>
      <c r="AK296" s="263"/>
      <c r="AL296" s="263"/>
      <c r="AM296" s="263"/>
      <c r="AN296" s="259"/>
    </row>
    <row r="297" spans="1:40" x14ac:dyDescent="0.25">
      <c r="A297" s="258"/>
      <c r="B297" s="259"/>
      <c r="C297" s="259"/>
      <c r="D297" s="260"/>
      <c r="E297" s="260"/>
      <c r="F297" s="260"/>
      <c r="G297" s="260"/>
      <c r="H297" s="259"/>
      <c r="I297" s="259"/>
      <c r="J297" s="259"/>
      <c r="K297" s="260"/>
      <c r="L297" s="258"/>
      <c r="M297" s="410"/>
      <c r="N297" s="261"/>
      <c r="O297" s="258"/>
      <c r="P297" s="258"/>
      <c r="Q297" s="258"/>
      <c r="R297" s="259"/>
      <c r="S297" s="259"/>
      <c r="T297" s="259"/>
      <c r="U297" s="259"/>
      <c r="V297" s="268"/>
      <c r="W297" s="263"/>
      <c r="X297" s="263"/>
      <c r="Y297" s="263"/>
      <c r="Z297" s="263"/>
      <c r="AA297" s="263"/>
      <c r="AB297" s="263"/>
      <c r="AC297" s="263"/>
      <c r="AD297" s="263"/>
      <c r="AE297" s="263"/>
      <c r="AF297" s="263"/>
      <c r="AG297" s="263"/>
      <c r="AH297" s="263"/>
      <c r="AI297" s="263"/>
      <c r="AJ297" s="263"/>
      <c r="AK297" s="263"/>
      <c r="AL297" s="263"/>
      <c r="AM297" s="263"/>
      <c r="AN297" s="259"/>
    </row>
    <row r="298" spans="1:40" x14ac:dyDescent="0.25">
      <c r="A298" s="258"/>
      <c r="B298" s="259"/>
      <c r="C298" s="259"/>
      <c r="D298" s="260"/>
      <c r="E298" s="260"/>
      <c r="F298" s="260"/>
      <c r="G298" s="260"/>
      <c r="H298" s="259"/>
      <c r="I298" s="259"/>
      <c r="J298" s="259"/>
      <c r="K298" s="260"/>
      <c r="L298" s="258"/>
      <c r="M298" s="410"/>
      <c r="N298" s="261"/>
      <c r="O298" s="258"/>
      <c r="P298" s="258"/>
      <c r="Q298" s="258"/>
      <c r="R298" s="259"/>
      <c r="S298" s="259"/>
      <c r="T298" s="259"/>
      <c r="U298" s="259"/>
      <c r="V298" s="268"/>
      <c r="W298" s="263"/>
      <c r="X298" s="263"/>
      <c r="Y298" s="263"/>
      <c r="Z298" s="263"/>
      <c r="AA298" s="263"/>
      <c r="AB298" s="263"/>
      <c r="AC298" s="263"/>
      <c r="AD298" s="263"/>
      <c r="AE298" s="263"/>
      <c r="AF298" s="263"/>
      <c r="AG298" s="263"/>
      <c r="AH298" s="263"/>
      <c r="AI298" s="263"/>
      <c r="AJ298" s="263"/>
      <c r="AK298" s="263"/>
      <c r="AL298" s="263"/>
      <c r="AM298" s="263"/>
      <c r="AN298" s="259"/>
    </row>
    <row r="299" spans="1:40" x14ac:dyDescent="0.25">
      <c r="A299" s="258"/>
      <c r="B299" s="259"/>
      <c r="C299" s="259"/>
      <c r="D299" s="260"/>
      <c r="E299" s="260"/>
      <c r="F299" s="260"/>
      <c r="G299" s="260"/>
      <c r="H299" s="259"/>
      <c r="I299" s="259"/>
      <c r="J299" s="259"/>
      <c r="K299" s="260"/>
      <c r="L299" s="258"/>
      <c r="M299" s="410"/>
      <c r="N299" s="261"/>
      <c r="O299" s="258"/>
      <c r="P299" s="258"/>
      <c r="Q299" s="258"/>
      <c r="R299" s="259"/>
      <c r="S299" s="259"/>
      <c r="T299" s="259"/>
      <c r="U299" s="259"/>
      <c r="V299" s="268"/>
      <c r="W299" s="263"/>
      <c r="X299" s="263"/>
      <c r="Y299" s="263"/>
      <c r="Z299" s="263"/>
      <c r="AA299" s="263"/>
      <c r="AB299" s="263"/>
      <c r="AC299" s="263"/>
      <c r="AD299" s="263"/>
      <c r="AE299" s="263"/>
      <c r="AF299" s="263"/>
      <c r="AG299" s="263"/>
      <c r="AH299" s="263"/>
      <c r="AI299" s="263"/>
      <c r="AJ299" s="263"/>
      <c r="AK299" s="263"/>
      <c r="AL299" s="263"/>
      <c r="AM299" s="263"/>
      <c r="AN299" s="259"/>
    </row>
    <row r="300" spans="1:40" x14ac:dyDescent="0.25">
      <c r="A300" s="258"/>
      <c r="B300" s="259"/>
      <c r="C300" s="259"/>
      <c r="D300" s="260"/>
      <c r="E300" s="260"/>
      <c r="F300" s="260"/>
      <c r="G300" s="260"/>
      <c r="H300" s="259"/>
      <c r="I300" s="259"/>
      <c r="J300" s="259"/>
      <c r="K300" s="260"/>
      <c r="L300" s="258"/>
      <c r="M300" s="410"/>
      <c r="N300" s="261"/>
      <c r="O300" s="258"/>
      <c r="P300" s="258"/>
      <c r="Q300" s="258"/>
      <c r="R300" s="259"/>
      <c r="S300" s="259"/>
      <c r="T300" s="259"/>
      <c r="U300" s="259"/>
      <c r="V300" s="268"/>
      <c r="W300" s="263"/>
      <c r="X300" s="263"/>
      <c r="Y300" s="263"/>
      <c r="Z300" s="263"/>
      <c r="AA300" s="263"/>
      <c r="AB300" s="263"/>
      <c r="AC300" s="263"/>
      <c r="AD300" s="263"/>
      <c r="AE300" s="263"/>
      <c r="AF300" s="263"/>
      <c r="AG300" s="263"/>
      <c r="AH300" s="263"/>
      <c r="AI300" s="263"/>
      <c r="AJ300" s="263"/>
      <c r="AK300" s="263"/>
      <c r="AL300" s="263"/>
      <c r="AM300" s="263"/>
      <c r="AN300" s="259"/>
    </row>
    <row r="301" spans="1:40" x14ac:dyDescent="0.25">
      <c r="A301" s="258"/>
      <c r="B301" s="259"/>
      <c r="C301" s="259"/>
      <c r="D301" s="260"/>
      <c r="E301" s="260"/>
      <c r="F301" s="260"/>
      <c r="G301" s="260"/>
      <c r="H301" s="259"/>
      <c r="I301" s="259"/>
      <c r="J301" s="259"/>
      <c r="K301" s="260"/>
      <c r="L301" s="258"/>
      <c r="M301" s="410"/>
      <c r="N301" s="261"/>
      <c r="O301" s="258"/>
      <c r="P301" s="258"/>
      <c r="Q301" s="258"/>
      <c r="R301" s="259"/>
      <c r="S301" s="259"/>
      <c r="T301" s="259"/>
      <c r="U301" s="259"/>
      <c r="V301" s="268"/>
      <c r="W301" s="263"/>
      <c r="X301" s="263"/>
      <c r="Y301" s="263"/>
      <c r="Z301" s="263"/>
      <c r="AA301" s="263"/>
      <c r="AB301" s="263"/>
      <c r="AC301" s="263"/>
      <c r="AD301" s="263"/>
      <c r="AE301" s="263"/>
      <c r="AF301" s="263"/>
      <c r="AG301" s="263"/>
      <c r="AH301" s="263"/>
      <c r="AI301" s="263"/>
      <c r="AJ301" s="263"/>
      <c r="AK301" s="263"/>
      <c r="AL301" s="263"/>
      <c r="AM301" s="263"/>
      <c r="AN301" s="259"/>
    </row>
    <row r="302" spans="1:40" x14ac:dyDescent="0.25">
      <c r="A302" s="258"/>
      <c r="B302" s="259"/>
      <c r="C302" s="259"/>
      <c r="D302" s="260"/>
      <c r="E302" s="260"/>
      <c r="F302" s="260"/>
      <c r="G302" s="260"/>
      <c r="H302" s="259"/>
      <c r="I302" s="259"/>
      <c r="J302" s="259"/>
      <c r="K302" s="260"/>
      <c r="L302" s="258"/>
      <c r="M302" s="410"/>
      <c r="N302" s="261"/>
      <c r="O302" s="258"/>
      <c r="P302" s="258"/>
      <c r="Q302" s="258"/>
      <c r="R302" s="259"/>
      <c r="S302" s="259"/>
      <c r="T302" s="259"/>
      <c r="U302" s="259"/>
      <c r="V302" s="268"/>
      <c r="W302" s="263"/>
      <c r="X302" s="263"/>
      <c r="Y302" s="263"/>
      <c r="Z302" s="263"/>
      <c r="AA302" s="263"/>
      <c r="AB302" s="263"/>
      <c r="AC302" s="263"/>
      <c r="AD302" s="263"/>
      <c r="AE302" s="263"/>
      <c r="AF302" s="263"/>
      <c r="AG302" s="263"/>
      <c r="AH302" s="263"/>
      <c r="AI302" s="263"/>
      <c r="AJ302" s="263"/>
      <c r="AK302" s="263"/>
      <c r="AL302" s="263"/>
      <c r="AM302" s="263"/>
      <c r="AN302" s="259"/>
    </row>
    <row r="303" spans="1:40" x14ac:dyDescent="0.25">
      <c r="A303" s="258"/>
      <c r="B303" s="259"/>
      <c r="C303" s="259"/>
      <c r="D303" s="260"/>
      <c r="E303" s="260"/>
      <c r="F303" s="260"/>
      <c r="G303" s="260"/>
      <c r="H303" s="259"/>
      <c r="I303" s="259"/>
      <c r="J303" s="259"/>
      <c r="K303" s="260"/>
      <c r="L303" s="258"/>
      <c r="M303" s="410"/>
      <c r="N303" s="261"/>
      <c r="O303" s="258"/>
      <c r="P303" s="258"/>
      <c r="Q303" s="258"/>
      <c r="R303" s="259"/>
      <c r="S303" s="259"/>
      <c r="T303" s="259"/>
      <c r="U303" s="259"/>
      <c r="V303" s="268"/>
      <c r="W303" s="263"/>
      <c r="X303" s="263"/>
      <c r="Y303" s="263"/>
      <c r="Z303" s="263"/>
      <c r="AA303" s="263"/>
      <c r="AB303" s="263"/>
      <c r="AC303" s="263"/>
      <c r="AD303" s="263"/>
      <c r="AE303" s="263"/>
      <c r="AF303" s="263"/>
      <c r="AG303" s="263"/>
      <c r="AH303" s="263"/>
      <c r="AI303" s="263"/>
      <c r="AJ303" s="263"/>
      <c r="AK303" s="263"/>
      <c r="AL303" s="263"/>
      <c r="AM303" s="263"/>
      <c r="AN303" s="259"/>
    </row>
    <row r="304" spans="1:40" x14ac:dyDescent="0.25">
      <c r="A304" s="258"/>
      <c r="B304" s="259"/>
      <c r="C304" s="259"/>
      <c r="D304" s="260"/>
      <c r="E304" s="260"/>
      <c r="F304" s="260"/>
      <c r="G304" s="260"/>
      <c r="H304" s="259"/>
      <c r="I304" s="259"/>
      <c r="J304" s="259"/>
      <c r="K304" s="260"/>
      <c r="L304" s="258"/>
      <c r="M304" s="410"/>
      <c r="N304" s="261"/>
      <c r="O304" s="258"/>
      <c r="P304" s="258"/>
      <c r="Q304" s="258"/>
      <c r="R304" s="259"/>
      <c r="S304" s="259"/>
      <c r="T304" s="259"/>
      <c r="U304" s="259"/>
      <c r="V304" s="268"/>
      <c r="W304" s="263"/>
      <c r="X304" s="263"/>
      <c r="Y304" s="263"/>
      <c r="Z304" s="263"/>
      <c r="AA304" s="263"/>
      <c r="AB304" s="263"/>
      <c r="AC304" s="263"/>
      <c r="AD304" s="263"/>
      <c r="AE304" s="263"/>
      <c r="AF304" s="263"/>
      <c r="AG304" s="263"/>
      <c r="AH304" s="263"/>
      <c r="AI304" s="263"/>
      <c r="AJ304" s="263"/>
      <c r="AK304" s="263"/>
      <c r="AL304" s="263"/>
      <c r="AM304" s="263"/>
      <c r="AN304" s="259"/>
    </row>
    <row r="305" spans="1:40" x14ac:dyDescent="0.25">
      <c r="A305" s="258"/>
      <c r="B305" s="259"/>
      <c r="C305" s="259"/>
      <c r="D305" s="260"/>
      <c r="E305" s="260"/>
      <c r="F305" s="260"/>
      <c r="G305" s="260"/>
      <c r="H305" s="259"/>
      <c r="I305" s="259"/>
      <c r="J305" s="259"/>
      <c r="K305" s="260"/>
      <c r="L305" s="258"/>
      <c r="M305" s="410"/>
      <c r="N305" s="261"/>
      <c r="O305" s="258"/>
      <c r="P305" s="258"/>
      <c r="Q305" s="258"/>
      <c r="R305" s="259"/>
      <c r="S305" s="259"/>
      <c r="T305" s="259"/>
      <c r="U305" s="259"/>
      <c r="V305" s="268"/>
      <c r="W305" s="263"/>
      <c r="X305" s="263"/>
      <c r="Y305" s="263"/>
      <c r="Z305" s="263"/>
      <c r="AA305" s="263"/>
      <c r="AB305" s="263"/>
      <c r="AC305" s="263"/>
      <c r="AD305" s="263"/>
      <c r="AE305" s="263"/>
      <c r="AF305" s="263"/>
      <c r="AG305" s="263"/>
      <c r="AH305" s="263"/>
      <c r="AI305" s="263"/>
      <c r="AJ305" s="263"/>
      <c r="AK305" s="263"/>
      <c r="AL305" s="263"/>
      <c r="AM305" s="263"/>
      <c r="AN305" s="259"/>
    </row>
    <row r="306" spans="1:40" x14ac:dyDescent="0.25">
      <c r="A306" s="258"/>
      <c r="B306" s="259"/>
      <c r="C306" s="259"/>
      <c r="D306" s="260"/>
      <c r="E306" s="260"/>
      <c r="F306" s="260"/>
      <c r="G306" s="260"/>
      <c r="H306" s="259"/>
      <c r="I306" s="259"/>
      <c r="J306" s="259"/>
      <c r="K306" s="260"/>
      <c r="L306" s="258"/>
      <c r="M306" s="410"/>
      <c r="N306" s="261"/>
      <c r="O306" s="258"/>
      <c r="P306" s="258"/>
      <c r="Q306" s="258"/>
      <c r="R306" s="259"/>
      <c r="S306" s="259"/>
      <c r="T306" s="259"/>
      <c r="U306" s="259"/>
      <c r="V306" s="268"/>
      <c r="W306" s="263"/>
      <c r="X306" s="263"/>
      <c r="Y306" s="263"/>
      <c r="Z306" s="263"/>
      <c r="AA306" s="263"/>
      <c r="AB306" s="263"/>
      <c r="AC306" s="263"/>
      <c r="AD306" s="263"/>
      <c r="AE306" s="263"/>
      <c r="AF306" s="263"/>
      <c r="AG306" s="263"/>
      <c r="AH306" s="263"/>
      <c r="AI306" s="263"/>
      <c r="AJ306" s="263"/>
      <c r="AK306" s="263"/>
      <c r="AL306" s="263"/>
      <c r="AM306" s="263"/>
      <c r="AN306" s="259"/>
    </row>
    <row r="307" spans="1:40" x14ac:dyDescent="0.25">
      <c r="A307" s="258"/>
      <c r="B307" s="259"/>
      <c r="C307" s="259"/>
      <c r="D307" s="260"/>
      <c r="E307" s="260"/>
      <c r="F307" s="260"/>
      <c r="G307" s="260"/>
      <c r="H307" s="259"/>
      <c r="I307" s="259"/>
      <c r="J307" s="259"/>
      <c r="K307" s="260"/>
      <c r="L307" s="258"/>
      <c r="M307" s="410"/>
      <c r="N307" s="261"/>
      <c r="O307" s="258"/>
      <c r="P307" s="258"/>
      <c r="Q307" s="258"/>
      <c r="R307" s="259"/>
      <c r="S307" s="259"/>
      <c r="T307" s="259"/>
      <c r="U307" s="259"/>
      <c r="V307" s="268"/>
      <c r="W307" s="263"/>
      <c r="X307" s="263"/>
      <c r="Y307" s="263"/>
      <c r="Z307" s="263"/>
      <c r="AA307" s="263"/>
      <c r="AB307" s="263"/>
      <c r="AC307" s="263"/>
      <c r="AD307" s="263"/>
      <c r="AE307" s="263"/>
      <c r="AF307" s="263"/>
      <c r="AG307" s="263"/>
      <c r="AH307" s="263"/>
      <c r="AI307" s="263"/>
      <c r="AJ307" s="263"/>
      <c r="AK307" s="263"/>
      <c r="AL307" s="263"/>
      <c r="AM307" s="263"/>
      <c r="AN307" s="259"/>
    </row>
    <row r="308" spans="1:40" x14ac:dyDescent="0.25">
      <c r="A308" s="258"/>
      <c r="B308" s="259"/>
      <c r="C308" s="259"/>
      <c r="D308" s="260"/>
      <c r="E308" s="260"/>
      <c r="F308" s="260"/>
      <c r="G308" s="260"/>
      <c r="H308" s="259"/>
      <c r="I308" s="259"/>
      <c r="J308" s="259"/>
      <c r="K308" s="260"/>
      <c r="L308" s="258"/>
      <c r="M308" s="410"/>
      <c r="N308" s="261"/>
      <c r="O308" s="258"/>
      <c r="P308" s="258"/>
      <c r="Q308" s="258"/>
      <c r="R308" s="259"/>
      <c r="S308" s="259"/>
      <c r="T308" s="259"/>
      <c r="U308" s="259"/>
      <c r="V308" s="268"/>
      <c r="W308" s="263"/>
      <c r="X308" s="263"/>
      <c r="Y308" s="263"/>
      <c r="Z308" s="263"/>
      <c r="AA308" s="263"/>
      <c r="AB308" s="263"/>
      <c r="AC308" s="263"/>
      <c r="AD308" s="263"/>
      <c r="AE308" s="263"/>
      <c r="AF308" s="263"/>
      <c r="AG308" s="263"/>
      <c r="AH308" s="263"/>
      <c r="AI308" s="263"/>
      <c r="AJ308" s="263"/>
      <c r="AK308" s="263"/>
      <c r="AL308" s="263"/>
      <c r="AM308" s="263"/>
      <c r="AN308" s="259"/>
    </row>
    <row r="309" spans="1:40" x14ac:dyDescent="0.25">
      <c r="A309" s="258"/>
      <c r="B309" s="259"/>
      <c r="C309" s="259"/>
      <c r="D309" s="260"/>
      <c r="E309" s="260"/>
      <c r="F309" s="260"/>
      <c r="G309" s="260"/>
      <c r="H309" s="259"/>
      <c r="I309" s="259"/>
      <c r="J309" s="259"/>
      <c r="K309" s="260"/>
      <c r="L309" s="258"/>
      <c r="M309" s="410"/>
      <c r="N309" s="261"/>
      <c r="O309" s="258"/>
      <c r="P309" s="258"/>
      <c r="Q309" s="258"/>
      <c r="R309" s="259"/>
      <c r="S309" s="259"/>
      <c r="T309" s="259"/>
      <c r="U309" s="259"/>
      <c r="V309" s="268"/>
      <c r="W309" s="263"/>
      <c r="X309" s="263"/>
      <c r="Y309" s="263"/>
      <c r="Z309" s="263"/>
      <c r="AA309" s="263"/>
      <c r="AB309" s="263"/>
      <c r="AC309" s="263"/>
      <c r="AD309" s="263"/>
      <c r="AE309" s="263"/>
      <c r="AF309" s="263"/>
      <c r="AG309" s="263"/>
      <c r="AH309" s="263"/>
      <c r="AI309" s="263"/>
      <c r="AJ309" s="263"/>
      <c r="AK309" s="263"/>
      <c r="AL309" s="263"/>
      <c r="AM309" s="263"/>
      <c r="AN309" s="259"/>
    </row>
    <row r="310" spans="1:40" x14ac:dyDescent="0.25">
      <c r="A310" s="258"/>
      <c r="B310" s="259"/>
      <c r="C310" s="259"/>
      <c r="D310" s="260"/>
      <c r="E310" s="260"/>
      <c r="F310" s="260"/>
      <c r="G310" s="260"/>
      <c r="H310" s="259"/>
      <c r="I310" s="259"/>
      <c r="J310" s="259"/>
      <c r="K310" s="260"/>
      <c r="L310" s="258"/>
      <c r="M310" s="410"/>
      <c r="N310" s="261"/>
      <c r="O310" s="258"/>
      <c r="P310" s="258"/>
      <c r="Q310" s="258"/>
      <c r="R310" s="259"/>
      <c r="S310" s="259"/>
      <c r="T310" s="259"/>
      <c r="U310" s="259"/>
      <c r="V310" s="268"/>
      <c r="W310" s="263"/>
      <c r="X310" s="263"/>
      <c r="Y310" s="263"/>
      <c r="Z310" s="263"/>
      <c r="AA310" s="263"/>
      <c r="AB310" s="263"/>
      <c r="AC310" s="263"/>
      <c r="AD310" s="263"/>
      <c r="AE310" s="263"/>
      <c r="AF310" s="263"/>
      <c r="AG310" s="263"/>
      <c r="AH310" s="263"/>
      <c r="AI310" s="263"/>
      <c r="AJ310" s="263"/>
      <c r="AK310" s="263"/>
      <c r="AL310" s="263"/>
      <c r="AM310" s="263"/>
      <c r="AN310" s="259"/>
    </row>
    <row r="311" spans="1:40" x14ac:dyDescent="0.25">
      <c r="A311" s="258"/>
      <c r="B311" s="259"/>
      <c r="C311" s="259"/>
      <c r="D311" s="260"/>
      <c r="E311" s="260"/>
      <c r="F311" s="260"/>
      <c r="G311" s="260"/>
      <c r="H311" s="259"/>
      <c r="I311" s="259"/>
      <c r="J311" s="259"/>
      <c r="K311" s="260"/>
      <c r="L311" s="258"/>
      <c r="M311" s="410"/>
      <c r="N311" s="261"/>
      <c r="O311" s="258"/>
      <c r="P311" s="258"/>
      <c r="Q311" s="258"/>
      <c r="R311" s="259"/>
      <c r="S311" s="259"/>
      <c r="T311" s="259"/>
      <c r="U311" s="259"/>
      <c r="V311" s="268"/>
      <c r="W311" s="263"/>
      <c r="X311" s="263"/>
      <c r="Y311" s="263"/>
      <c r="Z311" s="263"/>
      <c r="AA311" s="263"/>
      <c r="AB311" s="263"/>
      <c r="AC311" s="263"/>
      <c r="AD311" s="263"/>
      <c r="AE311" s="263"/>
      <c r="AF311" s="263"/>
      <c r="AG311" s="263"/>
      <c r="AH311" s="263"/>
      <c r="AI311" s="263"/>
      <c r="AJ311" s="263"/>
      <c r="AK311" s="263"/>
      <c r="AL311" s="263"/>
      <c r="AM311" s="263"/>
      <c r="AN311" s="259"/>
    </row>
    <row r="312" spans="1:40" x14ac:dyDescent="0.25">
      <c r="A312" s="258"/>
      <c r="B312" s="259"/>
      <c r="C312" s="259"/>
      <c r="D312" s="260"/>
      <c r="E312" s="260"/>
      <c r="F312" s="260"/>
      <c r="G312" s="260"/>
      <c r="H312" s="259"/>
      <c r="I312" s="259"/>
      <c r="J312" s="259"/>
      <c r="K312" s="260"/>
      <c r="L312" s="258"/>
      <c r="M312" s="410"/>
      <c r="N312" s="261"/>
      <c r="O312" s="258"/>
      <c r="P312" s="258"/>
      <c r="Q312" s="258"/>
      <c r="R312" s="259"/>
      <c r="S312" s="259"/>
      <c r="T312" s="259"/>
      <c r="U312" s="259"/>
      <c r="V312" s="268"/>
      <c r="W312" s="263"/>
      <c r="X312" s="263"/>
      <c r="Y312" s="263"/>
      <c r="Z312" s="263"/>
      <c r="AA312" s="263"/>
      <c r="AB312" s="263"/>
      <c r="AC312" s="263"/>
      <c r="AD312" s="263"/>
      <c r="AE312" s="263"/>
      <c r="AF312" s="263"/>
      <c r="AG312" s="263"/>
      <c r="AH312" s="263"/>
      <c r="AI312" s="263"/>
      <c r="AJ312" s="263"/>
      <c r="AK312" s="263"/>
      <c r="AL312" s="263"/>
      <c r="AM312" s="263"/>
      <c r="AN312" s="259"/>
    </row>
    <row r="313" spans="1:40" x14ac:dyDescent="0.25">
      <c r="A313" s="258"/>
      <c r="B313" s="259"/>
      <c r="C313" s="259"/>
      <c r="D313" s="260"/>
      <c r="E313" s="260"/>
      <c r="F313" s="260"/>
      <c r="G313" s="260"/>
      <c r="H313" s="259"/>
      <c r="I313" s="259"/>
      <c r="J313" s="259"/>
      <c r="K313" s="260"/>
      <c r="L313" s="258"/>
      <c r="M313" s="410"/>
      <c r="N313" s="261"/>
      <c r="O313" s="258"/>
      <c r="P313" s="258"/>
      <c r="Q313" s="258"/>
      <c r="R313" s="259"/>
      <c r="S313" s="259"/>
      <c r="T313" s="259"/>
      <c r="U313" s="259"/>
      <c r="V313" s="268"/>
      <c r="W313" s="263"/>
      <c r="X313" s="263"/>
      <c r="Y313" s="263"/>
      <c r="Z313" s="263"/>
      <c r="AA313" s="263"/>
      <c r="AB313" s="263"/>
      <c r="AC313" s="263"/>
      <c r="AD313" s="263"/>
      <c r="AE313" s="263"/>
      <c r="AF313" s="263"/>
      <c r="AG313" s="263"/>
      <c r="AH313" s="263"/>
      <c r="AI313" s="263"/>
      <c r="AJ313" s="263"/>
      <c r="AK313" s="263"/>
      <c r="AL313" s="263"/>
      <c r="AM313" s="263"/>
      <c r="AN313" s="259"/>
    </row>
    <row r="314" spans="1:40" x14ac:dyDescent="0.25">
      <c r="A314" s="258"/>
      <c r="B314" s="259"/>
      <c r="C314" s="259"/>
      <c r="D314" s="260"/>
      <c r="E314" s="260"/>
      <c r="F314" s="260"/>
      <c r="G314" s="260"/>
      <c r="H314" s="259"/>
      <c r="I314" s="259"/>
      <c r="J314" s="259"/>
      <c r="K314" s="260"/>
      <c r="L314" s="258"/>
      <c r="M314" s="410"/>
      <c r="N314" s="261"/>
      <c r="O314" s="258"/>
      <c r="P314" s="258"/>
      <c r="Q314" s="258"/>
      <c r="R314" s="259"/>
      <c r="S314" s="259"/>
      <c r="T314" s="259"/>
      <c r="U314" s="259"/>
      <c r="V314" s="268"/>
      <c r="W314" s="263"/>
      <c r="X314" s="263"/>
      <c r="Y314" s="263"/>
      <c r="Z314" s="263"/>
      <c r="AA314" s="263"/>
      <c r="AB314" s="263"/>
      <c r="AC314" s="263"/>
      <c r="AD314" s="263"/>
      <c r="AE314" s="263"/>
      <c r="AF314" s="263"/>
      <c r="AG314" s="263"/>
      <c r="AH314" s="263"/>
      <c r="AI314" s="263"/>
      <c r="AJ314" s="263"/>
      <c r="AK314" s="263"/>
      <c r="AL314" s="263"/>
      <c r="AM314" s="263"/>
      <c r="AN314" s="259"/>
    </row>
    <row r="315" spans="1:40" x14ac:dyDescent="0.25">
      <c r="A315" s="258"/>
      <c r="B315" s="259"/>
      <c r="C315" s="259"/>
      <c r="D315" s="260"/>
      <c r="E315" s="260"/>
      <c r="F315" s="260"/>
      <c r="G315" s="260"/>
      <c r="H315" s="259"/>
      <c r="I315" s="259"/>
      <c r="J315" s="259"/>
      <c r="K315" s="260"/>
      <c r="L315" s="258"/>
      <c r="M315" s="410"/>
      <c r="N315" s="261"/>
      <c r="O315" s="258"/>
      <c r="P315" s="258"/>
      <c r="Q315" s="258"/>
      <c r="R315" s="259"/>
      <c r="S315" s="259"/>
      <c r="T315" s="259"/>
      <c r="U315" s="259"/>
      <c r="V315" s="268"/>
      <c r="W315" s="263"/>
      <c r="X315" s="263"/>
      <c r="Y315" s="263"/>
      <c r="Z315" s="263"/>
      <c r="AA315" s="263"/>
      <c r="AB315" s="263"/>
      <c r="AC315" s="263"/>
      <c r="AD315" s="263"/>
      <c r="AE315" s="263"/>
      <c r="AF315" s="263"/>
      <c r="AG315" s="263"/>
      <c r="AH315" s="263"/>
      <c r="AI315" s="263"/>
      <c r="AJ315" s="263"/>
      <c r="AK315" s="263"/>
      <c r="AL315" s="263"/>
      <c r="AM315" s="263"/>
      <c r="AN315" s="259"/>
    </row>
    <row r="316" spans="1:40" x14ac:dyDescent="0.25">
      <c r="A316" s="258"/>
      <c r="B316" s="259"/>
      <c r="C316" s="259"/>
      <c r="D316" s="260"/>
      <c r="E316" s="260"/>
      <c r="F316" s="260"/>
      <c r="G316" s="260"/>
      <c r="H316" s="259"/>
      <c r="I316" s="259"/>
      <c r="J316" s="259"/>
      <c r="K316" s="260"/>
      <c r="L316" s="258"/>
      <c r="M316" s="410"/>
      <c r="N316" s="261"/>
      <c r="O316" s="258"/>
      <c r="P316" s="258"/>
      <c r="Q316" s="258"/>
      <c r="R316" s="259"/>
      <c r="S316" s="259"/>
      <c r="T316" s="259"/>
      <c r="U316" s="259"/>
      <c r="V316" s="268"/>
      <c r="W316" s="263"/>
      <c r="X316" s="263"/>
      <c r="Y316" s="263"/>
      <c r="Z316" s="263"/>
      <c r="AA316" s="263"/>
      <c r="AB316" s="263"/>
      <c r="AC316" s="263"/>
      <c r="AD316" s="263"/>
      <c r="AE316" s="263"/>
      <c r="AF316" s="263"/>
      <c r="AG316" s="263"/>
      <c r="AH316" s="263"/>
      <c r="AI316" s="263"/>
      <c r="AJ316" s="263"/>
      <c r="AK316" s="263"/>
      <c r="AL316" s="263"/>
      <c r="AM316" s="263"/>
      <c r="AN316" s="259"/>
    </row>
    <row r="317" spans="1:40" x14ac:dyDescent="0.25">
      <c r="A317" s="258"/>
      <c r="B317" s="259"/>
      <c r="C317" s="259"/>
      <c r="D317" s="260"/>
      <c r="E317" s="260"/>
      <c r="F317" s="260"/>
      <c r="G317" s="260"/>
      <c r="H317" s="259"/>
      <c r="I317" s="259"/>
      <c r="J317" s="259"/>
      <c r="K317" s="260"/>
      <c r="L317" s="258"/>
      <c r="M317" s="410"/>
      <c r="N317" s="261"/>
      <c r="O317" s="258"/>
      <c r="P317" s="258"/>
      <c r="Q317" s="258"/>
      <c r="R317" s="259"/>
      <c r="S317" s="259"/>
      <c r="T317" s="259"/>
      <c r="U317" s="259"/>
      <c r="V317" s="268"/>
      <c r="W317" s="263"/>
      <c r="X317" s="263"/>
      <c r="Y317" s="263"/>
      <c r="Z317" s="263"/>
      <c r="AA317" s="263"/>
      <c r="AB317" s="263"/>
      <c r="AC317" s="263"/>
      <c r="AD317" s="263"/>
      <c r="AE317" s="263"/>
      <c r="AF317" s="263"/>
      <c r="AG317" s="263"/>
      <c r="AH317" s="263"/>
      <c r="AI317" s="263"/>
      <c r="AJ317" s="263"/>
      <c r="AK317" s="263"/>
      <c r="AL317" s="263"/>
      <c r="AM317" s="263"/>
      <c r="AN317" s="259"/>
    </row>
    <row r="318" spans="1:40" x14ac:dyDescent="0.25">
      <c r="A318" s="258"/>
      <c r="B318" s="259"/>
      <c r="C318" s="259"/>
      <c r="D318" s="260"/>
      <c r="E318" s="260"/>
      <c r="F318" s="260"/>
      <c r="G318" s="260"/>
      <c r="H318" s="259"/>
      <c r="I318" s="259"/>
      <c r="J318" s="259"/>
      <c r="K318" s="260"/>
      <c r="L318" s="258"/>
      <c r="M318" s="410"/>
      <c r="N318" s="261"/>
      <c r="O318" s="258"/>
      <c r="P318" s="258"/>
      <c r="Q318" s="258"/>
      <c r="R318" s="259"/>
      <c r="S318" s="259"/>
      <c r="T318" s="259"/>
      <c r="U318" s="259"/>
      <c r="V318" s="268"/>
      <c r="W318" s="263"/>
      <c r="X318" s="263"/>
      <c r="Y318" s="263"/>
      <c r="Z318" s="263"/>
      <c r="AA318" s="263"/>
      <c r="AB318" s="263"/>
      <c r="AC318" s="263"/>
      <c r="AD318" s="263"/>
      <c r="AE318" s="263"/>
      <c r="AF318" s="263"/>
      <c r="AG318" s="263"/>
      <c r="AH318" s="263"/>
      <c r="AI318" s="263"/>
      <c r="AJ318" s="263"/>
      <c r="AK318" s="263"/>
      <c r="AL318" s="263"/>
      <c r="AM318" s="263"/>
      <c r="AN318" s="259"/>
    </row>
    <row r="319" spans="1:40" x14ac:dyDescent="0.25">
      <c r="A319" s="258"/>
      <c r="B319" s="259"/>
      <c r="C319" s="259"/>
      <c r="D319" s="260"/>
      <c r="E319" s="260"/>
      <c r="F319" s="260"/>
      <c r="G319" s="260"/>
      <c r="H319" s="259"/>
      <c r="I319" s="259"/>
      <c r="J319" s="259"/>
      <c r="K319" s="260"/>
      <c r="L319" s="258"/>
      <c r="M319" s="410"/>
      <c r="N319" s="261"/>
      <c r="O319" s="258"/>
      <c r="P319" s="258"/>
      <c r="Q319" s="258"/>
      <c r="R319" s="259"/>
      <c r="S319" s="259"/>
      <c r="T319" s="259"/>
      <c r="U319" s="259"/>
      <c r="V319" s="268"/>
      <c r="W319" s="263"/>
      <c r="X319" s="263"/>
      <c r="Y319" s="263"/>
      <c r="Z319" s="263"/>
      <c r="AA319" s="263"/>
      <c r="AB319" s="263"/>
      <c r="AC319" s="263"/>
      <c r="AD319" s="263"/>
      <c r="AE319" s="263"/>
      <c r="AF319" s="263"/>
      <c r="AG319" s="263"/>
      <c r="AH319" s="263"/>
      <c r="AI319" s="263"/>
      <c r="AJ319" s="263"/>
      <c r="AK319" s="263"/>
      <c r="AL319" s="263"/>
      <c r="AM319" s="263"/>
      <c r="AN319" s="259"/>
    </row>
    <row r="320" spans="1:40" x14ac:dyDescent="0.25">
      <c r="A320" s="258"/>
      <c r="B320" s="259"/>
      <c r="C320" s="259"/>
      <c r="D320" s="260"/>
      <c r="E320" s="260"/>
      <c r="F320" s="260"/>
      <c r="G320" s="260"/>
      <c r="H320" s="259"/>
      <c r="I320" s="259"/>
      <c r="J320" s="259"/>
      <c r="K320" s="260"/>
      <c r="L320" s="258"/>
      <c r="M320" s="410"/>
      <c r="N320" s="261"/>
      <c r="O320" s="258"/>
      <c r="P320" s="258"/>
      <c r="Q320" s="258"/>
      <c r="R320" s="259"/>
      <c r="S320" s="259"/>
      <c r="T320" s="259"/>
      <c r="U320" s="259"/>
      <c r="V320" s="268"/>
      <c r="W320" s="263"/>
      <c r="X320" s="263"/>
      <c r="Y320" s="263"/>
      <c r="Z320" s="263"/>
      <c r="AA320" s="263"/>
      <c r="AB320" s="263"/>
      <c r="AC320" s="263"/>
      <c r="AD320" s="263"/>
      <c r="AE320" s="263"/>
      <c r="AF320" s="263"/>
      <c r="AG320" s="263"/>
      <c r="AH320" s="263"/>
      <c r="AI320" s="263"/>
      <c r="AJ320" s="263"/>
      <c r="AK320" s="263"/>
      <c r="AL320" s="263"/>
      <c r="AM320" s="263"/>
      <c r="AN320" s="259"/>
    </row>
    <row r="321" spans="1:40" x14ac:dyDescent="0.25">
      <c r="A321" s="258"/>
      <c r="B321" s="259"/>
      <c r="C321" s="259"/>
      <c r="D321" s="260"/>
      <c r="E321" s="260"/>
      <c r="F321" s="260"/>
      <c r="G321" s="260"/>
      <c r="H321" s="259"/>
      <c r="I321" s="259"/>
      <c r="J321" s="259"/>
      <c r="K321" s="260"/>
      <c r="L321" s="258"/>
      <c r="M321" s="410"/>
      <c r="N321" s="261"/>
      <c r="O321" s="258"/>
      <c r="P321" s="258"/>
      <c r="Q321" s="258"/>
      <c r="R321" s="259"/>
      <c r="S321" s="259"/>
      <c r="T321" s="259"/>
      <c r="U321" s="259"/>
      <c r="V321" s="268"/>
      <c r="W321" s="263"/>
      <c r="X321" s="263"/>
      <c r="Y321" s="263"/>
      <c r="Z321" s="263"/>
      <c r="AA321" s="263"/>
      <c r="AB321" s="263"/>
      <c r="AC321" s="263"/>
      <c r="AD321" s="263"/>
      <c r="AE321" s="263"/>
      <c r="AF321" s="263"/>
      <c r="AG321" s="263"/>
      <c r="AH321" s="263"/>
      <c r="AI321" s="263"/>
      <c r="AJ321" s="263"/>
      <c r="AK321" s="263"/>
      <c r="AL321" s="263"/>
      <c r="AM321" s="263"/>
      <c r="AN321" s="259"/>
    </row>
    <row r="322" spans="1:40" x14ac:dyDescent="0.25">
      <c r="A322" s="258"/>
      <c r="B322" s="259"/>
      <c r="C322" s="259"/>
      <c r="D322" s="260"/>
      <c r="E322" s="260"/>
      <c r="F322" s="260"/>
      <c r="G322" s="260"/>
      <c r="H322" s="259"/>
      <c r="I322" s="259"/>
      <c r="J322" s="259"/>
      <c r="K322" s="260"/>
      <c r="L322" s="258"/>
      <c r="M322" s="410"/>
      <c r="N322" s="261"/>
      <c r="O322" s="258"/>
      <c r="P322" s="258"/>
      <c r="Q322" s="258"/>
      <c r="R322" s="259"/>
      <c r="S322" s="259"/>
      <c r="T322" s="259"/>
      <c r="U322" s="259"/>
      <c r="V322" s="268"/>
      <c r="W322" s="263"/>
      <c r="X322" s="263"/>
      <c r="Y322" s="263"/>
      <c r="Z322" s="263"/>
      <c r="AA322" s="263"/>
      <c r="AB322" s="263"/>
      <c r="AC322" s="263"/>
      <c r="AD322" s="263"/>
      <c r="AE322" s="263"/>
      <c r="AF322" s="263"/>
      <c r="AG322" s="263"/>
      <c r="AH322" s="263"/>
      <c r="AI322" s="263"/>
      <c r="AJ322" s="263"/>
      <c r="AK322" s="263"/>
      <c r="AL322" s="263"/>
      <c r="AM322" s="263"/>
      <c r="AN322" s="259"/>
    </row>
    <row r="323" spans="1:40" x14ac:dyDescent="0.25">
      <c r="A323" s="258"/>
      <c r="B323" s="259"/>
      <c r="C323" s="259"/>
      <c r="D323" s="260"/>
      <c r="E323" s="260"/>
      <c r="F323" s="260"/>
      <c r="G323" s="260"/>
      <c r="H323" s="259"/>
      <c r="I323" s="259"/>
      <c r="J323" s="259"/>
      <c r="K323" s="260"/>
      <c r="L323" s="258"/>
      <c r="M323" s="410"/>
      <c r="N323" s="261"/>
      <c r="O323" s="258"/>
      <c r="P323" s="258"/>
      <c r="Q323" s="258"/>
      <c r="R323" s="259"/>
      <c r="S323" s="259"/>
      <c r="T323" s="259"/>
      <c r="U323" s="259"/>
      <c r="V323" s="268"/>
      <c r="W323" s="263"/>
      <c r="X323" s="263"/>
      <c r="Y323" s="263"/>
      <c r="Z323" s="263"/>
      <c r="AA323" s="263"/>
      <c r="AB323" s="263"/>
      <c r="AC323" s="263"/>
      <c r="AD323" s="263"/>
      <c r="AE323" s="263"/>
      <c r="AF323" s="263"/>
      <c r="AG323" s="263"/>
      <c r="AH323" s="263"/>
      <c r="AI323" s="263"/>
      <c r="AJ323" s="263"/>
      <c r="AK323" s="263"/>
      <c r="AL323" s="263"/>
      <c r="AM323" s="263"/>
      <c r="AN323" s="259"/>
    </row>
    <row r="324" spans="1:40" x14ac:dyDescent="0.25">
      <c r="A324" s="258"/>
      <c r="B324" s="259"/>
      <c r="C324" s="259"/>
      <c r="D324" s="260"/>
      <c r="E324" s="260"/>
      <c r="F324" s="260"/>
      <c r="G324" s="260"/>
      <c r="H324" s="259"/>
      <c r="I324" s="259"/>
      <c r="J324" s="259"/>
      <c r="K324" s="260"/>
      <c r="L324" s="258"/>
      <c r="M324" s="410"/>
      <c r="N324" s="261"/>
      <c r="O324" s="258"/>
      <c r="P324" s="258"/>
      <c r="Q324" s="258"/>
      <c r="R324" s="259"/>
      <c r="S324" s="259"/>
      <c r="T324" s="259"/>
      <c r="U324" s="259"/>
      <c r="V324" s="268"/>
      <c r="W324" s="263"/>
      <c r="X324" s="263"/>
      <c r="Y324" s="263"/>
      <c r="Z324" s="263"/>
      <c r="AA324" s="263"/>
      <c r="AB324" s="263"/>
      <c r="AC324" s="263"/>
      <c r="AD324" s="263"/>
      <c r="AE324" s="263"/>
      <c r="AF324" s="263"/>
      <c r="AG324" s="263"/>
      <c r="AH324" s="263"/>
      <c r="AI324" s="263"/>
      <c r="AJ324" s="263"/>
      <c r="AK324" s="263"/>
      <c r="AL324" s="263"/>
      <c r="AM324" s="263"/>
      <c r="AN324" s="259"/>
    </row>
    <row r="325" spans="1:40" x14ac:dyDescent="0.25">
      <c r="A325" s="258"/>
      <c r="B325" s="259"/>
      <c r="C325" s="259"/>
      <c r="D325" s="260"/>
      <c r="E325" s="260"/>
      <c r="F325" s="260"/>
      <c r="G325" s="260"/>
      <c r="H325" s="259"/>
      <c r="I325" s="259"/>
      <c r="J325" s="259"/>
      <c r="K325" s="260"/>
      <c r="L325" s="258"/>
      <c r="M325" s="410"/>
      <c r="N325" s="261"/>
      <c r="O325" s="258"/>
      <c r="P325" s="258"/>
      <c r="Q325" s="258"/>
      <c r="R325" s="259"/>
      <c r="S325" s="259"/>
      <c r="T325" s="259"/>
      <c r="U325" s="259"/>
      <c r="V325" s="268"/>
      <c r="W325" s="263"/>
      <c r="X325" s="263"/>
      <c r="Y325" s="263"/>
      <c r="Z325" s="263"/>
      <c r="AA325" s="263"/>
      <c r="AB325" s="263"/>
      <c r="AC325" s="263"/>
      <c r="AD325" s="263"/>
      <c r="AE325" s="263"/>
      <c r="AF325" s="263"/>
      <c r="AG325" s="263"/>
      <c r="AH325" s="263"/>
      <c r="AI325" s="263"/>
      <c r="AJ325" s="263"/>
      <c r="AK325" s="263"/>
      <c r="AL325" s="263"/>
      <c r="AM325" s="263"/>
      <c r="AN325" s="259"/>
    </row>
    <row r="326" spans="1:40" x14ac:dyDescent="0.25">
      <c r="A326" s="258"/>
      <c r="B326" s="259"/>
      <c r="C326" s="259"/>
      <c r="D326" s="260"/>
      <c r="E326" s="260"/>
      <c r="F326" s="260"/>
      <c r="G326" s="260"/>
      <c r="H326" s="259"/>
      <c r="I326" s="259"/>
      <c r="J326" s="259"/>
      <c r="K326" s="260"/>
      <c r="L326" s="258"/>
      <c r="M326" s="410"/>
      <c r="N326" s="261"/>
      <c r="O326" s="258"/>
      <c r="P326" s="258"/>
      <c r="Q326" s="258"/>
      <c r="R326" s="259"/>
      <c r="S326" s="259"/>
      <c r="T326" s="259"/>
      <c r="U326" s="259"/>
      <c r="V326" s="268"/>
      <c r="W326" s="263"/>
      <c r="X326" s="263"/>
      <c r="Y326" s="263"/>
      <c r="Z326" s="263"/>
      <c r="AA326" s="263"/>
      <c r="AB326" s="263"/>
      <c r="AC326" s="263"/>
      <c r="AD326" s="263"/>
      <c r="AE326" s="263"/>
      <c r="AF326" s="263"/>
      <c r="AG326" s="263"/>
      <c r="AH326" s="263"/>
      <c r="AI326" s="263"/>
      <c r="AJ326" s="263"/>
      <c r="AK326" s="263"/>
      <c r="AL326" s="263"/>
      <c r="AM326" s="263"/>
      <c r="AN326" s="259"/>
    </row>
    <row r="327" spans="1:40" x14ac:dyDescent="0.25">
      <c r="A327" s="258"/>
      <c r="B327" s="259"/>
      <c r="C327" s="259"/>
      <c r="D327" s="260"/>
      <c r="E327" s="260"/>
      <c r="F327" s="260"/>
      <c r="G327" s="260"/>
      <c r="H327" s="259"/>
      <c r="I327" s="259"/>
      <c r="J327" s="259"/>
      <c r="K327" s="260"/>
      <c r="L327" s="258"/>
      <c r="M327" s="410"/>
      <c r="N327" s="261"/>
      <c r="O327" s="258"/>
      <c r="P327" s="258"/>
      <c r="Q327" s="258"/>
      <c r="R327" s="259"/>
      <c r="S327" s="259"/>
      <c r="T327" s="259"/>
      <c r="U327" s="259"/>
      <c r="V327" s="268"/>
      <c r="W327" s="263"/>
      <c r="X327" s="263"/>
      <c r="Y327" s="263"/>
      <c r="Z327" s="263"/>
      <c r="AA327" s="263"/>
      <c r="AB327" s="263"/>
      <c r="AC327" s="263"/>
      <c r="AD327" s="263"/>
      <c r="AE327" s="263"/>
      <c r="AF327" s="263"/>
      <c r="AG327" s="263"/>
      <c r="AH327" s="263"/>
      <c r="AI327" s="263"/>
      <c r="AJ327" s="263"/>
      <c r="AK327" s="263"/>
      <c r="AL327" s="263"/>
      <c r="AM327" s="263"/>
      <c r="AN327" s="259"/>
    </row>
    <row r="328" spans="1:40" x14ac:dyDescent="0.25">
      <c r="A328" s="258"/>
      <c r="B328" s="259"/>
      <c r="C328" s="259"/>
      <c r="D328" s="260"/>
      <c r="E328" s="260"/>
      <c r="F328" s="260"/>
      <c r="G328" s="260"/>
      <c r="H328" s="259"/>
      <c r="I328" s="259"/>
      <c r="J328" s="259"/>
      <c r="K328" s="260"/>
      <c r="L328" s="258"/>
      <c r="M328" s="410"/>
      <c r="N328" s="261"/>
      <c r="O328" s="258"/>
      <c r="P328" s="258"/>
      <c r="Q328" s="258"/>
      <c r="R328" s="259"/>
      <c r="S328" s="259"/>
      <c r="T328" s="259"/>
      <c r="U328" s="259"/>
      <c r="V328" s="268"/>
      <c r="W328" s="263"/>
      <c r="X328" s="263"/>
      <c r="Y328" s="263"/>
      <c r="Z328" s="263"/>
      <c r="AA328" s="263"/>
      <c r="AB328" s="263"/>
      <c r="AC328" s="263"/>
      <c r="AD328" s="263"/>
      <c r="AE328" s="263"/>
      <c r="AF328" s="263"/>
      <c r="AG328" s="263"/>
      <c r="AH328" s="263"/>
      <c r="AI328" s="263"/>
      <c r="AJ328" s="263"/>
      <c r="AK328" s="263"/>
      <c r="AL328" s="263"/>
      <c r="AM328" s="263"/>
      <c r="AN328" s="259"/>
    </row>
    <row r="329" spans="1:40" x14ac:dyDescent="0.25">
      <c r="A329" s="258"/>
      <c r="B329" s="259"/>
      <c r="C329" s="259"/>
      <c r="D329" s="260"/>
      <c r="E329" s="260"/>
      <c r="F329" s="260"/>
      <c r="G329" s="260"/>
      <c r="H329" s="259"/>
      <c r="I329" s="259"/>
      <c r="J329" s="259"/>
      <c r="K329" s="260"/>
      <c r="L329" s="258"/>
      <c r="M329" s="410"/>
      <c r="N329" s="261"/>
      <c r="O329" s="258"/>
      <c r="P329" s="258"/>
      <c r="Q329" s="258"/>
      <c r="R329" s="259"/>
      <c r="S329" s="259"/>
      <c r="T329" s="259"/>
      <c r="U329" s="259"/>
      <c r="V329" s="268"/>
      <c r="W329" s="263"/>
      <c r="X329" s="263"/>
      <c r="Y329" s="263"/>
      <c r="Z329" s="263"/>
      <c r="AA329" s="263"/>
      <c r="AB329" s="263"/>
      <c r="AC329" s="263"/>
      <c r="AD329" s="263"/>
      <c r="AE329" s="263"/>
      <c r="AF329" s="263"/>
      <c r="AG329" s="263"/>
      <c r="AH329" s="263"/>
      <c r="AI329" s="263"/>
      <c r="AJ329" s="263"/>
      <c r="AK329" s="263"/>
      <c r="AL329" s="263"/>
      <c r="AM329" s="263"/>
      <c r="AN329" s="259"/>
    </row>
    <row r="330" spans="1:40" x14ac:dyDescent="0.25">
      <c r="A330" s="258"/>
      <c r="B330" s="259"/>
      <c r="C330" s="259"/>
      <c r="D330" s="260"/>
      <c r="E330" s="260"/>
      <c r="F330" s="260"/>
      <c r="G330" s="260"/>
      <c r="H330" s="259"/>
      <c r="I330" s="259"/>
      <c r="J330" s="259"/>
      <c r="K330" s="260"/>
      <c r="L330" s="258"/>
      <c r="M330" s="410"/>
      <c r="N330" s="261"/>
      <c r="O330" s="258"/>
      <c r="P330" s="258"/>
      <c r="Q330" s="258"/>
      <c r="R330" s="259"/>
      <c r="S330" s="259"/>
      <c r="T330" s="259"/>
      <c r="U330" s="259"/>
      <c r="V330" s="268"/>
      <c r="W330" s="263"/>
      <c r="X330" s="263"/>
      <c r="Y330" s="263"/>
      <c r="Z330" s="263"/>
      <c r="AA330" s="263"/>
      <c r="AB330" s="263"/>
      <c r="AC330" s="263"/>
      <c r="AD330" s="263"/>
      <c r="AE330" s="263"/>
      <c r="AF330" s="263"/>
      <c r="AG330" s="263"/>
      <c r="AH330" s="263"/>
      <c r="AI330" s="263"/>
      <c r="AJ330" s="263"/>
      <c r="AK330" s="263"/>
      <c r="AL330" s="263"/>
      <c r="AM330" s="263"/>
      <c r="AN330" s="259"/>
    </row>
    <row r="331" spans="1:40" x14ac:dyDescent="0.25">
      <c r="A331" s="258"/>
      <c r="B331" s="259"/>
      <c r="C331" s="259"/>
      <c r="D331" s="260"/>
      <c r="E331" s="260"/>
      <c r="F331" s="260"/>
      <c r="G331" s="260"/>
      <c r="H331" s="259"/>
      <c r="I331" s="259"/>
      <c r="J331" s="259"/>
      <c r="K331" s="260"/>
      <c r="L331" s="258"/>
      <c r="M331" s="410"/>
      <c r="N331" s="261"/>
      <c r="O331" s="258"/>
      <c r="P331" s="258"/>
      <c r="Q331" s="258"/>
      <c r="R331" s="259"/>
      <c r="S331" s="259"/>
      <c r="T331" s="259"/>
      <c r="U331" s="259"/>
      <c r="V331" s="268"/>
      <c r="W331" s="263"/>
      <c r="X331" s="263"/>
      <c r="Y331" s="263"/>
      <c r="Z331" s="263"/>
      <c r="AA331" s="263"/>
      <c r="AB331" s="263"/>
      <c r="AC331" s="263"/>
      <c r="AD331" s="263"/>
      <c r="AE331" s="263"/>
      <c r="AF331" s="263"/>
      <c r="AG331" s="263"/>
      <c r="AH331" s="263"/>
      <c r="AI331" s="263"/>
      <c r="AJ331" s="263"/>
      <c r="AK331" s="263"/>
      <c r="AL331" s="263"/>
      <c r="AM331" s="263"/>
      <c r="AN331" s="259"/>
    </row>
    <row r="332" spans="1:40" x14ac:dyDescent="0.25">
      <c r="A332" s="258"/>
      <c r="B332" s="259"/>
      <c r="C332" s="259"/>
      <c r="D332" s="260"/>
      <c r="E332" s="260"/>
      <c r="F332" s="260"/>
      <c r="G332" s="260"/>
      <c r="H332" s="259"/>
      <c r="I332" s="259"/>
      <c r="J332" s="259"/>
      <c r="K332" s="260"/>
      <c r="L332" s="258"/>
      <c r="M332" s="410"/>
      <c r="N332" s="261"/>
      <c r="O332" s="258"/>
      <c r="P332" s="258"/>
      <c r="Q332" s="258"/>
      <c r="R332" s="259"/>
      <c r="S332" s="259"/>
      <c r="T332" s="259"/>
      <c r="U332" s="259"/>
      <c r="V332" s="268"/>
      <c r="W332" s="263"/>
      <c r="X332" s="263"/>
      <c r="Y332" s="263"/>
      <c r="Z332" s="263"/>
      <c r="AA332" s="263"/>
      <c r="AB332" s="263"/>
      <c r="AC332" s="263"/>
      <c r="AD332" s="263"/>
      <c r="AE332" s="263"/>
      <c r="AF332" s="263"/>
      <c r="AG332" s="263"/>
      <c r="AH332" s="263"/>
      <c r="AI332" s="263"/>
      <c r="AJ332" s="263"/>
      <c r="AK332" s="263"/>
      <c r="AL332" s="263"/>
      <c r="AM332" s="263"/>
      <c r="AN332" s="259"/>
    </row>
    <row r="333" spans="1:40" x14ac:dyDescent="0.25">
      <c r="A333" s="258"/>
      <c r="B333" s="259"/>
      <c r="C333" s="259"/>
      <c r="D333" s="260"/>
      <c r="E333" s="260"/>
      <c r="F333" s="260"/>
      <c r="G333" s="260"/>
      <c r="H333" s="259"/>
      <c r="I333" s="259"/>
      <c r="J333" s="259"/>
      <c r="K333" s="260"/>
      <c r="L333" s="258"/>
      <c r="M333" s="410"/>
      <c r="N333" s="261"/>
      <c r="O333" s="258"/>
      <c r="P333" s="258"/>
      <c r="Q333" s="258"/>
      <c r="R333" s="259"/>
      <c r="S333" s="259"/>
      <c r="T333" s="259"/>
      <c r="U333" s="259"/>
      <c r="V333" s="268"/>
      <c r="W333" s="263"/>
      <c r="X333" s="263"/>
      <c r="Y333" s="263"/>
      <c r="Z333" s="263"/>
      <c r="AA333" s="263"/>
      <c r="AB333" s="263"/>
      <c r="AC333" s="263"/>
      <c r="AD333" s="263"/>
      <c r="AE333" s="263"/>
      <c r="AF333" s="263"/>
      <c r="AG333" s="263"/>
      <c r="AH333" s="263"/>
      <c r="AI333" s="263"/>
      <c r="AJ333" s="263"/>
      <c r="AK333" s="263"/>
      <c r="AL333" s="263"/>
      <c r="AM333" s="263"/>
      <c r="AN333" s="259"/>
    </row>
    <row r="334" spans="1:40" x14ac:dyDescent="0.25">
      <c r="A334" s="258"/>
      <c r="B334" s="259"/>
      <c r="C334" s="259"/>
      <c r="D334" s="260"/>
      <c r="E334" s="260"/>
      <c r="F334" s="260"/>
      <c r="G334" s="260"/>
      <c r="H334" s="259"/>
      <c r="I334" s="259"/>
      <c r="J334" s="259"/>
      <c r="K334" s="260"/>
      <c r="L334" s="258"/>
      <c r="M334" s="410"/>
      <c r="N334" s="261"/>
      <c r="O334" s="258"/>
      <c r="P334" s="258"/>
      <c r="Q334" s="258"/>
      <c r="R334" s="259"/>
      <c r="S334" s="259"/>
      <c r="T334" s="259"/>
      <c r="U334" s="259"/>
      <c r="V334" s="268"/>
      <c r="W334" s="263"/>
      <c r="X334" s="263"/>
      <c r="Y334" s="263"/>
      <c r="Z334" s="263"/>
      <c r="AA334" s="263"/>
      <c r="AB334" s="263"/>
      <c r="AC334" s="263"/>
      <c r="AD334" s="263"/>
      <c r="AE334" s="263"/>
      <c r="AF334" s="263"/>
      <c r="AG334" s="263"/>
      <c r="AH334" s="263"/>
      <c r="AI334" s="263"/>
      <c r="AJ334" s="263"/>
      <c r="AK334" s="263"/>
      <c r="AL334" s="263"/>
      <c r="AM334" s="263"/>
      <c r="AN334" s="259"/>
    </row>
    <row r="335" spans="1:40" x14ac:dyDescent="0.25">
      <c r="A335" s="258"/>
      <c r="B335" s="259"/>
      <c r="C335" s="259"/>
      <c r="D335" s="260"/>
      <c r="E335" s="260"/>
      <c r="F335" s="260"/>
      <c r="G335" s="260"/>
      <c r="H335" s="259"/>
      <c r="I335" s="259"/>
      <c r="J335" s="259"/>
      <c r="K335" s="260"/>
      <c r="L335" s="258"/>
      <c r="M335" s="410"/>
      <c r="N335" s="261"/>
      <c r="O335" s="258"/>
      <c r="P335" s="258"/>
      <c r="Q335" s="258"/>
      <c r="R335" s="259"/>
      <c r="S335" s="259"/>
      <c r="T335" s="259"/>
      <c r="U335" s="259"/>
      <c r="V335" s="268"/>
      <c r="W335" s="263"/>
      <c r="X335" s="263"/>
      <c r="Y335" s="263"/>
      <c r="Z335" s="263"/>
      <c r="AA335" s="263"/>
      <c r="AB335" s="263"/>
      <c r="AC335" s="263"/>
      <c r="AD335" s="263"/>
      <c r="AE335" s="263"/>
      <c r="AF335" s="263"/>
      <c r="AG335" s="263"/>
      <c r="AH335" s="263"/>
      <c r="AI335" s="263"/>
      <c r="AJ335" s="263"/>
      <c r="AK335" s="263"/>
      <c r="AL335" s="263"/>
      <c r="AM335" s="263"/>
      <c r="AN335" s="259"/>
    </row>
    <row r="336" spans="1:40" x14ac:dyDescent="0.25">
      <c r="A336" s="258"/>
      <c r="B336" s="259"/>
      <c r="C336" s="259"/>
      <c r="D336" s="260"/>
      <c r="E336" s="260"/>
      <c r="F336" s="260"/>
      <c r="G336" s="260"/>
      <c r="H336" s="259"/>
      <c r="I336" s="259"/>
      <c r="J336" s="259"/>
      <c r="K336" s="260"/>
      <c r="L336" s="258"/>
      <c r="M336" s="410"/>
      <c r="N336" s="261"/>
      <c r="O336" s="258"/>
      <c r="P336" s="258"/>
      <c r="Q336" s="258"/>
      <c r="R336" s="259"/>
      <c r="S336" s="259"/>
      <c r="T336" s="259"/>
      <c r="U336" s="259"/>
      <c r="V336" s="268"/>
      <c r="W336" s="263"/>
      <c r="X336" s="263"/>
      <c r="Y336" s="263"/>
      <c r="Z336" s="263"/>
      <c r="AA336" s="263"/>
      <c r="AB336" s="263"/>
      <c r="AC336" s="263"/>
      <c r="AD336" s="263"/>
      <c r="AE336" s="263"/>
      <c r="AF336" s="263"/>
      <c r="AG336" s="263"/>
      <c r="AH336" s="263"/>
      <c r="AI336" s="263"/>
      <c r="AJ336" s="263"/>
      <c r="AK336" s="263"/>
      <c r="AL336" s="263"/>
      <c r="AM336" s="263"/>
      <c r="AN336" s="259"/>
    </row>
    <row r="337" spans="1:40" x14ac:dyDescent="0.25">
      <c r="A337" s="258"/>
      <c r="B337" s="259"/>
      <c r="C337" s="259"/>
      <c r="D337" s="260"/>
      <c r="E337" s="260"/>
      <c r="F337" s="260"/>
      <c r="G337" s="260"/>
      <c r="H337" s="259"/>
      <c r="I337" s="259"/>
      <c r="J337" s="259"/>
      <c r="K337" s="260"/>
      <c r="L337" s="258"/>
      <c r="M337" s="410"/>
      <c r="N337" s="261"/>
      <c r="O337" s="258"/>
      <c r="P337" s="258"/>
      <c r="Q337" s="258"/>
      <c r="R337" s="259"/>
      <c r="S337" s="259"/>
      <c r="T337" s="259"/>
      <c r="U337" s="259"/>
      <c r="V337" s="268"/>
      <c r="W337" s="263"/>
      <c r="X337" s="263"/>
      <c r="Y337" s="263"/>
      <c r="Z337" s="263"/>
      <c r="AA337" s="263"/>
      <c r="AB337" s="263"/>
      <c r="AC337" s="263"/>
      <c r="AD337" s="263"/>
      <c r="AE337" s="263"/>
      <c r="AF337" s="263"/>
      <c r="AG337" s="263"/>
      <c r="AH337" s="263"/>
      <c r="AI337" s="263"/>
      <c r="AJ337" s="263"/>
      <c r="AK337" s="263"/>
      <c r="AL337" s="263"/>
      <c r="AM337" s="263"/>
      <c r="AN337" s="259"/>
    </row>
    <row r="338" spans="1:40" x14ac:dyDescent="0.25">
      <c r="A338" s="258"/>
      <c r="B338" s="259"/>
      <c r="C338" s="259"/>
      <c r="D338" s="260"/>
      <c r="E338" s="260"/>
      <c r="F338" s="260"/>
      <c r="G338" s="260"/>
      <c r="H338" s="259"/>
      <c r="I338" s="259"/>
      <c r="J338" s="259"/>
      <c r="K338" s="260"/>
      <c r="L338" s="258"/>
      <c r="M338" s="410"/>
      <c r="N338" s="261"/>
      <c r="O338" s="258"/>
      <c r="P338" s="258"/>
      <c r="Q338" s="258"/>
      <c r="R338" s="259"/>
      <c r="S338" s="259"/>
      <c r="T338" s="259"/>
      <c r="U338" s="259"/>
      <c r="V338" s="268"/>
      <c r="W338" s="263"/>
      <c r="X338" s="263"/>
      <c r="Y338" s="263"/>
      <c r="Z338" s="263"/>
      <c r="AA338" s="263"/>
      <c r="AB338" s="263"/>
      <c r="AC338" s="263"/>
      <c r="AD338" s="263"/>
      <c r="AE338" s="263"/>
      <c r="AF338" s="263"/>
      <c r="AG338" s="263"/>
      <c r="AH338" s="263"/>
      <c r="AI338" s="263"/>
      <c r="AJ338" s="263"/>
      <c r="AK338" s="263"/>
      <c r="AL338" s="263"/>
      <c r="AM338" s="263"/>
      <c r="AN338" s="259"/>
    </row>
    <row r="339" spans="1:40" x14ac:dyDescent="0.25">
      <c r="A339" s="258"/>
      <c r="B339" s="259"/>
      <c r="C339" s="259"/>
      <c r="D339" s="260"/>
      <c r="E339" s="260"/>
      <c r="F339" s="260"/>
      <c r="G339" s="260"/>
      <c r="H339" s="259"/>
      <c r="I339" s="259"/>
      <c r="J339" s="259"/>
      <c r="K339" s="260"/>
      <c r="L339" s="258"/>
      <c r="M339" s="410"/>
      <c r="N339" s="261"/>
      <c r="O339" s="258"/>
      <c r="P339" s="258"/>
      <c r="Q339" s="258"/>
      <c r="R339" s="259"/>
      <c r="S339" s="259"/>
      <c r="T339" s="259"/>
      <c r="U339" s="259"/>
      <c r="V339" s="268"/>
      <c r="W339" s="263"/>
      <c r="X339" s="263"/>
      <c r="Y339" s="263"/>
      <c r="Z339" s="263"/>
      <c r="AA339" s="263"/>
      <c r="AB339" s="263"/>
      <c r="AC339" s="263"/>
      <c r="AD339" s="263"/>
      <c r="AE339" s="263"/>
      <c r="AF339" s="263"/>
      <c r="AG339" s="263"/>
      <c r="AH339" s="263"/>
      <c r="AI339" s="263"/>
      <c r="AJ339" s="263"/>
      <c r="AK339" s="263"/>
      <c r="AL339" s="263"/>
      <c r="AM339" s="263"/>
      <c r="AN339" s="259"/>
    </row>
    <row r="340" spans="1:40" x14ac:dyDescent="0.25">
      <c r="A340" s="258"/>
      <c r="B340" s="259"/>
      <c r="C340" s="259"/>
      <c r="D340" s="260"/>
      <c r="E340" s="260"/>
      <c r="F340" s="260"/>
      <c r="G340" s="260"/>
      <c r="H340" s="259"/>
      <c r="I340" s="259"/>
      <c r="J340" s="259"/>
      <c r="K340" s="260"/>
      <c r="L340" s="258"/>
      <c r="M340" s="410"/>
      <c r="N340" s="261"/>
      <c r="O340" s="258"/>
      <c r="P340" s="258"/>
      <c r="Q340" s="258"/>
      <c r="R340" s="259"/>
      <c r="S340" s="259"/>
      <c r="T340" s="259"/>
      <c r="U340" s="259"/>
      <c r="V340" s="268"/>
      <c r="W340" s="263"/>
      <c r="X340" s="263"/>
      <c r="Y340" s="263"/>
      <c r="Z340" s="263"/>
      <c r="AA340" s="263"/>
      <c r="AB340" s="263"/>
      <c r="AC340" s="263"/>
      <c r="AD340" s="263"/>
      <c r="AE340" s="263"/>
      <c r="AF340" s="263"/>
      <c r="AG340" s="263"/>
      <c r="AH340" s="263"/>
      <c r="AI340" s="263"/>
      <c r="AJ340" s="263"/>
      <c r="AK340" s="263"/>
      <c r="AL340" s="263"/>
      <c r="AM340" s="263"/>
      <c r="AN340" s="259"/>
    </row>
    <row r="341" spans="1:40" x14ac:dyDescent="0.25">
      <c r="A341" s="258"/>
      <c r="B341" s="259"/>
      <c r="C341" s="259"/>
      <c r="D341" s="260"/>
      <c r="E341" s="260"/>
      <c r="F341" s="260"/>
      <c r="G341" s="260"/>
      <c r="H341" s="259"/>
      <c r="I341" s="259"/>
      <c r="J341" s="259"/>
      <c r="K341" s="260"/>
      <c r="L341" s="258"/>
      <c r="M341" s="410"/>
      <c r="N341" s="261"/>
      <c r="O341" s="258"/>
      <c r="P341" s="258"/>
      <c r="Q341" s="258"/>
      <c r="R341" s="259"/>
      <c r="S341" s="259"/>
      <c r="T341" s="259"/>
      <c r="U341" s="259"/>
      <c r="V341" s="268"/>
      <c r="W341" s="263"/>
      <c r="X341" s="263"/>
      <c r="Y341" s="263"/>
      <c r="Z341" s="263"/>
      <c r="AA341" s="263"/>
      <c r="AB341" s="263"/>
      <c r="AC341" s="263"/>
      <c r="AD341" s="263"/>
      <c r="AE341" s="263"/>
      <c r="AF341" s="263"/>
      <c r="AG341" s="263"/>
      <c r="AH341" s="263"/>
      <c r="AI341" s="263"/>
      <c r="AJ341" s="263"/>
      <c r="AK341" s="263"/>
      <c r="AL341" s="263"/>
      <c r="AM341" s="263"/>
      <c r="AN341" s="259"/>
    </row>
    <row r="342" spans="1:40" x14ac:dyDescent="0.25">
      <c r="A342" s="258"/>
      <c r="B342" s="259"/>
      <c r="C342" s="259"/>
      <c r="D342" s="260"/>
      <c r="E342" s="260"/>
      <c r="F342" s="260"/>
      <c r="G342" s="260"/>
      <c r="H342" s="259"/>
      <c r="I342" s="259"/>
      <c r="J342" s="259"/>
      <c r="K342" s="260"/>
      <c r="L342" s="258"/>
      <c r="M342" s="410"/>
      <c r="N342" s="261"/>
      <c r="O342" s="258"/>
      <c r="P342" s="258"/>
      <c r="Q342" s="258"/>
      <c r="R342" s="259"/>
      <c r="S342" s="259"/>
      <c r="T342" s="259"/>
      <c r="U342" s="259"/>
      <c r="V342" s="268"/>
      <c r="W342" s="263"/>
      <c r="X342" s="263"/>
      <c r="Y342" s="263"/>
      <c r="Z342" s="263"/>
      <c r="AA342" s="263"/>
      <c r="AB342" s="263"/>
      <c r="AC342" s="263"/>
      <c r="AD342" s="263"/>
      <c r="AE342" s="263"/>
      <c r="AF342" s="263"/>
      <c r="AG342" s="263"/>
      <c r="AH342" s="263"/>
      <c r="AI342" s="263"/>
      <c r="AJ342" s="263"/>
      <c r="AK342" s="263"/>
      <c r="AL342" s="263"/>
      <c r="AM342" s="263"/>
      <c r="AN342" s="259"/>
    </row>
    <row r="343" spans="1:40" x14ac:dyDescent="0.25">
      <c r="A343" s="258"/>
      <c r="B343" s="259"/>
      <c r="C343" s="259"/>
      <c r="D343" s="260"/>
      <c r="E343" s="260"/>
      <c r="F343" s="260"/>
      <c r="G343" s="260"/>
      <c r="H343" s="259"/>
      <c r="I343" s="259"/>
      <c r="J343" s="259"/>
      <c r="K343" s="260"/>
      <c r="L343" s="258"/>
      <c r="M343" s="410"/>
      <c r="N343" s="261"/>
      <c r="O343" s="258"/>
      <c r="P343" s="258"/>
      <c r="Q343" s="258"/>
      <c r="R343" s="259"/>
      <c r="S343" s="259"/>
      <c r="T343" s="259"/>
      <c r="U343" s="259"/>
      <c r="V343" s="268"/>
      <c r="W343" s="263"/>
      <c r="X343" s="263"/>
      <c r="Y343" s="263"/>
      <c r="Z343" s="263"/>
      <c r="AA343" s="263"/>
      <c r="AB343" s="263"/>
      <c r="AC343" s="263"/>
      <c r="AD343" s="263"/>
      <c r="AE343" s="263"/>
      <c r="AF343" s="263"/>
      <c r="AG343" s="263"/>
      <c r="AH343" s="263"/>
      <c r="AI343" s="263"/>
      <c r="AJ343" s="263"/>
      <c r="AK343" s="263"/>
      <c r="AL343" s="263"/>
      <c r="AM343" s="263"/>
      <c r="AN343" s="259"/>
    </row>
    <row r="344" spans="1:40" x14ac:dyDescent="0.25">
      <c r="A344" s="258"/>
      <c r="B344" s="259"/>
      <c r="C344" s="259"/>
      <c r="D344" s="260"/>
      <c r="E344" s="260"/>
      <c r="F344" s="260"/>
      <c r="G344" s="260"/>
      <c r="H344" s="259"/>
      <c r="I344" s="259"/>
      <c r="J344" s="259"/>
      <c r="K344" s="260"/>
      <c r="L344" s="258"/>
      <c r="M344" s="410"/>
      <c r="N344" s="261"/>
      <c r="O344" s="258"/>
      <c r="P344" s="258"/>
      <c r="Q344" s="258"/>
      <c r="R344" s="259"/>
      <c r="S344" s="259"/>
      <c r="T344" s="259"/>
      <c r="U344" s="259"/>
      <c r="V344" s="268"/>
      <c r="W344" s="263"/>
      <c r="X344" s="263"/>
      <c r="Y344" s="263"/>
      <c r="Z344" s="263"/>
      <c r="AA344" s="263"/>
      <c r="AB344" s="263"/>
      <c r="AC344" s="263"/>
      <c r="AD344" s="263"/>
      <c r="AE344" s="263"/>
      <c r="AF344" s="263"/>
      <c r="AG344" s="263"/>
      <c r="AH344" s="263"/>
      <c r="AI344" s="263"/>
      <c r="AJ344" s="263"/>
      <c r="AK344" s="263"/>
      <c r="AL344" s="263"/>
      <c r="AM344" s="263"/>
      <c r="AN344" s="259"/>
    </row>
    <row r="345" spans="1:40" x14ac:dyDescent="0.25">
      <c r="A345" s="258"/>
      <c r="B345" s="259"/>
      <c r="C345" s="259"/>
      <c r="D345" s="260"/>
      <c r="E345" s="260"/>
      <c r="F345" s="260"/>
      <c r="G345" s="260"/>
      <c r="H345" s="259"/>
      <c r="I345" s="259"/>
      <c r="J345" s="259"/>
      <c r="K345" s="260"/>
      <c r="L345" s="258"/>
      <c r="M345" s="410"/>
      <c r="N345" s="261"/>
      <c r="O345" s="258"/>
      <c r="P345" s="258"/>
      <c r="Q345" s="258"/>
      <c r="R345" s="259"/>
      <c r="S345" s="259"/>
      <c r="T345" s="259"/>
      <c r="U345" s="259"/>
      <c r="V345" s="268"/>
      <c r="W345" s="263"/>
      <c r="X345" s="263"/>
      <c r="Y345" s="263"/>
      <c r="Z345" s="263"/>
      <c r="AA345" s="263"/>
      <c r="AB345" s="263"/>
      <c r="AC345" s="263"/>
      <c r="AD345" s="263"/>
      <c r="AE345" s="263"/>
      <c r="AF345" s="263"/>
      <c r="AG345" s="263"/>
      <c r="AH345" s="263"/>
      <c r="AI345" s="263"/>
      <c r="AJ345" s="263"/>
      <c r="AK345" s="263"/>
      <c r="AL345" s="263"/>
      <c r="AM345" s="263"/>
      <c r="AN345" s="259"/>
    </row>
    <row r="346" spans="1:40" x14ac:dyDescent="0.25">
      <c r="A346" s="258"/>
      <c r="B346" s="259"/>
      <c r="C346" s="259"/>
      <c r="D346" s="260"/>
      <c r="E346" s="260"/>
      <c r="F346" s="260"/>
      <c r="G346" s="260"/>
      <c r="H346" s="259"/>
      <c r="I346" s="259"/>
      <c r="J346" s="259"/>
      <c r="K346" s="260"/>
      <c r="L346" s="258"/>
      <c r="M346" s="410"/>
      <c r="N346" s="261"/>
      <c r="O346" s="258"/>
      <c r="P346" s="258"/>
      <c r="Q346" s="258"/>
      <c r="R346" s="259"/>
      <c r="S346" s="259"/>
      <c r="T346" s="259"/>
      <c r="U346" s="259"/>
      <c r="V346" s="268"/>
      <c r="W346" s="263"/>
      <c r="X346" s="263"/>
      <c r="Y346" s="263"/>
      <c r="Z346" s="263"/>
      <c r="AA346" s="263"/>
      <c r="AB346" s="263"/>
      <c r="AC346" s="263"/>
      <c r="AD346" s="263"/>
      <c r="AE346" s="263"/>
      <c r="AF346" s="263"/>
      <c r="AG346" s="263"/>
      <c r="AH346" s="263"/>
      <c r="AI346" s="263"/>
      <c r="AJ346" s="263"/>
      <c r="AK346" s="263"/>
      <c r="AL346" s="263"/>
      <c r="AM346" s="263"/>
      <c r="AN346" s="259"/>
    </row>
    <row r="347" spans="1:40" x14ac:dyDescent="0.25">
      <c r="A347" s="258"/>
      <c r="B347" s="259"/>
      <c r="C347" s="259"/>
      <c r="D347" s="260"/>
      <c r="E347" s="260"/>
      <c r="F347" s="260"/>
      <c r="G347" s="260"/>
      <c r="H347" s="259"/>
      <c r="I347" s="259"/>
      <c r="J347" s="259"/>
      <c r="K347" s="260"/>
      <c r="L347" s="258"/>
      <c r="M347" s="410"/>
      <c r="N347" s="261"/>
      <c r="O347" s="258"/>
      <c r="P347" s="258"/>
      <c r="Q347" s="258"/>
      <c r="R347" s="259"/>
      <c r="S347" s="259"/>
      <c r="T347" s="259"/>
      <c r="U347" s="259"/>
      <c r="V347" s="268"/>
      <c r="W347" s="263"/>
      <c r="X347" s="263"/>
      <c r="Y347" s="263"/>
      <c r="Z347" s="263"/>
      <c r="AA347" s="263"/>
      <c r="AB347" s="263"/>
      <c r="AC347" s="263"/>
      <c r="AD347" s="263"/>
      <c r="AE347" s="263"/>
      <c r="AF347" s="263"/>
      <c r="AG347" s="263"/>
      <c r="AH347" s="263"/>
      <c r="AI347" s="263"/>
      <c r="AJ347" s="263"/>
      <c r="AK347" s="263"/>
      <c r="AL347" s="263"/>
      <c r="AM347" s="263"/>
      <c r="AN347" s="259"/>
    </row>
    <row r="348" spans="1:40" x14ac:dyDescent="0.25">
      <c r="A348" s="258"/>
      <c r="B348" s="259"/>
      <c r="C348" s="259"/>
      <c r="D348" s="260"/>
      <c r="E348" s="260"/>
      <c r="F348" s="260"/>
      <c r="G348" s="260"/>
      <c r="H348" s="259"/>
      <c r="I348" s="259"/>
      <c r="J348" s="259"/>
      <c r="K348" s="260"/>
      <c r="L348" s="258"/>
      <c r="M348" s="410"/>
      <c r="N348" s="261"/>
      <c r="O348" s="258"/>
      <c r="P348" s="258"/>
      <c r="Q348" s="258"/>
      <c r="R348" s="259"/>
      <c r="S348" s="259"/>
      <c r="T348" s="259"/>
      <c r="U348" s="259"/>
      <c r="V348" s="268"/>
      <c r="W348" s="263"/>
      <c r="X348" s="263"/>
      <c r="Y348" s="263"/>
      <c r="Z348" s="263"/>
      <c r="AA348" s="263"/>
      <c r="AB348" s="263"/>
      <c r="AC348" s="263"/>
      <c r="AD348" s="263"/>
      <c r="AE348" s="263"/>
      <c r="AF348" s="263"/>
      <c r="AG348" s="263"/>
      <c r="AH348" s="263"/>
      <c r="AI348" s="263"/>
      <c r="AJ348" s="263"/>
      <c r="AK348" s="263"/>
      <c r="AL348" s="263"/>
      <c r="AM348" s="263"/>
      <c r="AN348" s="259"/>
    </row>
    <row r="349" spans="1:40" x14ac:dyDescent="0.25">
      <c r="A349" s="258"/>
      <c r="B349" s="259"/>
      <c r="C349" s="259"/>
      <c r="D349" s="260"/>
      <c r="E349" s="260"/>
      <c r="F349" s="260"/>
      <c r="G349" s="260"/>
      <c r="H349" s="259"/>
      <c r="I349" s="259"/>
      <c r="J349" s="259"/>
      <c r="K349" s="260"/>
      <c r="L349" s="258"/>
      <c r="M349" s="410"/>
      <c r="N349" s="261"/>
      <c r="O349" s="258"/>
      <c r="P349" s="258"/>
      <c r="Q349" s="258"/>
      <c r="R349" s="259"/>
      <c r="S349" s="259"/>
      <c r="T349" s="259"/>
      <c r="U349" s="259"/>
      <c r="V349" s="268"/>
      <c r="W349" s="263"/>
      <c r="X349" s="263"/>
      <c r="Y349" s="263"/>
      <c r="Z349" s="263"/>
      <c r="AA349" s="263"/>
      <c r="AB349" s="263"/>
      <c r="AC349" s="263"/>
      <c r="AD349" s="263"/>
      <c r="AE349" s="263"/>
      <c r="AF349" s="263"/>
      <c r="AG349" s="263"/>
      <c r="AH349" s="263"/>
      <c r="AI349" s="263"/>
      <c r="AJ349" s="263"/>
      <c r="AK349" s="263"/>
      <c r="AL349" s="263"/>
      <c r="AM349" s="263"/>
      <c r="AN349" s="259"/>
    </row>
    <row r="350" spans="1:40" x14ac:dyDescent="0.25">
      <c r="A350" s="258"/>
      <c r="B350" s="259"/>
      <c r="C350" s="259"/>
      <c r="D350" s="260"/>
      <c r="E350" s="260"/>
      <c r="F350" s="260"/>
      <c r="G350" s="260"/>
      <c r="H350" s="259"/>
      <c r="I350" s="259"/>
      <c r="J350" s="259"/>
      <c r="K350" s="260"/>
      <c r="L350" s="258"/>
      <c r="M350" s="410"/>
      <c r="N350" s="261"/>
      <c r="O350" s="258"/>
      <c r="P350" s="258"/>
      <c r="Q350" s="258"/>
      <c r="R350" s="259"/>
      <c r="S350" s="259"/>
      <c r="T350" s="259"/>
      <c r="U350" s="259"/>
      <c r="V350" s="268"/>
      <c r="W350" s="263"/>
      <c r="X350" s="263"/>
      <c r="Y350" s="263"/>
      <c r="Z350" s="263"/>
      <c r="AA350" s="263"/>
      <c r="AB350" s="263"/>
      <c r="AC350" s="263"/>
      <c r="AD350" s="263"/>
      <c r="AE350" s="263"/>
      <c r="AF350" s="263"/>
      <c r="AG350" s="263"/>
      <c r="AH350" s="263"/>
      <c r="AI350" s="263"/>
      <c r="AJ350" s="263"/>
      <c r="AK350" s="263"/>
      <c r="AL350" s="263"/>
      <c r="AM350" s="263"/>
      <c r="AN350" s="259"/>
    </row>
    <row r="351" spans="1:40" x14ac:dyDescent="0.25">
      <c r="A351" s="258"/>
      <c r="B351" s="259"/>
      <c r="C351" s="259"/>
      <c r="D351" s="260"/>
      <c r="E351" s="260"/>
      <c r="F351" s="260"/>
      <c r="G351" s="260"/>
      <c r="H351" s="259"/>
      <c r="I351" s="259"/>
      <c r="J351" s="259"/>
      <c r="K351" s="260"/>
      <c r="L351" s="258"/>
      <c r="M351" s="410"/>
      <c r="N351" s="261"/>
      <c r="O351" s="258"/>
      <c r="P351" s="258"/>
      <c r="Q351" s="258"/>
      <c r="R351" s="259"/>
      <c r="S351" s="259"/>
      <c r="T351" s="259"/>
      <c r="U351" s="259"/>
      <c r="V351" s="268"/>
      <c r="W351" s="263"/>
      <c r="X351" s="263"/>
      <c r="Y351" s="263"/>
      <c r="Z351" s="263"/>
      <c r="AA351" s="263"/>
      <c r="AB351" s="263"/>
      <c r="AC351" s="263"/>
      <c r="AD351" s="263"/>
      <c r="AE351" s="263"/>
      <c r="AF351" s="263"/>
      <c r="AG351" s="263"/>
      <c r="AH351" s="263"/>
      <c r="AI351" s="263"/>
      <c r="AJ351" s="263"/>
      <c r="AK351" s="263"/>
      <c r="AL351" s="263"/>
      <c r="AM351" s="263"/>
      <c r="AN351" s="259"/>
    </row>
    <row r="352" spans="1:40" x14ac:dyDescent="0.25">
      <c r="A352" s="258"/>
      <c r="B352" s="259"/>
      <c r="C352" s="259"/>
      <c r="D352" s="260"/>
      <c r="E352" s="260"/>
      <c r="F352" s="260"/>
      <c r="G352" s="260"/>
      <c r="H352" s="259"/>
      <c r="I352" s="259"/>
      <c r="J352" s="259"/>
      <c r="K352" s="260"/>
      <c r="L352" s="258"/>
      <c r="M352" s="410"/>
      <c r="N352" s="261"/>
      <c r="O352" s="258"/>
      <c r="P352" s="258"/>
      <c r="Q352" s="258"/>
      <c r="R352" s="259"/>
      <c r="S352" s="259"/>
      <c r="T352" s="259"/>
      <c r="U352" s="259"/>
      <c r="V352" s="268"/>
      <c r="W352" s="263"/>
      <c r="X352" s="263"/>
      <c r="Y352" s="263"/>
      <c r="Z352" s="263"/>
      <c r="AA352" s="263"/>
      <c r="AB352" s="263"/>
      <c r="AC352" s="263"/>
      <c r="AD352" s="263"/>
      <c r="AE352" s="263"/>
      <c r="AF352" s="263"/>
      <c r="AG352" s="263"/>
      <c r="AH352" s="263"/>
      <c r="AI352" s="263"/>
      <c r="AJ352" s="263"/>
      <c r="AK352" s="263"/>
      <c r="AL352" s="263"/>
      <c r="AM352" s="263"/>
      <c r="AN352" s="259"/>
    </row>
    <row r="353" spans="1:40" x14ac:dyDescent="0.25">
      <c r="A353" s="258"/>
      <c r="B353" s="259"/>
      <c r="C353" s="259"/>
      <c r="D353" s="260"/>
      <c r="E353" s="260"/>
      <c r="F353" s="260"/>
      <c r="G353" s="260"/>
      <c r="H353" s="259"/>
      <c r="I353" s="259"/>
      <c r="J353" s="259"/>
      <c r="K353" s="260"/>
      <c r="L353" s="258"/>
      <c r="M353" s="410"/>
      <c r="N353" s="261"/>
      <c r="O353" s="258"/>
      <c r="P353" s="258"/>
      <c r="Q353" s="258"/>
      <c r="R353" s="259"/>
      <c r="S353" s="259"/>
      <c r="T353" s="259"/>
      <c r="U353" s="259"/>
      <c r="V353" s="268"/>
      <c r="W353" s="263"/>
      <c r="X353" s="263"/>
      <c r="Y353" s="263"/>
      <c r="Z353" s="263"/>
      <c r="AA353" s="263"/>
      <c r="AB353" s="263"/>
      <c r="AC353" s="263"/>
      <c r="AD353" s="263"/>
      <c r="AE353" s="263"/>
      <c r="AF353" s="263"/>
      <c r="AG353" s="263"/>
      <c r="AH353" s="263"/>
      <c r="AI353" s="263"/>
      <c r="AJ353" s="263"/>
      <c r="AK353" s="263"/>
      <c r="AL353" s="263"/>
      <c r="AM353" s="263"/>
      <c r="AN353" s="259"/>
    </row>
    <row r="354" spans="1:40" x14ac:dyDescent="0.25">
      <c r="A354" s="258"/>
      <c r="B354" s="259"/>
      <c r="C354" s="259"/>
      <c r="D354" s="260"/>
      <c r="E354" s="260"/>
      <c r="F354" s="260"/>
      <c r="G354" s="260"/>
      <c r="H354" s="259"/>
      <c r="I354" s="259"/>
      <c r="J354" s="259"/>
      <c r="K354" s="260"/>
      <c r="L354" s="258"/>
      <c r="M354" s="410"/>
      <c r="N354" s="261"/>
      <c r="O354" s="258"/>
      <c r="P354" s="258"/>
      <c r="Q354" s="258"/>
      <c r="R354" s="259"/>
      <c r="S354" s="259"/>
      <c r="T354" s="259"/>
      <c r="U354" s="259"/>
      <c r="V354" s="268"/>
      <c r="W354" s="263"/>
      <c r="X354" s="263"/>
      <c r="Y354" s="263"/>
      <c r="Z354" s="263"/>
      <c r="AA354" s="263"/>
      <c r="AB354" s="263"/>
      <c r="AC354" s="263"/>
      <c r="AD354" s="263"/>
      <c r="AE354" s="263"/>
      <c r="AF354" s="263"/>
      <c r="AG354" s="263"/>
      <c r="AH354" s="263"/>
      <c r="AI354" s="263"/>
      <c r="AJ354" s="263"/>
      <c r="AK354" s="263"/>
      <c r="AL354" s="263"/>
      <c r="AM354" s="263"/>
      <c r="AN354" s="259"/>
    </row>
    <row r="355" spans="1:40" x14ac:dyDescent="0.25">
      <c r="A355" s="258"/>
      <c r="B355" s="259"/>
      <c r="C355" s="259"/>
      <c r="D355" s="260"/>
      <c r="E355" s="260"/>
      <c r="F355" s="260"/>
      <c r="G355" s="260"/>
      <c r="H355" s="259"/>
      <c r="I355" s="259"/>
      <c r="J355" s="259"/>
      <c r="K355" s="260"/>
      <c r="L355" s="258"/>
      <c r="M355" s="410"/>
      <c r="N355" s="261"/>
      <c r="O355" s="258"/>
      <c r="P355" s="258"/>
      <c r="Q355" s="258"/>
      <c r="R355" s="259"/>
      <c r="S355" s="259"/>
      <c r="T355" s="259"/>
      <c r="U355" s="259"/>
      <c r="V355" s="268"/>
      <c r="W355" s="263"/>
      <c r="X355" s="263"/>
      <c r="Y355" s="263"/>
      <c r="Z355" s="263"/>
      <c r="AA355" s="263"/>
      <c r="AB355" s="263"/>
      <c r="AC355" s="263"/>
      <c r="AD355" s="263"/>
      <c r="AE355" s="263"/>
      <c r="AF355" s="263"/>
      <c r="AG355" s="263"/>
      <c r="AH355" s="263"/>
      <c r="AI355" s="263"/>
      <c r="AJ355" s="263"/>
      <c r="AK355" s="263"/>
      <c r="AL355" s="263"/>
      <c r="AM355" s="263"/>
      <c r="AN355" s="259"/>
    </row>
    <row r="356" spans="1:40" x14ac:dyDescent="0.25">
      <c r="A356" s="258"/>
      <c r="B356" s="259"/>
      <c r="C356" s="259"/>
      <c r="D356" s="260"/>
      <c r="E356" s="260"/>
      <c r="F356" s="260"/>
      <c r="G356" s="260"/>
      <c r="H356" s="259"/>
      <c r="I356" s="259"/>
      <c r="J356" s="259"/>
      <c r="K356" s="260"/>
      <c r="L356" s="258"/>
      <c r="M356" s="410"/>
      <c r="N356" s="261"/>
      <c r="O356" s="258"/>
      <c r="P356" s="258"/>
      <c r="Q356" s="258"/>
      <c r="R356" s="259"/>
      <c r="S356" s="259"/>
      <c r="T356" s="259"/>
      <c r="U356" s="259"/>
      <c r="V356" s="268"/>
      <c r="W356" s="263"/>
      <c r="X356" s="263"/>
      <c r="Y356" s="263"/>
      <c r="Z356" s="263"/>
      <c r="AA356" s="263"/>
      <c r="AB356" s="263"/>
      <c r="AC356" s="263"/>
      <c r="AD356" s="263"/>
      <c r="AE356" s="263"/>
      <c r="AF356" s="263"/>
      <c r="AG356" s="263"/>
      <c r="AH356" s="263"/>
      <c r="AI356" s="263"/>
      <c r="AJ356" s="263"/>
      <c r="AK356" s="263"/>
      <c r="AL356" s="263"/>
      <c r="AM356" s="263"/>
      <c r="AN356" s="259"/>
    </row>
    <row r="357" spans="1:40" x14ac:dyDescent="0.25">
      <c r="A357" s="258"/>
      <c r="B357" s="259"/>
      <c r="C357" s="259"/>
      <c r="D357" s="260"/>
      <c r="E357" s="260"/>
      <c r="F357" s="260"/>
      <c r="G357" s="260"/>
      <c r="H357" s="259"/>
      <c r="I357" s="259"/>
      <c r="J357" s="259"/>
      <c r="K357" s="260"/>
      <c r="L357" s="258"/>
      <c r="M357" s="410"/>
      <c r="N357" s="261"/>
      <c r="O357" s="258"/>
      <c r="P357" s="258"/>
      <c r="Q357" s="258"/>
      <c r="R357" s="259"/>
      <c r="S357" s="259"/>
      <c r="T357" s="259"/>
      <c r="U357" s="259"/>
      <c r="V357" s="268"/>
      <c r="W357" s="263"/>
      <c r="X357" s="263"/>
      <c r="Y357" s="263"/>
      <c r="Z357" s="263"/>
      <c r="AA357" s="263"/>
      <c r="AB357" s="263"/>
      <c r="AC357" s="263"/>
      <c r="AD357" s="263"/>
      <c r="AE357" s="263"/>
      <c r="AF357" s="263"/>
      <c r="AG357" s="263"/>
      <c r="AH357" s="263"/>
      <c r="AI357" s="263"/>
      <c r="AJ357" s="263"/>
      <c r="AK357" s="263"/>
      <c r="AL357" s="263"/>
      <c r="AM357" s="263"/>
      <c r="AN357" s="259"/>
    </row>
    <row r="358" spans="1:40" x14ac:dyDescent="0.25">
      <c r="A358" s="258"/>
      <c r="B358" s="259"/>
      <c r="C358" s="259"/>
      <c r="D358" s="260"/>
      <c r="E358" s="260"/>
      <c r="F358" s="260"/>
      <c r="G358" s="260"/>
      <c r="H358" s="259"/>
      <c r="I358" s="259"/>
      <c r="J358" s="259"/>
      <c r="K358" s="260"/>
      <c r="L358" s="258"/>
      <c r="M358" s="410"/>
      <c r="N358" s="261"/>
      <c r="O358" s="258"/>
      <c r="P358" s="258"/>
      <c r="Q358" s="258"/>
      <c r="R358" s="259"/>
      <c r="S358" s="259"/>
      <c r="T358" s="259"/>
      <c r="U358" s="259"/>
      <c r="V358" s="268"/>
      <c r="W358" s="263"/>
      <c r="X358" s="263"/>
      <c r="Y358" s="263"/>
      <c r="Z358" s="263"/>
      <c r="AA358" s="263"/>
      <c r="AB358" s="263"/>
      <c r="AC358" s="263"/>
      <c r="AD358" s="263"/>
      <c r="AE358" s="263"/>
      <c r="AF358" s="263"/>
      <c r="AG358" s="263"/>
      <c r="AH358" s="263"/>
      <c r="AI358" s="263"/>
      <c r="AJ358" s="263"/>
      <c r="AK358" s="263"/>
      <c r="AL358" s="263"/>
      <c r="AM358" s="263"/>
      <c r="AN358" s="259"/>
    </row>
    <row r="359" spans="1:40" x14ac:dyDescent="0.25">
      <c r="A359" s="258"/>
      <c r="B359" s="259"/>
      <c r="C359" s="259"/>
      <c r="D359" s="260"/>
      <c r="E359" s="260"/>
      <c r="F359" s="260"/>
      <c r="G359" s="260"/>
      <c r="H359" s="259"/>
      <c r="I359" s="259"/>
      <c r="J359" s="259"/>
      <c r="K359" s="260"/>
      <c r="L359" s="258"/>
      <c r="M359" s="410"/>
      <c r="N359" s="261"/>
      <c r="O359" s="258"/>
      <c r="P359" s="258"/>
      <c r="Q359" s="258"/>
      <c r="R359" s="259"/>
      <c r="S359" s="259"/>
      <c r="T359" s="259"/>
      <c r="U359" s="259"/>
      <c r="V359" s="268"/>
      <c r="W359" s="263"/>
      <c r="X359" s="263"/>
      <c r="Y359" s="263"/>
      <c r="Z359" s="263"/>
      <c r="AA359" s="263"/>
      <c r="AB359" s="263"/>
      <c r="AC359" s="263"/>
      <c r="AD359" s="263"/>
      <c r="AE359" s="263"/>
      <c r="AF359" s="263"/>
      <c r="AG359" s="263"/>
      <c r="AH359" s="263"/>
      <c r="AI359" s="263"/>
      <c r="AJ359" s="263"/>
      <c r="AK359" s="263"/>
      <c r="AL359" s="263"/>
      <c r="AM359" s="263"/>
      <c r="AN359" s="259"/>
    </row>
    <row r="360" spans="1:40" x14ac:dyDescent="0.25">
      <c r="A360" s="258"/>
      <c r="B360" s="259"/>
      <c r="C360" s="259"/>
      <c r="D360" s="260"/>
      <c r="E360" s="260"/>
      <c r="F360" s="260"/>
      <c r="G360" s="260"/>
      <c r="H360" s="259"/>
      <c r="I360" s="259"/>
      <c r="J360" s="259"/>
      <c r="K360" s="260"/>
      <c r="L360" s="258"/>
      <c r="M360" s="410"/>
      <c r="N360" s="261"/>
      <c r="O360" s="258"/>
      <c r="P360" s="258"/>
      <c r="Q360" s="258"/>
      <c r="R360" s="259"/>
      <c r="S360" s="259"/>
      <c r="T360" s="259"/>
      <c r="U360" s="259"/>
      <c r="V360" s="268"/>
      <c r="W360" s="263"/>
      <c r="X360" s="263"/>
      <c r="Y360" s="263"/>
      <c r="Z360" s="263"/>
      <c r="AA360" s="263"/>
      <c r="AB360" s="263"/>
      <c r="AC360" s="263"/>
      <c r="AD360" s="263"/>
      <c r="AE360" s="263"/>
      <c r="AF360" s="263"/>
      <c r="AG360" s="263"/>
      <c r="AH360" s="263"/>
      <c r="AI360" s="263"/>
      <c r="AJ360" s="263"/>
      <c r="AK360" s="263"/>
      <c r="AL360" s="263"/>
      <c r="AM360" s="263"/>
      <c r="AN360" s="259"/>
    </row>
    <row r="361" spans="1:40" x14ac:dyDescent="0.25">
      <c r="A361" s="258"/>
      <c r="B361" s="259"/>
      <c r="C361" s="259"/>
      <c r="D361" s="260"/>
      <c r="E361" s="260"/>
      <c r="F361" s="260"/>
      <c r="G361" s="260"/>
      <c r="H361" s="259"/>
      <c r="I361" s="259"/>
      <c r="J361" s="259"/>
      <c r="K361" s="260"/>
      <c r="L361" s="258"/>
      <c r="M361" s="410"/>
      <c r="N361" s="261"/>
      <c r="O361" s="258"/>
      <c r="P361" s="258"/>
      <c r="Q361" s="258"/>
      <c r="R361" s="259"/>
      <c r="S361" s="259"/>
      <c r="T361" s="259"/>
      <c r="U361" s="259"/>
      <c r="V361" s="268"/>
      <c r="W361" s="263"/>
      <c r="X361" s="263"/>
      <c r="Y361" s="263"/>
      <c r="Z361" s="263"/>
      <c r="AA361" s="263"/>
      <c r="AB361" s="263"/>
      <c r="AC361" s="263"/>
      <c r="AD361" s="263"/>
      <c r="AE361" s="263"/>
      <c r="AF361" s="263"/>
      <c r="AG361" s="263"/>
      <c r="AH361" s="263"/>
      <c r="AI361" s="263"/>
      <c r="AJ361" s="263"/>
      <c r="AK361" s="263"/>
      <c r="AL361" s="263"/>
      <c r="AM361" s="263"/>
      <c r="AN361" s="259"/>
    </row>
    <row r="362" spans="1:40" x14ac:dyDescent="0.25">
      <c r="A362" s="258"/>
      <c r="B362" s="259"/>
      <c r="C362" s="259"/>
      <c r="D362" s="260"/>
      <c r="E362" s="260"/>
      <c r="F362" s="260"/>
      <c r="G362" s="260"/>
      <c r="H362" s="259"/>
      <c r="I362" s="259"/>
      <c r="J362" s="259"/>
      <c r="K362" s="260"/>
      <c r="L362" s="258"/>
      <c r="M362" s="410"/>
      <c r="N362" s="261"/>
      <c r="O362" s="258"/>
      <c r="P362" s="258"/>
      <c r="Q362" s="258"/>
      <c r="R362" s="259"/>
      <c r="S362" s="259"/>
      <c r="T362" s="259"/>
      <c r="U362" s="259"/>
      <c r="V362" s="268"/>
      <c r="W362" s="263"/>
      <c r="X362" s="263"/>
      <c r="Y362" s="263"/>
      <c r="Z362" s="263"/>
      <c r="AA362" s="263"/>
      <c r="AB362" s="263"/>
      <c r="AC362" s="263"/>
      <c r="AD362" s="263"/>
      <c r="AE362" s="263"/>
      <c r="AF362" s="263"/>
      <c r="AG362" s="263"/>
      <c r="AH362" s="263"/>
      <c r="AI362" s="263"/>
      <c r="AJ362" s="263"/>
      <c r="AK362" s="263"/>
      <c r="AL362" s="263"/>
      <c r="AM362" s="263"/>
      <c r="AN362" s="259"/>
    </row>
    <row r="363" spans="1:40" x14ac:dyDescent="0.25">
      <c r="A363" s="258"/>
      <c r="B363" s="259"/>
      <c r="C363" s="259"/>
      <c r="D363" s="260"/>
      <c r="E363" s="260"/>
      <c r="F363" s="260"/>
      <c r="G363" s="260"/>
      <c r="H363" s="259"/>
      <c r="I363" s="259"/>
      <c r="J363" s="259"/>
      <c r="K363" s="260"/>
      <c r="L363" s="258"/>
      <c r="M363" s="410"/>
      <c r="N363" s="261"/>
      <c r="O363" s="258"/>
      <c r="P363" s="258"/>
      <c r="Q363" s="258"/>
      <c r="R363" s="259"/>
      <c r="S363" s="259"/>
      <c r="T363" s="259"/>
      <c r="U363" s="259"/>
      <c r="V363" s="268"/>
      <c r="W363" s="263"/>
      <c r="X363" s="263"/>
      <c r="Y363" s="263"/>
      <c r="Z363" s="263"/>
      <c r="AA363" s="263"/>
      <c r="AB363" s="263"/>
      <c r="AC363" s="263"/>
      <c r="AD363" s="263"/>
      <c r="AE363" s="263"/>
      <c r="AF363" s="263"/>
      <c r="AG363" s="263"/>
      <c r="AH363" s="263"/>
      <c r="AI363" s="263"/>
      <c r="AJ363" s="263"/>
      <c r="AK363" s="263"/>
      <c r="AL363" s="263"/>
      <c r="AM363" s="263"/>
      <c r="AN363" s="259"/>
    </row>
    <row r="364" spans="1:40" x14ac:dyDescent="0.25">
      <c r="A364" s="258"/>
      <c r="B364" s="259"/>
      <c r="C364" s="259"/>
      <c r="D364" s="260"/>
      <c r="E364" s="260"/>
      <c r="F364" s="260"/>
      <c r="G364" s="260"/>
      <c r="H364" s="259"/>
      <c r="I364" s="259"/>
      <c r="J364" s="259"/>
      <c r="K364" s="260"/>
      <c r="L364" s="258"/>
      <c r="M364" s="410"/>
      <c r="N364" s="261"/>
      <c r="O364" s="258"/>
      <c r="P364" s="258"/>
      <c r="Q364" s="258"/>
      <c r="R364" s="259"/>
      <c r="S364" s="259"/>
      <c r="T364" s="259"/>
      <c r="U364" s="259"/>
      <c r="V364" s="268"/>
      <c r="W364" s="263"/>
      <c r="X364" s="263"/>
      <c r="Y364" s="263"/>
      <c r="Z364" s="263"/>
      <c r="AA364" s="263"/>
      <c r="AB364" s="263"/>
      <c r="AC364" s="263"/>
      <c r="AD364" s="263"/>
      <c r="AE364" s="263"/>
      <c r="AF364" s="263"/>
      <c r="AG364" s="263"/>
      <c r="AH364" s="263"/>
      <c r="AI364" s="263"/>
      <c r="AJ364" s="263"/>
      <c r="AK364" s="263"/>
      <c r="AL364" s="263"/>
      <c r="AM364" s="263"/>
      <c r="AN364" s="259"/>
    </row>
    <row r="365" spans="1:40" x14ac:dyDescent="0.25">
      <c r="A365" s="258"/>
      <c r="B365" s="259"/>
      <c r="C365" s="259"/>
      <c r="D365" s="260"/>
      <c r="E365" s="260"/>
      <c r="F365" s="260"/>
      <c r="G365" s="260"/>
      <c r="H365" s="259"/>
      <c r="I365" s="259"/>
      <c r="J365" s="259"/>
      <c r="K365" s="260"/>
      <c r="L365" s="258"/>
      <c r="M365" s="410"/>
      <c r="N365" s="261"/>
      <c r="O365" s="258"/>
      <c r="P365" s="258"/>
      <c r="Q365" s="258"/>
      <c r="R365" s="259"/>
      <c r="S365" s="259"/>
      <c r="T365" s="259"/>
      <c r="U365" s="259"/>
      <c r="V365" s="268"/>
      <c r="W365" s="263"/>
      <c r="X365" s="263"/>
      <c r="Y365" s="263"/>
      <c r="Z365" s="263"/>
      <c r="AA365" s="263"/>
      <c r="AB365" s="263"/>
      <c r="AC365" s="263"/>
      <c r="AD365" s="263"/>
      <c r="AE365" s="263"/>
      <c r="AF365" s="263"/>
      <c r="AG365" s="263"/>
      <c r="AH365" s="263"/>
      <c r="AI365" s="263"/>
      <c r="AJ365" s="263"/>
      <c r="AK365" s="263"/>
      <c r="AL365" s="263"/>
      <c r="AM365" s="263"/>
      <c r="AN365" s="259"/>
    </row>
    <row r="366" spans="1:40" x14ac:dyDescent="0.25">
      <c r="A366" s="258"/>
      <c r="B366" s="259"/>
      <c r="C366" s="259"/>
      <c r="D366" s="260"/>
      <c r="E366" s="260"/>
      <c r="F366" s="260"/>
      <c r="G366" s="260"/>
      <c r="H366" s="259"/>
      <c r="I366" s="259"/>
      <c r="J366" s="259"/>
      <c r="K366" s="260"/>
      <c r="L366" s="258"/>
      <c r="M366" s="410"/>
      <c r="N366" s="261"/>
      <c r="O366" s="258"/>
      <c r="P366" s="258"/>
      <c r="Q366" s="258"/>
      <c r="R366" s="259"/>
      <c r="S366" s="259"/>
      <c r="T366" s="259"/>
      <c r="U366" s="259"/>
      <c r="V366" s="268"/>
      <c r="W366" s="263"/>
      <c r="X366" s="263"/>
      <c r="Y366" s="263"/>
      <c r="Z366" s="263"/>
      <c r="AA366" s="263"/>
      <c r="AB366" s="263"/>
      <c r="AC366" s="263"/>
      <c r="AD366" s="263"/>
      <c r="AE366" s="263"/>
      <c r="AF366" s="263"/>
      <c r="AG366" s="263"/>
      <c r="AH366" s="263"/>
      <c r="AI366" s="263"/>
      <c r="AJ366" s="263"/>
      <c r="AK366" s="263"/>
      <c r="AL366" s="263"/>
      <c r="AM366" s="263"/>
      <c r="AN366" s="259"/>
    </row>
    <row r="367" spans="1:40" x14ac:dyDescent="0.25">
      <c r="A367" s="258"/>
      <c r="B367" s="259"/>
      <c r="C367" s="259"/>
      <c r="D367" s="260"/>
      <c r="E367" s="260"/>
      <c r="F367" s="260"/>
      <c r="G367" s="260"/>
      <c r="H367" s="259"/>
      <c r="I367" s="259"/>
      <c r="J367" s="259"/>
      <c r="K367" s="260"/>
      <c r="L367" s="258"/>
      <c r="M367" s="410"/>
      <c r="N367" s="261"/>
      <c r="O367" s="258"/>
      <c r="P367" s="258"/>
      <c r="Q367" s="258"/>
      <c r="R367" s="259"/>
      <c r="S367" s="259"/>
      <c r="T367" s="259"/>
      <c r="U367" s="259"/>
      <c r="V367" s="268"/>
      <c r="W367" s="263"/>
      <c r="X367" s="263"/>
      <c r="Y367" s="263"/>
      <c r="Z367" s="263"/>
      <c r="AA367" s="263"/>
      <c r="AB367" s="263"/>
      <c r="AC367" s="263"/>
      <c r="AD367" s="263"/>
      <c r="AE367" s="263"/>
      <c r="AF367" s="263"/>
      <c r="AG367" s="263"/>
      <c r="AH367" s="263"/>
      <c r="AI367" s="263"/>
      <c r="AJ367" s="263"/>
      <c r="AK367" s="263"/>
      <c r="AL367" s="263"/>
      <c r="AM367" s="263"/>
      <c r="AN367" s="259"/>
    </row>
    <row r="368" spans="1:40" x14ac:dyDescent="0.25">
      <c r="A368" s="258"/>
      <c r="B368" s="259"/>
      <c r="C368" s="259"/>
      <c r="D368" s="260"/>
      <c r="E368" s="260"/>
      <c r="F368" s="260"/>
      <c r="G368" s="260"/>
      <c r="H368" s="259"/>
      <c r="I368" s="259"/>
      <c r="J368" s="259"/>
      <c r="K368" s="260"/>
      <c r="L368" s="258"/>
      <c r="M368" s="410"/>
      <c r="N368" s="261"/>
      <c r="O368" s="258"/>
      <c r="P368" s="258"/>
      <c r="Q368" s="258"/>
      <c r="R368" s="259"/>
      <c r="S368" s="259"/>
      <c r="T368" s="259"/>
      <c r="U368" s="259"/>
      <c r="V368" s="268"/>
      <c r="W368" s="263"/>
      <c r="X368" s="263"/>
      <c r="Y368" s="263"/>
      <c r="Z368" s="263"/>
      <c r="AA368" s="263"/>
      <c r="AB368" s="263"/>
      <c r="AC368" s="263"/>
      <c r="AD368" s="263"/>
      <c r="AE368" s="263"/>
      <c r="AF368" s="263"/>
      <c r="AG368" s="263"/>
      <c r="AH368" s="263"/>
      <c r="AI368" s="263"/>
      <c r="AJ368" s="263"/>
      <c r="AK368" s="263"/>
      <c r="AL368" s="263"/>
      <c r="AM368" s="263"/>
      <c r="AN368" s="259"/>
    </row>
    <row r="369" spans="1:40" x14ac:dyDescent="0.25">
      <c r="A369" s="258"/>
      <c r="B369" s="259"/>
      <c r="C369" s="259"/>
      <c r="D369" s="260"/>
      <c r="E369" s="260"/>
      <c r="F369" s="260"/>
      <c r="G369" s="260"/>
      <c r="H369" s="259"/>
      <c r="I369" s="259"/>
      <c r="J369" s="259"/>
      <c r="K369" s="260"/>
      <c r="L369" s="258"/>
      <c r="M369" s="410"/>
      <c r="N369" s="261"/>
      <c r="O369" s="258"/>
      <c r="P369" s="258"/>
      <c r="Q369" s="258"/>
      <c r="R369" s="259"/>
      <c r="S369" s="259"/>
      <c r="T369" s="259"/>
      <c r="U369" s="259"/>
      <c r="V369" s="268"/>
      <c r="W369" s="263"/>
      <c r="X369" s="263"/>
      <c r="Y369" s="263"/>
      <c r="Z369" s="263"/>
      <c r="AA369" s="263"/>
      <c r="AB369" s="263"/>
      <c r="AC369" s="263"/>
      <c r="AD369" s="263"/>
      <c r="AE369" s="263"/>
      <c r="AF369" s="263"/>
      <c r="AG369" s="263"/>
      <c r="AH369" s="263"/>
      <c r="AI369" s="263"/>
      <c r="AJ369" s="263"/>
      <c r="AK369" s="263"/>
      <c r="AL369" s="263"/>
      <c r="AM369" s="263"/>
      <c r="AN369" s="259"/>
    </row>
    <row r="370" spans="1:40" x14ac:dyDescent="0.25">
      <c r="A370" s="258"/>
      <c r="B370" s="259"/>
      <c r="C370" s="259"/>
      <c r="D370" s="260"/>
      <c r="E370" s="260"/>
      <c r="F370" s="260"/>
      <c r="G370" s="260"/>
      <c r="H370" s="259"/>
      <c r="I370" s="259"/>
      <c r="J370" s="259"/>
      <c r="K370" s="260"/>
      <c r="L370" s="258"/>
      <c r="M370" s="410"/>
      <c r="N370" s="261"/>
      <c r="O370" s="258"/>
      <c r="P370" s="258"/>
      <c r="Q370" s="258"/>
      <c r="R370" s="259"/>
      <c r="S370" s="259"/>
      <c r="T370" s="259"/>
      <c r="U370" s="259"/>
      <c r="V370" s="268"/>
      <c r="W370" s="263"/>
      <c r="X370" s="263"/>
      <c r="Y370" s="263"/>
      <c r="Z370" s="263"/>
      <c r="AA370" s="263"/>
      <c r="AB370" s="263"/>
      <c r="AC370" s="263"/>
      <c r="AD370" s="263"/>
      <c r="AE370" s="263"/>
      <c r="AF370" s="263"/>
      <c r="AG370" s="263"/>
      <c r="AH370" s="263"/>
      <c r="AI370" s="263"/>
      <c r="AJ370" s="263"/>
      <c r="AK370" s="263"/>
      <c r="AL370" s="263"/>
      <c r="AM370" s="263"/>
      <c r="AN370" s="259"/>
    </row>
    <row r="371" spans="1:40" x14ac:dyDescent="0.25">
      <c r="A371" s="258"/>
      <c r="B371" s="259"/>
      <c r="C371" s="259"/>
      <c r="D371" s="260"/>
      <c r="E371" s="260"/>
      <c r="F371" s="260"/>
      <c r="G371" s="260"/>
      <c r="H371" s="259"/>
      <c r="I371" s="259"/>
      <c r="J371" s="259"/>
      <c r="K371" s="260"/>
      <c r="L371" s="258"/>
      <c r="M371" s="410"/>
      <c r="N371" s="261"/>
      <c r="O371" s="258"/>
      <c r="P371" s="258"/>
      <c r="Q371" s="258"/>
      <c r="R371" s="259"/>
      <c r="S371" s="259"/>
      <c r="T371" s="259"/>
      <c r="U371" s="259"/>
      <c r="V371" s="268"/>
      <c r="W371" s="263"/>
      <c r="X371" s="263"/>
      <c r="Y371" s="263"/>
      <c r="Z371" s="263"/>
      <c r="AA371" s="263"/>
      <c r="AB371" s="263"/>
      <c r="AC371" s="263"/>
      <c r="AD371" s="263"/>
      <c r="AE371" s="263"/>
      <c r="AF371" s="263"/>
      <c r="AG371" s="263"/>
      <c r="AH371" s="263"/>
      <c r="AI371" s="263"/>
      <c r="AJ371" s="263"/>
      <c r="AK371" s="263"/>
      <c r="AL371" s="263"/>
      <c r="AM371" s="263"/>
      <c r="AN371" s="259"/>
    </row>
    <row r="372" spans="1:40" x14ac:dyDescent="0.25">
      <c r="A372" s="258"/>
      <c r="B372" s="259"/>
      <c r="C372" s="259"/>
      <c r="D372" s="260"/>
      <c r="E372" s="260"/>
      <c r="F372" s="260"/>
      <c r="G372" s="260"/>
      <c r="H372" s="259"/>
      <c r="I372" s="259"/>
      <c r="J372" s="259"/>
      <c r="K372" s="260"/>
      <c r="L372" s="258"/>
      <c r="M372" s="410"/>
      <c r="N372" s="261"/>
      <c r="O372" s="258"/>
      <c r="P372" s="258"/>
      <c r="Q372" s="258"/>
      <c r="R372" s="259"/>
      <c r="S372" s="259"/>
      <c r="T372" s="259"/>
      <c r="U372" s="259"/>
      <c r="V372" s="268"/>
      <c r="W372" s="263"/>
      <c r="X372" s="263"/>
      <c r="Y372" s="263"/>
      <c r="Z372" s="263"/>
      <c r="AA372" s="263"/>
      <c r="AB372" s="263"/>
      <c r="AC372" s="263"/>
      <c r="AD372" s="263"/>
      <c r="AE372" s="263"/>
      <c r="AF372" s="263"/>
      <c r="AG372" s="263"/>
      <c r="AH372" s="263"/>
      <c r="AI372" s="263"/>
      <c r="AJ372" s="263"/>
      <c r="AK372" s="263"/>
      <c r="AL372" s="263"/>
      <c r="AM372" s="263"/>
      <c r="AN372" s="259"/>
    </row>
    <row r="373" spans="1:40" x14ac:dyDescent="0.25">
      <c r="A373" s="258"/>
      <c r="B373" s="259"/>
      <c r="C373" s="259"/>
      <c r="D373" s="260"/>
      <c r="E373" s="260"/>
      <c r="F373" s="260"/>
      <c r="G373" s="260"/>
      <c r="H373" s="259"/>
      <c r="I373" s="259"/>
      <c r="J373" s="259"/>
      <c r="K373" s="260"/>
      <c r="L373" s="258"/>
      <c r="M373" s="410"/>
      <c r="N373" s="261"/>
      <c r="O373" s="258"/>
      <c r="P373" s="258"/>
      <c r="Q373" s="258"/>
      <c r="R373" s="259"/>
      <c r="S373" s="259"/>
      <c r="T373" s="259"/>
      <c r="U373" s="259"/>
      <c r="V373" s="268"/>
      <c r="W373" s="263"/>
      <c r="X373" s="263"/>
      <c r="Y373" s="263"/>
      <c r="Z373" s="263"/>
      <c r="AA373" s="263"/>
      <c r="AB373" s="263"/>
      <c r="AC373" s="263"/>
      <c r="AD373" s="263"/>
      <c r="AE373" s="263"/>
      <c r="AF373" s="263"/>
      <c r="AG373" s="263"/>
      <c r="AH373" s="263"/>
      <c r="AI373" s="263"/>
      <c r="AJ373" s="263"/>
      <c r="AK373" s="263"/>
      <c r="AL373" s="263"/>
      <c r="AM373" s="263"/>
      <c r="AN373" s="259"/>
    </row>
    <row r="374" spans="1:40" x14ac:dyDescent="0.25">
      <c r="A374" s="258"/>
      <c r="B374" s="259"/>
      <c r="C374" s="259"/>
      <c r="D374" s="260"/>
      <c r="E374" s="260"/>
      <c r="F374" s="260"/>
      <c r="G374" s="260"/>
      <c r="H374" s="259"/>
      <c r="I374" s="259"/>
      <c r="J374" s="259"/>
      <c r="K374" s="260"/>
      <c r="L374" s="258"/>
      <c r="M374" s="410"/>
      <c r="N374" s="261"/>
      <c r="O374" s="258"/>
      <c r="P374" s="258"/>
      <c r="Q374" s="258"/>
      <c r="R374" s="259"/>
      <c r="S374" s="259"/>
      <c r="T374" s="259"/>
      <c r="U374" s="259"/>
      <c r="V374" s="268"/>
      <c r="W374" s="263"/>
      <c r="X374" s="263"/>
      <c r="Y374" s="263"/>
      <c r="Z374" s="263"/>
      <c r="AA374" s="263"/>
      <c r="AB374" s="263"/>
      <c r="AC374" s="263"/>
      <c r="AD374" s="263"/>
      <c r="AE374" s="263"/>
      <c r="AF374" s="263"/>
      <c r="AG374" s="263"/>
      <c r="AH374" s="263"/>
      <c r="AI374" s="263"/>
      <c r="AJ374" s="263"/>
      <c r="AK374" s="263"/>
      <c r="AL374" s="263"/>
      <c r="AM374" s="263"/>
      <c r="AN374" s="259"/>
    </row>
    <row r="375" spans="1:40" x14ac:dyDescent="0.25">
      <c r="A375" s="258"/>
      <c r="B375" s="259"/>
      <c r="C375" s="259"/>
      <c r="D375" s="260"/>
      <c r="E375" s="260"/>
      <c r="F375" s="260"/>
      <c r="G375" s="260"/>
      <c r="H375" s="259"/>
      <c r="I375" s="259"/>
      <c r="J375" s="259"/>
      <c r="K375" s="260"/>
      <c r="L375" s="258"/>
      <c r="M375" s="410"/>
      <c r="N375" s="261"/>
      <c r="O375" s="258"/>
      <c r="P375" s="258"/>
      <c r="Q375" s="258"/>
      <c r="R375" s="259"/>
      <c r="S375" s="259"/>
      <c r="T375" s="259"/>
      <c r="U375" s="259"/>
      <c r="V375" s="268"/>
      <c r="W375" s="263"/>
      <c r="X375" s="263"/>
      <c r="Y375" s="263"/>
      <c r="Z375" s="263"/>
      <c r="AA375" s="263"/>
      <c r="AB375" s="263"/>
      <c r="AC375" s="263"/>
      <c r="AD375" s="263"/>
      <c r="AE375" s="263"/>
      <c r="AF375" s="263"/>
      <c r="AG375" s="263"/>
      <c r="AH375" s="263"/>
      <c r="AI375" s="263"/>
      <c r="AJ375" s="263"/>
      <c r="AK375" s="263"/>
      <c r="AL375" s="263"/>
      <c r="AM375" s="263"/>
      <c r="AN375" s="259"/>
    </row>
    <row r="376" spans="1:40" x14ac:dyDescent="0.25">
      <c r="A376" s="258"/>
      <c r="B376" s="259"/>
      <c r="C376" s="259"/>
      <c r="D376" s="260"/>
      <c r="E376" s="260"/>
      <c r="F376" s="260"/>
      <c r="G376" s="260"/>
      <c r="H376" s="259"/>
      <c r="I376" s="259"/>
      <c r="J376" s="259"/>
      <c r="K376" s="260"/>
      <c r="L376" s="258"/>
      <c r="M376" s="410"/>
      <c r="N376" s="261"/>
      <c r="O376" s="258"/>
      <c r="P376" s="258"/>
      <c r="Q376" s="258"/>
      <c r="R376" s="259"/>
      <c r="S376" s="259"/>
      <c r="T376" s="259"/>
      <c r="U376" s="259"/>
      <c r="V376" s="268"/>
      <c r="W376" s="263"/>
      <c r="X376" s="263"/>
      <c r="Y376" s="263"/>
      <c r="Z376" s="263"/>
      <c r="AA376" s="263"/>
      <c r="AB376" s="263"/>
      <c r="AC376" s="263"/>
      <c r="AD376" s="263"/>
      <c r="AE376" s="263"/>
      <c r="AF376" s="263"/>
      <c r="AG376" s="263"/>
      <c r="AH376" s="263"/>
      <c r="AI376" s="263"/>
      <c r="AJ376" s="263"/>
      <c r="AK376" s="263"/>
      <c r="AL376" s="263"/>
      <c r="AM376" s="263"/>
      <c r="AN376" s="259"/>
    </row>
    <row r="377" spans="1:40" x14ac:dyDescent="0.25">
      <c r="A377" s="258"/>
      <c r="B377" s="259"/>
      <c r="C377" s="259"/>
      <c r="D377" s="260"/>
      <c r="E377" s="260"/>
      <c r="F377" s="260"/>
      <c r="G377" s="260"/>
      <c r="H377" s="259"/>
      <c r="I377" s="259"/>
      <c r="J377" s="259"/>
      <c r="K377" s="260"/>
      <c r="L377" s="258"/>
      <c r="M377" s="410"/>
      <c r="N377" s="261"/>
      <c r="O377" s="258"/>
      <c r="P377" s="258"/>
      <c r="Q377" s="258"/>
      <c r="R377" s="259"/>
      <c r="S377" s="259"/>
      <c r="T377" s="259"/>
      <c r="U377" s="259"/>
      <c r="V377" s="268"/>
      <c r="W377" s="263"/>
      <c r="X377" s="263"/>
      <c r="Y377" s="263"/>
      <c r="Z377" s="263"/>
      <c r="AA377" s="263"/>
      <c r="AB377" s="263"/>
      <c r="AC377" s="263"/>
      <c r="AD377" s="263"/>
      <c r="AE377" s="263"/>
      <c r="AF377" s="263"/>
      <c r="AG377" s="263"/>
      <c r="AH377" s="263"/>
      <c r="AI377" s="263"/>
      <c r="AJ377" s="263"/>
      <c r="AK377" s="263"/>
      <c r="AL377" s="263"/>
      <c r="AM377" s="263"/>
      <c r="AN377" s="259"/>
    </row>
    <row r="378" spans="1:40" x14ac:dyDescent="0.25">
      <c r="A378" s="258"/>
      <c r="B378" s="259"/>
      <c r="C378" s="259"/>
      <c r="D378" s="260"/>
      <c r="E378" s="260"/>
      <c r="F378" s="260"/>
      <c r="G378" s="260"/>
      <c r="H378" s="259"/>
      <c r="I378" s="259"/>
      <c r="J378" s="259"/>
      <c r="K378" s="260"/>
      <c r="L378" s="258"/>
      <c r="M378" s="410"/>
      <c r="N378" s="261"/>
      <c r="O378" s="258"/>
      <c r="P378" s="258"/>
      <c r="Q378" s="258"/>
      <c r="R378" s="259"/>
      <c r="S378" s="259"/>
      <c r="T378" s="259"/>
      <c r="U378" s="259"/>
      <c r="V378" s="268"/>
      <c r="W378" s="263"/>
      <c r="X378" s="263"/>
      <c r="Y378" s="263"/>
      <c r="Z378" s="263"/>
      <c r="AA378" s="263"/>
      <c r="AB378" s="263"/>
      <c r="AC378" s="263"/>
      <c r="AD378" s="263"/>
      <c r="AE378" s="263"/>
      <c r="AF378" s="263"/>
      <c r="AG378" s="263"/>
      <c r="AH378" s="263"/>
      <c r="AI378" s="263"/>
      <c r="AJ378" s="263"/>
      <c r="AK378" s="263"/>
      <c r="AL378" s="263"/>
      <c r="AM378" s="263"/>
      <c r="AN378" s="259"/>
    </row>
    <row r="379" spans="1:40" x14ac:dyDescent="0.25">
      <c r="A379" s="258"/>
      <c r="B379" s="259"/>
      <c r="C379" s="259"/>
      <c r="D379" s="260"/>
      <c r="E379" s="260"/>
      <c r="F379" s="260"/>
      <c r="G379" s="260"/>
      <c r="H379" s="259"/>
      <c r="I379" s="259"/>
      <c r="J379" s="259"/>
      <c r="K379" s="260"/>
      <c r="L379" s="258"/>
      <c r="M379" s="410"/>
      <c r="N379" s="261"/>
      <c r="O379" s="258"/>
      <c r="P379" s="258"/>
      <c r="Q379" s="258"/>
      <c r="R379" s="259"/>
      <c r="S379" s="259"/>
      <c r="T379" s="259"/>
      <c r="U379" s="259"/>
      <c r="V379" s="268"/>
      <c r="W379" s="263"/>
      <c r="X379" s="263"/>
      <c r="Y379" s="263"/>
      <c r="Z379" s="263"/>
      <c r="AA379" s="263"/>
      <c r="AB379" s="263"/>
      <c r="AC379" s="263"/>
      <c r="AD379" s="263"/>
      <c r="AE379" s="263"/>
      <c r="AF379" s="263"/>
      <c r="AG379" s="263"/>
      <c r="AH379" s="263"/>
      <c r="AI379" s="263"/>
      <c r="AJ379" s="263"/>
      <c r="AK379" s="263"/>
      <c r="AL379" s="263"/>
      <c r="AM379" s="263"/>
      <c r="AN379" s="259"/>
    </row>
    <row r="380" spans="1:40" x14ac:dyDescent="0.25">
      <c r="A380" s="258"/>
      <c r="B380" s="259"/>
      <c r="C380" s="259"/>
      <c r="D380" s="260"/>
      <c r="E380" s="260"/>
      <c r="F380" s="260"/>
      <c r="G380" s="260"/>
      <c r="H380" s="259"/>
      <c r="I380" s="259"/>
      <c r="J380" s="259"/>
      <c r="K380" s="260"/>
      <c r="L380" s="258"/>
      <c r="M380" s="410"/>
      <c r="N380" s="261"/>
      <c r="O380" s="258"/>
      <c r="P380" s="258"/>
      <c r="Q380" s="258"/>
      <c r="R380" s="259"/>
      <c r="S380" s="259"/>
      <c r="T380" s="259"/>
      <c r="U380" s="259"/>
      <c r="V380" s="268"/>
      <c r="W380" s="263"/>
      <c r="X380" s="263"/>
      <c r="Y380" s="263"/>
      <c r="Z380" s="263"/>
      <c r="AA380" s="263"/>
      <c r="AB380" s="263"/>
      <c r="AC380" s="263"/>
      <c r="AD380" s="263"/>
      <c r="AE380" s="263"/>
      <c r="AF380" s="263"/>
      <c r="AG380" s="263"/>
      <c r="AH380" s="263"/>
      <c r="AI380" s="263"/>
      <c r="AJ380" s="263"/>
      <c r="AK380" s="263"/>
      <c r="AL380" s="263"/>
      <c r="AM380" s="263"/>
      <c r="AN380" s="259"/>
    </row>
    <row r="381" spans="1:40" x14ac:dyDescent="0.25">
      <c r="A381" s="258"/>
      <c r="B381" s="259"/>
      <c r="C381" s="259"/>
      <c r="D381" s="260"/>
      <c r="E381" s="260"/>
      <c r="F381" s="260"/>
      <c r="G381" s="260"/>
      <c r="H381" s="259"/>
      <c r="I381" s="259"/>
      <c r="J381" s="259"/>
      <c r="K381" s="260"/>
      <c r="L381" s="258"/>
      <c r="M381" s="410"/>
      <c r="N381" s="261"/>
      <c r="O381" s="258"/>
      <c r="P381" s="258"/>
      <c r="Q381" s="258"/>
      <c r="R381" s="259"/>
      <c r="S381" s="259"/>
      <c r="T381" s="259"/>
      <c r="U381" s="259"/>
      <c r="V381" s="268"/>
      <c r="W381" s="263"/>
      <c r="X381" s="263"/>
      <c r="Y381" s="263"/>
      <c r="Z381" s="263"/>
      <c r="AA381" s="263"/>
      <c r="AB381" s="263"/>
      <c r="AC381" s="263"/>
      <c r="AD381" s="263"/>
      <c r="AE381" s="263"/>
      <c r="AF381" s="263"/>
      <c r="AG381" s="263"/>
      <c r="AH381" s="263"/>
      <c r="AI381" s="263"/>
      <c r="AJ381" s="263"/>
      <c r="AK381" s="263"/>
      <c r="AL381" s="263"/>
      <c r="AM381" s="263"/>
      <c r="AN381" s="259"/>
    </row>
    <row r="382" spans="1:40" x14ac:dyDescent="0.25">
      <c r="A382" s="258"/>
      <c r="B382" s="259"/>
      <c r="C382" s="259"/>
      <c r="D382" s="260"/>
      <c r="E382" s="260"/>
      <c r="F382" s="260"/>
      <c r="G382" s="260"/>
      <c r="H382" s="259"/>
      <c r="I382" s="259"/>
      <c r="J382" s="259"/>
      <c r="K382" s="260"/>
      <c r="L382" s="258"/>
      <c r="M382" s="410"/>
      <c r="N382" s="261"/>
      <c r="O382" s="258"/>
      <c r="P382" s="258"/>
      <c r="Q382" s="258"/>
      <c r="R382" s="259"/>
      <c r="S382" s="259"/>
      <c r="T382" s="259"/>
      <c r="U382" s="259"/>
      <c r="V382" s="268"/>
      <c r="W382" s="263"/>
      <c r="X382" s="263"/>
      <c r="Y382" s="263"/>
      <c r="Z382" s="263"/>
      <c r="AA382" s="263"/>
      <c r="AB382" s="263"/>
      <c r="AC382" s="263"/>
      <c r="AD382" s="263"/>
      <c r="AE382" s="263"/>
      <c r="AF382" s="263"/>
      <c r="AG382" s="263"/>
      <c r="AH382" s="263"/>
      <c r="AI382" s="263"/>
      <c r="AJ382" s="263"/>
      <c r="AK382" s="263"/>
      <c r="AL382" s="263"/>
      <c r="AM382" s="263"/>
      <c r="AN382" s="259"/>
    </row>
    <row r="383" spans="1:40" x14ac:dyDescent="0.25">
      <c r="A383" s="258"/>
      <c r="B383" s="259"/>
      <c r="C383" s="259"/>
      <c r="D383" s="260"/>
      <c r="E383" s="260"/>
      <c r="F383" s="260"/>
      <c r="G383" s="260"/>
      <c r="H383" s="259"/>
      <c r="I383" s="259"/>
      <c r="J383" s="259"/>
      <c r="K383" s="260"/>
      <c r="L383" s="258"/>
      <c r="M383" s="410"/>
      <c r="N383" s="261"/>
      <c r="O383" s="258"/>
      <c r="P383" s="258"/>
      <c r="Q383" s="258"/>
      <c r="R383" s="259"/>
      <c r="S383" s="259"/>
      <c r="T383" s="259"/>
      <c r="U383" s="259"/>
      <c r="V383" s="268"/>
      <c r="W383" s="263"/>
      <c r="X383" s="263"/>
      <c r="Y383" s="263"/>
      <c r="Z383" s="263"/>
      <c r="AA383" s="263"/>
      <c r="AB383" s="263"/>
      <c r="AC383" s="263"/>
      <c r="AD383" s="263"/>
      <c r="AE383" s="263"/>
      <c r="AF383" s="263"/>
      <c r="AG383" s="263"/>
      <c r="AH383" s="263"/>
      <c r="AI383" s="263"/>
      <c r="AJ383" s="263"/>
      <c r="AK383" s="263"/>
      <c r="AL383" s="263"/>
      <c r="AM383" s="263"/>
      <c r="AN383" s="259"/>
    </row>
    <row r="384" spans="1:40" x14ac:dyDescent="0.25">
      <c r="A384" s="258"/>
      <c r="B384" s="259"/>
      <c r="C384" s="259"/>
      <c r="D384" s="260"/>
      <c r="E384" s="260"/>
      <c r="F384" s="260"/>
      <c r="G384" s="260"/>
      <c r="H384" s="259"/>
      <c r="I384" s="259"/>
      <c r="J384" s="259"/>
      <c r="K384" s="260"/>
      <c r="L384" s="258"/>
      <c r="M384" s="410"/>
      <c r="N384" s="261"/>
      <c r="O384" s="258"/>
      <c r="P384" s="258"/>
      <c r="Q384" s="258"/>
      <c r="R384" s="259"/>
      <c r="S384" s="259"/>
      <c r="T384" s="259"/>
      <c r="U384" s="259"/>
      <c r="V384" s="268"/>
      <c r="W384" s="263"/>
      <c r="X384" s="263"/>
      <c r="Y384" s="263"/>
      <c r="Z384" s="263"/>
      <c r="AA384" s="263"/>
      <c r="AB384" s="263"/>
      <c r="AC384" s="263"/>
      <c r="AD384" s="263"/>
      <c r="AE384" s="263"/>
      <c r="AF384" s="263"/>
      <c r="AG384" s="263"/>
      <c r="AH384" s="263"/>
      <c r="AI384" s="263"/>
      <c r="AJ384" s="263"/>
      <c r="AK384" s="263"/>
      <c r="AL384" s="263"/>
      <c r="AM384" s="263"/>
      <c r="AN384" s="259"/>
    </row>
    <row r="385" spans="1:40" x14ac:dyDescent="0.25">
      <c r="A385" s="258"/>
      <c r="B385" s="259"/>
      <c r="C385" s="259"/>
      <c r="D385" s="260"/>
      <c r="E385" s="260"/>
      <c r="F385" s="260"/>
      <c r="G385" s="260"/>
      <c r="H385" s="259"/>
      <c r="I385" s="259"/>
      <c r="J385" s="259"/>
      <c r="K385" s="260"/>
      <c r="L385" s="258"/>
      <c r="M385" s="410"/>
      <c r="N385" s="261"/>
      <c r="O385" s="258"/>
      <c r="P385" s="258"/>
      <c r="Q385" s="258"/>
      <c r="R385" s="259"/>
      <c r="S385" s="259"/>
      <c r="T385" s="259"/>
      <c r="U385" s="259"/>
      <c r="V385" s="268"/>
      <c r="W385" s="263"/>
      <c r="X385" s="263"/>
      <c r="Y385" s="263"/>
      <c r="Z385" s="263"/>
      <c r="AA385" s="263"/>
      <c r="AB385" s="263"/>
      <c r="AC385" s="263"/>
      <c r="AD385" s="263"/>
      <c r="AE385" s="263"/>
      <c r="AF385" s="263"/>
      <c r="AG385" s="263"/>
      <c r="AH385" s="263"/>
      <c r="AI385" s="263"/>
      <c r="AJ385" s="263"/>
      <c r="AK385" s="263"/>
      <c r="AL385" s="263"/>
      <c r="AM385" s="263"/>
      <c r="AN385" s="259"/>
    </row>
    <row r="386" spans="1:40" x14ac:dyDescent="0.25">
      <c r="A386" s="258"/>
      <c r="B386" s="259"/>
      <c r="C386" s="259"/>
      <c r="D386" s="260"/>
      <c r="E386" s="260"/>
      <c r="F386" s="260"/>
      <c r="G386" s="260"/>
      <c r="H386" s="259"/>
      <c r="I386" s="259"/>
      <c r="J386" s="259"/>
      <c r="K386" s="260"/>
      <c r="L386" s="258"/>
      <c r="M386" s="410"/>
      <c r="N386" s="261"/>
      <c r="O386" s="258"/>
      <c r="P386" s="258"/>
      <c r="Q386" s="258"/>
      <c r="R386" s="259"/>
      <c r="S386" s="259"/>
      <c r="T386" s="259"/>
      <c r="U386" s="259"/>
      <c r="V386" s="268"/>
      <c r="W386" s="263"/>
      <c r="X386" s="263"/>
      <c r="Y386" s="263"/>
      <c r="Z386" s="263"/>
      <c r="AA386" s="263"/>
      <c r="AB386" s="263"/>
      <c r="AC386" s="263"/>
      <c r="AD386" s="263"/>
      <c r="AE386" s="263"/>
      <c r="AF386" s="263"/>
      <c r="AG386" s="263"/>
      <c r="AH386" s="263"/>
      <c r="AI386" s="263"/>
      <c r="AJ386" s="263"/>
      <c r="AK386" s="263"/>
      <c r="AL386" s="263"/>
      <c r="AM386" s="263"/>
      <c r="AN386" s="259"/>
    </row>
    <row r="387" spans="1:40" x14ac:dyDescent="0.25">
      <c r="A387" s="258"/>
      <c r="B387" s="259"/>
      <c r="C387" s="259"/>
      <c r="D387" s="260"/>
      <c r="E387" s="260"/>
      <c r="F387" s="260"/>
      <c r="G387" s="260"/>
      <c r="H387" s="259"/>
      <c r="I387" s="259"/>
      <c r="J387" s="259"/>
      <c r="K387" s="260"/>
      <c r="L387" s="258"/>
      <c r="M387" s="410"/>
      <c r="N387" s="261"/>
      <c r="O387" s="258"/>
      <c r="P387" s="258"/>
      <c r="Q387" s="258"/>
      <c r="R387" s="259"/>
      <c r="S387" s="259"/>
      <c r="T387" s="259"/>
      <c r="U387" s="259"/>
      <c r="V387" s="268"/>
      <c r="W387" s="263"/>
      <c r="X387" s="263"/>
      <c r="Y387" s="263"/>
      <c r="Z387" s="263"/>
      <c r="AA387" s="263"/>
      <c r="AB387" s="263"/>
      <c r="AC387" s="263"/>
      <c r="AD387" s="263"/>
      <c r="AE387" s="263"/>
      <c r="AF387" s="263"/>
      <c r="AG387" s="263"/>
      <c r="AH387" s="263"/>
      <c r="AI387" s="263"/>
      <c r="AJ387" s="263"/>
      <c r="AK387" s="263"/>
      <c r="AL387" s="263"/>
      <c r="AM387" s="263"/>
      <c r="AN387" s="259"/>
    </row>
    <row r="388" spans="1:40" x14ac:dyDescent="0.25">
      <c r="A388" s="258"/>
      <c r="B388" s="259"/>
      <c r="C388" s="259"/>
      <c r="D388" s="260"/>
      <c r="E388" s="260"/>
      <c r="F388" s="260"/>
      <c r="G388" s="260"/>
      <c r="H388" s="259"/>
      <c r="I388" s="259"/>
      <c r="J388" s="259"/>
      <c r="K388" s="260"/>
      <c r="L388" s="258"/>
      <c r="M388" s="410"/>
      <c r="N388" s="261"/>
      <c r="O388" s="258"/>
      <c r="P388" s="258"/>
      <c r="Q388" s="258"/>
      <c r="R388" s="259"/>
      <c r="S388" s="259"/>
      <c r="T388" s="259"/>
      <c r="U388" s="259"/>
      <c r="V388" s="268"/>
      <c r="W388" s="263"/>
      <c r="X388" s="263"/>
      <c r="Y388" s="263"/>
      <c r="Z388" s="263"/>
      <c r="AA388" s="263"/>
      <c r="AB388" s="263"/>
      <c r="AC388" s="263"/>
      <c r="AD388" s="263"/>
      <c r="AE388" s="263"/>
      <c r="AF388" s="263"/>
      <c r="AG388" s="263"/>
      <c r="AH388" s="263"/>
      <c r="AI388" s="263"/>
      <c r="AJ388" s="263"/>
      <c r="AK388" s="263"/>
      <c r="AL388" s="263"/>
      <c r="AM388" s="263"/>
      <c r="AN388" s="259"/>
    </row>
    <row r="389" spans="1:40" x14ac:dyDescent="0.25">
      <c r="A389" s="258"/>
      <c r="B389" s="259"/>
      <c r="C389" s="259"/>
      <c r="D389" s="260"/>
      <c r="E389" s="260"/>
      <c r="F389" s="260"/>
      <c r="G389" s="260"/>
      <c r="H389" s="259"/>
      <c r="I389" s="259"/>
      <c r="J389" s="259"/>
      <c r="K389" s="260"/>
      <c r="L389" s="258"/>
      <c r="M389" s="410"/>
      <c r="N389" s="261"/>
      <c r="O389" s="258"/>
      <c r="P389" s="258"/>
      <c r="Q389" s="258"/>
      <c r="R389" s="259"/>
      <c r="S389" s="259"/>
      <c r="T389" s="259"/>
      <c r="U389" s="259"/>
      <c r="V389" s="268"/>
      <c r="W389" s="263"/>
      <c r="X389" s="263"/>
      <c r="Y389" s="263"/>
      <c r="Z389" s="263"/>
      <c r="AA389" s="263"/>
      <c r="AB389" s="263"/>
      <c r="AC389" s="263"/>
      <c r="AD389" s="263"/>
      <c r="AE389" s="263"/>
      <c r="AF389" s="263"/>
      <c r="AG389" s="263"/>
      <c r="AH389" s="263"/>
      <c r="AI389" s="263"/>
      <c r="AJ389" s="263"/>
      <c r="AK389" s="263"/>
      <c r="AL389" s="263"/>
      <c r="AM389" s="263"/>
      <c r="AN389" s="259"/>
    </row>
    <row r="390" spans="1:40" x14ac:dyDescent="0.25">
      <c r="A390" s="258"/>
      <c r="B390" s="259"/>
      <c r="C390" s="259"/>
      <c r="D390" s="260"/>
      <c r="E390" s="260"/>
      <c r="F390" s="260"/>
      <c r="G390" s="260"/>
      <c r="H390" s="259"/>
      <c r="I390" s="259"/>
      <c r="J390" s="259"/>
      <c r="K390" s="260"/>
      <c r="L390" s="258"/>
      <c r="M390" s="410"/>
      <c r="N390" s="261"/>
      <c r="O390" s="258"/>
      <c r="P390" s="258"/>
      <c r="Q390" s="258"/>
      <c r="R390" s="259"/>
      <c r="S390" s="259"/>
      <c r="T390" s="259"/>
      <c r="U390" s="259"/>
      <c r="V390" s="268"/>
      <c r="W390" s="263"/>
      <c r="X390" s="263"/>
      <c r="Y390" s="263"/>
      <c r="Z390" s="263"/>
      <c r="AA390" s="263"/>
      <c r="AB390" s="263"/>
      <c r="AC390" s="263"/>
      <c r="AD390" s="263"/>
      <c r="AE390" s="263"/>
      <c r="AF390" s="263"/>
      <c r="AG390" s="263"/>
      <c r="AH390" s="263"/>
      <c r="AI390" s="263"/>
      <c r="AJ390" s="263"/>
      <c r="AK390" s="263"/>
      <c r="AL390" s="263"/>
      <c r="AM390" s="263"/>
      <c r="AN390" s="259"/>
    </row>
    <row r="391" spans="1:40" x14ac:dyDescent="0.25">
      <c r="A391" s="258"/>
      <c r="B391" s="259"/>
      <c r="C391" s="259"/>
      <c r="D391" s="260"/>
      <c r="E391" s="260"/>
      <c r="F391" s="260"/>
      <c r="G391" s="260"/>
      <c r="H391" s="259"/>
      <c r="I391" s="259"/>
      <c r="J391" s="259"/>
      <c r="K391" s="260"/>
      <c r="L391" s="258"/>
      <c r="M391" s="410"/>
      <c r="N391" s="261"/>
      <c r="O391" s="258"/>
      <c r="P391" s="258"/>
      <c r="Q391" s="258"/>
      <c r="R391" s="259"/>
      <c r="S391" s="259"/>
      <c r="T391" s="259"/>
      <c r="U391" s="259"/>
      <c r="V391" s="268"/>
      <c r="W391" s="263"/>
      <c r="X391" s="263"/>
      <c r="Y391" s="263"/>
      <c r="Z391" s="263"/>
      <c r="AA391" s="263"/>
      <c r="AB391" s="263"/>
      <c r="AC391" s="263"/>
      <c r="AD391" s="263"/>
      <c r="AE391" s="263"/>
      <c r="AF391" s="263"/>
      <c r="AG391" s="263"/>
      <c r="AH391" s="263"/>
      <c r="AI391" s="263"/>
      <c r="AJ391" s="263"/>
      <c r="AK391" s="263"/>
      <c r="AL391" s="263"/>
      <c r="AM391" s="263"/>
      <c r="AN391" s="259"/>
    </row>
    <row r="392" spans="1:40" x14ac:dyDescent="0.25">
      <c r="A392" s="258"/>
      <c r="B392" s="259"/>
      <c r="C392" s="259"/>
      <c r="D392" s="260"/>
      <c r="E392" s="260"/>
      <c r="F392" s="260"/>
      <c r="G392" s="260"/>
      <c r="H392" s="259"/>
      <c r="I392" s="259"/>
      <c r="J392" s="259"/>
      <c r="K392" s="260"/>
      <c r="L392" s="258"/>
      <c r="M392" s="410"/>
      <c r="N392" s="261"/>
      <c r="O392" s="258"/>
      <c r="P392" s="258"/>
      <c r="Q392" s="258"/>
      <c r="R392" s="259"/>
      <c r="S392" s="259"/>
      <c r="T392" s="259"/>
      <c r="U392" s="259"/>
      <c r="V392" s="268"/>
      <c r="W392" s="263"/>
      <c r="X392" s="263"/>
      <c r="Y392" s="263"/>
      <c r="Z392" s="263"/>
      <c r="AA392" s="263"/>
      <c r="AB392" s="263"/>
      <c r="AC392" s="263"/>
      <c r="AD392" s="263"/>
      <c r="AE392" s="263"/>
      <c r="AF392" s="263"/>
      <c r="AG392" s="263"/>
      <c r="AH392" s="263"/>
      <c r="AI392" s="263"/>
      <c r="AJ392" s="263"/>
      <c r="AK392" s="263"/>
      <c r="AL392" s="263"/>
      <c r="AM392" s="263"/>
      <c r="AN392" s="259"/>
    </row>
    <row r="393" spans="1:40" x14ac:dyDescent="0.25">
      <c r="A393" s="258"/>
      <c r="B393" s="259"/>
      <c r="C393" s="259"/>
      <c r="D393" s="260"/>
      <c r="E393" s="260"/>
      <c r="F393" s="260"/>
      <c r="G393" s="260"/>
      <c r="H393" s="259"/>
      <c r="I393" s="259"/>
      <c r="J393" s="259"/>
      <c r="K393" s="260"/>
      <c r="L393" s="258"/>
      <c r="M393" s="410"/>
      <c r="N393" s="261"/>
      <c r="O393" s="258"/>
      <c r="P393" s="258"/>
      <c r="Q393" s="258"/>
      <c r="R393" s="259"/>
      <c r="S393" s="259"/>
      <c r="T393" s="259"/>
      <c r="U393" s="259"/>
      <c r="V393" s="268"/>
      <c r="W393" s="263"/>
      <c r="X393" s="263"/>
      <c r="Y393" s="263"/>
      <c r="Z393" s="263"/>
      <c r="AA393" s="263"/>
      <c r="AB393" s="263"/>
      <c r="AC393" s="263"/>
      <c r="AD393" s="263"/>
      <c r="AE393" s="263"/>
      <c r="AF393" s="263"/>
      <c r="AG393" s="263"/>
      <c r="AH393" s="263"/>
      <c r="AI393" s="263"/>
      <c r="AJ393" s="263"/>
      <c r="AK393" s="263"/>
      <c r="AL393" s="263"/>
      <c r="AM393" s="263"/>
      <c r="AN393" s="259"/>
    </row>
    <row r="394" spans="1:40" x14ac:dyDescent="0.25">
      <c r="A394" s="258"/>
      <c r="B394" s="259"/>
      <c r="C394" s="259"/>
      <c r="D394" s="260"/>
      <c r="E394" s="260"/>
      <c r="F394" s="260"/>
      <c r="G394" s="260"/>
      <c r="H394" s="259"/>
      <c r="I394" s="259"/>
      <c r="J394" s="259"/>
      <c r="K394" s="260"/>
      <c r="L394" s="258"/>
      <c r="M394" s="410"/>
      <c r="N394" s="261"/>
      <c r="O394" s="258"/>
      <c r="P394" s="258"/>
      <c r="Q394" s="258"/>
      <c r="R394" s="259"/>
      <c r="S394" s="259"/>
      <c r="T394" s="259"/>
      <c r="U394" s="259"/>
      <c r="V394" s="268"/>
      <c r="W394" s="263"/>
      <c r="X394" s="263"/>
      <c r="Y394" s="263"/>
      <c r="Z394" s="263"/>
      <c r="AA394" s="263"/>
      <c r="AB394" s="263"/>
      <c r="AC394" s="263"/>
      <c r="AD394" s="263"/>
      <c r="AE394" s="263"/>
      <c r="AF394" s="263"/>
      <c r="AG394" s="263"/>
      <c r="AH394" s="263"/>
      <c r="AI394" s="263"/>
      <c r="AJ394" s="263"/>
      <c r="AK394" s="263"/>
      <c r="AL394" s="263"/>
      <c r="AM394" s="263"/>
      <c r="AN394" s="259"/>
    </row>
    <row r="395" spans="1:40" x14ac:dyDescent="0.25">
      <c r="A395" s="258"/>
      <c r="B395" s="259"/>
      <c r="C395" s="259"/>
      <c r="D395" s="260"/>
      <c r="E395" s="260"/>
      <c r="F395" s="260"/>
      <c r="G395" s="260"/>
      <c r="H395" s="259"/>
      <c r="I395" s="259"/>
      <c r="J395" s="259"/>
      <c r="K395" s="260"/>
      <c r="L395" s="258"/>
      <c r="M395" s="410"/>
      <c r="N395" s="261"/>
      <c r="O395" s="258"/>
      <c r="P395" s="258"/>
      <c r="Q395" s="258"/>
      <c r="R395" s="259"/>
      <c r="S395" s="259"/>
      <c r="T395" s="259"/>
      <c r="U395" s="259"/>
      <c r="V395" s="268"/>
      <c r="W395" s="263"/>
      <c r="X395" s="263"/>
      <c r="Y395" s="263"/>
      <c r="Z395" s="263"/>
      <c r="AA395" s="263"/>
      <c r="AB395" s="263"/>
      <c r="AC395" s="263"/>
      <c r="AD395" s="263"/>
      <c r="AE395" s="263"/>
      <c r="AF395" s="263"/>
      <c r="AG395" s="263"/>
      <c r="AH395" s="263"/>
      <c r="AI395" s="263"/>
      <c r="AJ395" s="263"/>
      <c r="AK395" s="263"/>
      <c r="AL395" s="263"/>
      <c r="AM395" s="263"/>
      <c r="AN395" s="259"/>
    </row>
    <row r="396" spans="1:40" x14ac:dyDescent="0.25">
      <c r="A396" s="258"/>
      <c r="B396" s="259"/>
      <c r="C396" s="259"/>
      <c r="D396" s="260"/>
      <c r="E396" s="260"/>
      <c r="F396" s="260"/>
      <c r="G396" s="260"/>
      <c r="H396" s="259"/>
      <c r="I396" s="259"/>
      <c r="J396" s="259"/>
      <c r="K396" s="260"/>
      <c r="L396" s="258"/>
      <c r="M396" s="410"/>
      <c r="N396" s="261"/>
      <c r="O396" s="258"/>
      <c r="P396" s="258"/>
      <c r="Q396" s="258"/>
      <c r="R396" s="259"/>
      <c r="S396" s="259"/>
      <c r="T396" s="259"/>
      <c r="U396" s="259"/>
      <c r="V396" s="268"/>
      <c r="W396" s="263"/>
      <c r="X396" s="263"/>
      <c r="Y396" s="263"/>
      <c r="Z396" s="263"/>
      <c r="AA396" s="263"/>
      <c r="AB396" s="263"/>
      <c r="AC396" s="263"/>
      <c r="AD396" s="263"/>
      <c r="AE396" s="263"/>
      <c r="AF396" s="263"/>
      <c r="AG396" s="263"/>
      <c r="AH396" s="263"/>
      <c r="AI396" s="263"/>
      <c r="AJ396" s="263"/>
      <c r="AK396" s="263"/>
      <c r="AL396" s="263"/>
      <c r="AM396" s="263"/>
      <c r="AN396" s="259"/>
    </row>
    <row r="397" spans="1:40" x14ac:dyDescent="0.25">
      <c r="A397" s="258"/>
      <c r="B397" s="259"/>
      <c r="C397" s="259"/>
      <c r="D397" s="260"/>
      <c r="E397" s="260"/>
      <c r="F397" s="260"/>
      <c r="G397" s="260"/>
      <c r="H397" s="259"/>
      <c r="I397" s="259"/>
      <c r="J397" s="259"/>
      <c r="K397" s="260"/>
      <c r="L397" s="258"/>
      <c r="M397" s="410"/>
      <c r="N397" s="261"/>
      <c r="O397" s="258"/>
      <c r="P397" s="258"/>
      <c r="Q397" s="258"/>
      <c r="R397" s="259"/>
      <c r="S397" s="259"/>
      <c r="T397" s="259"/>
      <c r="U397" s="259"/>
      <c r="V397" s="268"/>
      <c r="W397" s="263"/>
      <c r="X397" s="263"/>
      <c r="Y397" s="263"/>
      <c r="Z397" s="263"/>
      <c r="AA397" s="263"/>
      <c r="AB397" s="263"/>
      <c r="AC397" s="263"/>
      <c r="AD397" s="263"/>
      <c r="AE397" s="263"/>
      <c r="AF397" s="263"/>
      <c r="AG397" s="263"/>
      <c r="AH397" s="263"/>
      <c r="AI397" s="263"/>
      <c r="AJ397" s="263"/>
      <c r="AK397" s="263"/>
      <c r="AL397" s="263"/>
      <c r="AM397" s="263"/>
      <c r="AN397" s="259"/>
    </row>
    <row r="398" spans="1:40" x14ac:dyDescent="0.25">
      <c r="A398" s="258"/>
      <c r="B398" s="259"/>
      <c r="C398" s="259"/>
      <c r="D398" s="260"/>
      <c r="E398" s="260"/>
      <c r="F398" s="260"/>
      <c r="G398" s="260"/>
      <c r="H398" s="259"/>
      <c r="I398" s="259"/>
      <c r="J398" s="259"/>
      <c r="K398" s="260"/>
      <c r="L398" s="258"/>
      <c r="M398" s="410"/>
      <c r="N398" s="261"/>
      <c r="O398" s="258"/>
      <c r="P398" s="258"/>
      <c r="Q398" s="258"/>
      <c r="R398" s="259"/>
      <c r="S398" s="259"/>
      <c r="T398" s="259"/>
      <c r="U398" s="259"/>
      <c r="V398" s="268"/>
      <c r="W398" s="263"/>
      <c r="X398" s="263"/>
      <c r="Y398" s="263"/>
      <c r="Z398" s="263"/>
      <c r="AA398" s="263"/>
      <c r="AB398" s="263"/>
      <c r="AC398" s="263"/>
      <c r="AD398" s="263"/>
      <c r="AE398" s="263"/>
      <c r="AF398" s="263"/>
      <c r="AG398" s="263"/>
      <c r="AH398" s="263"/>
      <c r="AI398" s="263"/>
      <c r="AJ398" s="263"/>
      <c r="AK398" s="263"/>
      <c r="AL398" s="263"/>
      <c r="AM398" s="263"/>
      <c r="AN398" s="259"/>
    </row>
    <row r="399" spans="1:40" x14ac:dyDescent="0.25">
      <c r="A399" s="258"/>
      <c r="B399" s="259"/>
      <c r="C399" s="259"/>
      <c r="D399" s="260"/>
      <c r="E399" s="260"/>
      <c r="F399" s="260"/>
      <c r="G399" s="260"/>
      <c r="H399" s="259"/>
      <c r="I399" s="259"/>
      <c r="J399" s="259"/>
      <c r="K399" s="260"/>
      <c r="L399" s="258"/>
      <c r="M399" s="410"/>
      <c r="N399" s="261"/>
      <c r="O399" s="258"/>
      <c r="P399" s="258"/>
      <c r="Q399" s="258"/>
      <c r="R399" s="259"/>
      <c r="S399" s="259"/>
      <c r="T399" s="259"/>
      <c r="U399" s="259"/>
      <c r="V399" s="268"/>
      <c r="W399" s="263"/>
      <c r="X399" s="263"/>
      <c r="Y399" s="263"/>
      <c r="Z399" s="263"/>
      <c r="AA399" s="263"/>
      <c r="AB399" s="263"/>
      <c r="AC399" s="263"/>
      <c r="AD399" s="263"/>
      <c r="AE399" s="263"/>
      <c r="AF399" s="263"/>
      <c r="AG399" s="263"/>
      <c r="AH399" s="263"/>
      <c r="AI399" s="263"/>
      <c r="AJ399" s="263"/>
      <c r="AK399" s="263"/>
      <c r="AL399" s="263"/>
      <c r="AM399" s="263"/>
      <c r="AN399" s="259"/>
    </row>
    <row r="400" spans="1:40" x14ac:dyDescent="0.25">
      <c r="A400" s="258"/>
      <c r="B400" s="259"/>
      <c r="C400" s="259"/>
      <c r="D400" s="260"/>
      <c r="E400" s="260"/>
      <c r="F400" s="260"/>
      <c r="G400" s="260"/>
      <c r="H400" s="259"/>
      <c r="I400" s="259"/>
      <c r="J400" s="259"/>
      <c r="K400" s="260"/>
      <c r="L400" s="258"/>
      <c r="M400" s="410"/>
      <c r="N400" s="261"/>
      <c r="O400" s="258"/>
      <c r="P400" s="258"/>
      <c r="Q400" s="258"/>
      <c r="R400" s="259"/>
      <c r="S400" s="259"/>
      <c r="T400" s="259"/>
      <c r="U400" s="259"/>
      <c r="V400" s="268"/>
      <c r="W400" s="263"/>
      <c r="X400" s="263"/>
      <c r="Y400" s="263"/>
      <c r="Z400" s="263"/>
      <c r="AA400" s="263"/>
      <c r="AB400" s="263"/>
      <c r="AC400" s="263"/>
      <c r="AD400" s="263"/>
      <c r="AE400" s="263"/>
      <c r="AF400" s="263"/>
      <c r="AG400" s="263"/>
      <c r="AH400" s="263"/>
      <c r="AI400" s="263"/>
      <c r="AJ400" s="263"/>
      <c r="AK400" s="263"/>
      <c r="AL400" s="263"/>
      <c r="AM400" s="263"/>
      <c r="AN400" s="259"/>
    </row>
    <row r="401" spans="1:40" x14ac:dyDescent="0.25">
      <c r="A401" s="258"/>
      <c r="B401" s="259"/>
      <c r="C401" s="259"/>
      <c r="D401" s="260"/>
      <c r="E401" s="260"/>
      <c r="F401" s="260"/>
      <c r="G401" s="260"/>
      <c r="H401" s="259"/>
      <c r="I401" s="259"/>
      <c r="J401" s="259"/>
      <c r="K401" s="260"/>
      <c r="L401" s="258"/>
      <c r="M401" s="410"/>
      <c r="N401" s="261"/>
      <c r="O401" s="258"/>
      <c r="P401" s="258"/>
      <c r="Q401" s="258"/>
      <c r="R401" s="259"/>
      <c r="S401" s="259"/>
      <c r="T401" s="259"/>
      <c r="U401" s="259"/>
      <c r="V401" s="268"/>
      <c r="W401" s="263"/>
      <c r="X401" s="263"/>
      <c r="Y401" s="263"/>
      <c r="Z401" s="263"/>
      <c r="AA401" s="263"/>
      <c r="AB401" s="263"/>
      <c r="AC401" s="263"/>
      <c r="AD401" s="263"/>
      <c r="AE401" s="263"/>
      <c r="AF401" s="263"/>
      <c r="AG401" s="263"/>
      <c r="AH401" s="263"/>
      <c r="AI401" s="263"/>
      <c r="AJ401" s="263"/>
      <c r="AK401" s="263"/>
      <c r="AL401" s="263"/>
      <c r="AM401" s="263"/>
      <c r="AN401" s="259"/>
    </row>
    <row r="402" spans="1:40" x14ac:dyDescent="0.25">
      <c r="A402" s="258"/>
      <c r="B402" s="259"/>
      <c r="C402" s="259"/>
      <c r="D402" s="260"/>
      <c r="E402" s="260"/>
      <c r="F402" s="260"/>
      <c r="G402" s="260"/>
      <c r="H402" s="259"/>
      <c r="I402" s="259"/>
      <c r="J402" s="259"/>
      <c r="K402" s="260"/>
      <c r="L402" s="258"/>
      <c r="M402" s="410"/>
      <c r="N402" s="261"/>
      <c r="O402" s="258"/>
      <c r="P402" s="258"/>
      <c r="Q402" s="258"/>
      <c r="R402" s="259"/>
      <c r="S402" s="259"/>
      <c r="T402" s="259"/>
      <c r="U402" s="259"/>
      <c r="V402" s="268"/>
      <c r="W402" s="263"/>
      <c r="X402" s="263"/>
      <c r="Y402" s="263"/>
      <c r="Z402" s="263"/>
      <c r="AA402" s="263"/>
      <c r="AB402" s="263"/>
      <c r="AC402" s="263"/>
      <c r="AD402" s="263"/>
      <c r="AE402" s="263"/>
      <c r="AF402" s="263"/>
      <c r="AG402" s="263"/>
      <c r="AH402" s="263"/>
      <c r="AI402" s="263"/>
      <c r="AJ402" s="263"/>
      <c r="AK402" s="263"/>
      <c r="AL402" s="263"/>
      <c r="AM402" s="263"/>
      <c r="AN402" s="259"/>
    </row>
    <row r="403" spans="1:40" x14ac:dyDescent="0.25">
      <c r="A403" s="258"/>
      <c r="B403" s="259"/>
      <c r="C403" s="259"/>
      <c r="D403" s="260"/>
      <c r="E403" s="260"/>
      <c r="F403" s="260"/>
      <c r="G403" s="260"/>
      <c r="H403" s="259"/>
      <c r="I403" s="259"/>
      <c r="J403" s="259"/>
      <c r="K403" s="260"/>
      <c r="L403" s="258"/>
      <c r="M403" s="410"/>
      <c r="N403" s="261"/>
      <c r="O403" s="258"/>
      <c r="P403" s="258"/>
      <c r="Q403" s="258"/>
      <c r="R403" s="259"/>
      <c r="S403" s="259"/>
      <c r="T403" s="259"/>
      <c r="U403" s="259"/>
      <c r="V403" s="268"/>
      <c r="W403" s="263"/>
      <c r="X403" s="263"/>
      <c r="Y403" s="263"/>
      <c r="Z403" s="263"/>
      <c r="AA403" s="263"/>
      <c r="AB403" s="263"/>
      <c r="AC403" s="263"/>
      <c r="AD403" s="263"/>
      <c r="AE403" s="263"/>
      <c r="AF403" s="263"/>
      <c r="AG403" s="263"/>
      <c r="AH403" s="263"/>
      <c r="AI403" s="263"/>
      <c r="AJ403" s="263"/>
      <c r="AK403" s="263"/>
      <c r="AL403" s="263"/>
      <c r="AM403" s="263"/>
      <c r="AN403" s="259"/>
    </row>
    <row r="404" spans="1:40" x14ac:dyDescent="0.25">
      <c r="A404" s="258"/>
      <c r="B404" s="259"/>
      <c r="C404" s="259"/>
      <c r="D404" s="260"/>
      <c r="E404" s="260"/>
      <c r="F404" s="260"/>
      <c r="G404" s="260"/>
      <c r="H404" s="259"/>
      <c r="I404" s="259"/>
      <c r="J404" s="259"/>
      <c r="K404" s="260"/>
      <c r="L404" s="258"/>
      <c r="M404" s="410"/>
      <c r="N404" s="261"/>
      <c r="O404" s="258"/>
      <c r="P404" s="258"/>
      <c r="Q404" s="258"/>
      <c r="R404" s="259"/>
      <c r="S404" s="259"/>
      <c r="T404" s="259"/>
      <c r="U404" s="259"/>
      <c r="V404" s="268"/>
      <c r="W404" s="263"/>
      <c r="X404" s="263"/>
      <c r="Y404" s="263"/>
      <c r="Z404" s="263"/>
      <c r="AA404" s="263"/>
      <c r="AB404" s="263"/>
      <c r="AC404" s="263"/>
      <c r="AD404" s="263"/>
      <c r="AE404" s="263"/>
      <c r="AF404" s="263"/>
      <c r="AG404" s="263"/>
      <c r="AH404" s="263"/>
      <c r="AI404" s="263"/>
      <c r="AJ404" s="263"/>
      <c r="AK404" s="263"/>
      <c r="AL404" s="263"/>
      <c r="AM404" s="263"/>
      <c r="AN404" s="259"/>
    </row>
    <row r="405" spans="1:40" x14ac:dyDescent="0.25">
      <c r="A405" s="258"/>
      <c r="B405" s="259"/>
      <c r="C405" s="259"/>
      <c r="D405" s="260"/>
      <c r="E405" s="260"/>
      <c r="F405" s="260"/>
      <c r="G405" s="260"/>
      <c r="H405" s="259"/>
      <c r="I405" s="259"/>
      <c r="J405" s="259"/>
      <c r="K405" s="260"/>
      <c r="L405" s="258"/>
      <c r="M405" s="410"/>
      <c r="N405" s="261"/>
      <c r="O405" s="258"/>
      <c r="P405" s="258"/>
      <c r="Q405" s="258"/>
      <c r="R405" s="259"/>
      <c r="S405" s="259"/>
      <c r="T405" s="259"/>
      <c r="U405" s="259"/>
      <c r="V405" s="268"/>
      <c r="W405" s="263"/>
      <c r="X405" s="263"/>
      <c r="Y405" s="263"/>
      <c r="Z405" s="263"/>
      <c r="AA405" s="263"/>
      <c r="AB405" s="263"/>
      <c r="AC405" s="263"/>
      <c r="AD405" s="263"/>
      <c r="AE405" s="263"/>
      <c r="AF405" s="263"/>
      <c r="AG405" s="263"/>
      <c r="AH405" s="263"/>
      <c r="AI405" s="263"/>
      <c r="AJ405" s="263"/>
      <c r="AK405" s="263"/>
      <c r="AL405" s="263"/>
      <c r="AM405" s="263"/>
      <c r="AN405" s="259"/>
    </row>
    <row r="406" spans="1:40" x14ac:dyDescent="0.25">
      <c r="A406" s="258"/>
      <c r="B406" s="259"/>
      <c r="C406" s="259"/>
      <c r="D406" s="260"/>
      <c r="E406" s="260"/>
      <c r="F406" s="260"/>
      <c r="G406" s="260"/>
      <c r="H406" s="259"/>
      <c r="I406" s="259"/>
      <c r="J406" s="259"/>
      <c r="K406" s="260"/>
      <c r="L406" s="258"/>
      <c r="M406" s="410"/>
      <c r="N406" s="261"/>
      <c r="O406" s="258"/>
      <c r="P406" s="258"/>
      <c r="Q406" s="258"/>
      <c r="R406" s="259"/>
      <c r="S406" s="259"/>
      <c r="T406" s="259"/>
      <c r="U406" s="259"/>
      <c r="V406" s="268"/>
      <c r="W406" s="263"/>
      <c r="X406" s="263"/>
      <c r="Y406" s="263"/>
      <c r="Z406" s="263"/>
      <c r="AA406" s="263"/>
      <c r="AB406" s="263"/>
      <c r="AC406" s="263"/>
      <c r="AD406" s="263"/>
      <c r="AE406" s="263"/>
      <c r="AF406" s="263"/>
      <c r="AG406" s="263"/>
      <c r="AH406" s="263"/>
      <c r="AI406" s="263"/>
      <c r="AJ406" s="263"/>
      <c r="AK406" s="263"/>
      <c r="AL406" s="263"/>
      <c r="AM406" s="263"/>
      <c r="AN406" s="259"/>
    </row>
    <row r="407" spans="1:40" x14ac:dyDescent="0.25">
      <c r="A407" s="258"/>
      <c r="B407" s="259"/>
      <c r="C407" s="259"/>
      <c r="D407" s="260"/>
      <c r="E407" s="260"/>
      <c r="F407" s="260"/>
      <c r="G407" s="260"/>
      <c r="H407" s="259"/>
      <c r="I407" s="259"/>
      <c r="J407" s="259"/>
      <c r="K407" s="260"/>
      <c r="L407" s="258"/>
      <c r="M407" s="410"/>
      <c r="N407" s="261"/>
      <c r="O407" s="258"/>
      <c r="P407" s="258"/>
      <c r="Q407" s="258"/>
      <c r="R407" s="259"/>
      <c r="S407" s="259"/>
      <c r="T407" s="259"/>
      <c r="U407" s="259"/>
      <c r="V407" s="268"/>
      <c r="W407" s="263"/>
      <c r="X407" s="263"/>
      <c r="Y407" s="263"/>
      <c r="Z407" s="263"/>
      <c r="AA407" s="263"/>
      <c r="AB407" s="263"/>
      <c r="AC407" s="263"/>
      <c r="AD407" s="263"/>
      <c r="AE407" s="263"/>
      <c r="AF407" s="263"/>
      <c r="AG407" s="263"/>
      <c r="AH407" s="263"/>
      <c r="AI407" s="263"/>
      <c r="AJ407" s="263"/>
      <c r="AK407" s="263"/>
      <c r="AL407" s="263"/>
      <c r="AM407" s="263"/>
      <c r="AN407" s="259"/>
    </row>
    <row r="408" spans="1:40" x14ac:dyDescent="0.25">
      <c r="A408" s="258"/>
      <c r="B408" s="259"/>
      <c r="C408" s="259"/>
      <c r="D408" s="260"/>
      <c r="E408" s="260"/>
      <c r="F408" s="260"/>
      <c r="G408" s="260"/>
      <c r="H408" s="259"/>
      <c r="I408" s="259"/>
      <c r="J408" s="259"/>
      <c r="K408" s="260"/>
      <c r="L408" s="258"/>
      <c r="M408" s="410"/>
      <c r="N408" s="261"/>
      <c r="O408" s="258"/>
      <c r="P408" s="258"/>
      <c r="Q408" s="258"/>
      <c r="R408" s="259"/>
      <c r="S408" s="259"/>
      <c r="T408" s="259"/>
      <c r="U408" s="259"/>
      <c r="V408" s="268"/>
      <c r="W408" s="263"/>
      <c r="X408" s="263"/>
      <c r="Y408" s="263"/>
      <c r="Z408" s="263"/>
      <c r="AA408" s="263"/>
      <c r="AB408" s="263"/>
      <c r="AC408" s="263"/>
      <c r="AD408" s="263"/>
      <c r="AE408" s="263"/>
      <c r="AF408" s="263"/>
      <c r="AG408" s="263"/>
      <c r="AH408" s="263"/>
      <c r="AI408" s="263"/>
      <c r="AJ408" s="263"/>
      <c r="AK408" s="263"/>
      <c r="AL408" s="263"/>
      <c r="AM408" s="263"/>
      <c r="AN408" s="259"/>
    </row>
    <row r="409" spans="1:40" x14ac:dyDescent="0.25">
      <c r="A409" s="258"/>
      <c r="B409" s="259"/>
      <c r="C409" s="259"/>
      <c r="D409" s="260"/>
      <c r="E409" s="260"/>
      <c r="F409" s="260"/>
      <c r="G409" s="260"/>
      <c r="H409" s="259"/>
      <c r="I409" s="259"/>
      <c r="J409" s="259"/>
      <c r="K409" s="260"/>
      <c r="L409" s="258"/>
      <c r="M409" s="410"/>
      <c r="N409" s="261"/>
      <c r="O409" s="258"/>
      <c r="P409" s="258"/>
      <c r="Q409" s="258"/>
      <c r="R409" s="259"/>
      <c r="S409" s="259"/>
      <c r="T409" s="259"/>
      <c r="U409" s="259"/>
      <c r="V409" s="268"/>
      <c r="W409" s="263"/>
      <c r="X409" s="263"/>
      <c r="Y409" s="263"/>
      <c r="Z409" s="263"/>
      <c r="AA409" s="263"/>
      <c r="AB409" s="263"/>
      <c r="AC409" s="263"/>
      <c r="AD409" s="263"/>
      <c r="AE409" s="263"/>
      <c r="AF409" s="263"/>
      <c r="AG409" s="263"/>
      <c r="AH409" s="263"/>
      <c r="AI409" s="263"/>
      <c r="AJ409" s="263"/>
      <c r="AK409" s="263"/>
      <c r="AL409" s="263"/>
      <c r="AM409" s="263"/>
      <c r="AN409" s="259"/>
    </row>
    <row r="410" spans="1:40" x14ac:dyDescent="0.25">
      <c r="A410" s="258"/>
      <c r="B410" s="259"/>
      <c r="C410" s="259"/>
      <c r="D410" s="260"/>
      <c r="E410" s="260"/>
      <c r="F410" s="260"/>
      <c r="G410" s="260"/>
      <c r="H410" s="259"/>
      <c r="I410" s="259"/>
      <c r="J410" s="259"/>
      <c r="K410" s="260"/>
      <c r="L410" s="258"/>
      <c r="M410" s="410"/>
      <c r="N410" s="261"/>
      <c r="O410" s="258"/>
      <c r="P410" s="258"/>
      <c r="Q410" s="258"/>
      <c r="R410" s="259"/>
      <c r="S410" s="259"/>
      <c r="T410" s="259"/>
      <c r="U410" s="259"/>
      <c r="V410" s="268"/>
      <c r="W410" s="263"/>
      <c r="X410" s="263"/>
      <c r="Y410" s="263"/>
      <c r="Z410" s="263"/>
      <c r="AA410" s="263"/>
      <c r="AB410" s="263"/>
      <c r="AC410" s="263"/>
      <c r="AD410" s="263"/>
      <c r="AE410" s="263"/>
      <c r="AF410" s="263"/>
      <c r="AG410" s="263"/>
      <c r="AH410" s="263"/>
      <c r="AI410" s="263"/>
      <c r="AJ410" s="263"/>
      <c r="AK410" s="263"/>
      <c r="AL410" s="263"/>
      <c r="AM410" s="263"/>
      <c r="AN410" s="259"/>
    </row>
    <row r="411" spans="1:40" x14ac:dyDescent="0.25">
      <c r="A411" s="258"/>
      <c r="B411" s="259"/>
      <c r="C411" s="259"/>
      <c r="D411" s="260"/>
      <c r="E411" s="260"/>
      <c r="F411" s="260"/>
      <c r="G411" s="260"/>
      <c r="H411" s="259"/>
      <c r="I411" s="259"/>
      <c r="J411" s="259"/>
      <c r="K411" s="260"/>
      <c r="L411" s="258"/>
      <c r="M411" s="410"/>
      <c r="N411" s="261"/>
      <c r="O411" s="258"/>
      <c r="P411" s="258"/>
      <c r="Q411" s="258"/>
      <c r="R411" s="259"/>
      <c r="S411" s="259"/>
      <c r="T411" s="259"/>
      <c r="U411" s="259"/>
      <c r="V411" s="268"/>
      <c r="W411" s="263"/>
      <c r="X411" s="263"/>
      <c r="Y411" s="263"/>
      <c r="Z411" s="263"/>
      <c r="AA411" s="263"/>
      <c r="AB411" s="263"/>
      <c r="AC411" s="263"/>
      <c r="AD411" s="263"/>
      <c r="AE411" s="263"/>
      <c r="AF411" s="263"/>
      <c r="AG411" s="263"/>
      <c r="AH411" s="263"/>
      <c r="AI411" s="263"/>
      <c r="AJ411" s="263"/>
      <c r="AK411" s="263"/>
      <c r="AL411" s="263"/>
      <c r="AM411" s="263"/>
      <c r="AN411" s="259"/>
    </row>
    <row r="412" spans="1:40" x14ac:dyDescent="0.25">
      <c r="A412" s="258"/>
      <c r="B412" s="259"/>
      <c r="C412" s="259"/>
      <c r="D412" s="260"/>
      <c r="E412" s="260"/>
      <c r="F412" s="260"/>
      <c r="G412" s="260"/>
      <c r="H412" s="259"/>
      <c r="I412" s="259"/>
      <c r="J412" s="259"/>
      <c r="K412" s="260"/>
      <c r="L412" s="258"/>
      <c r="M412" s="410"/>
      <c r="N412" s="261"/>
      <c r="O412" s="258"/>
      <c r="P412" s="258"/>
      <c r="Q412" s="258"/>
      <c r="R412" s="259"/>
      <c r="S412" s="259"/>
      <c r="T412" s="259"/>
      <c r="U412" s="259"/>
      <c r="V412" s="268"/>
      <c r="W412" s="263"/>
      <c r="X412" s="263"/>
      <c r="Y412" s="263"/>
      <c r="Z412" s="263"/>
      <c r="AA412" s="263"/>
      <c r="AB412" s="263"/>
      <c r="AC412" s="263"/>
      <c r="AD412" s="263"/>
      <c r="AE412" s="263"/>
      <c r="AF412" s="263"/>
      <c r="AG412" s="263"/>
      <c r="AH412" s="263"/>
      <c r="AI412" s="263"/>
      <c r="AJ412" s="263"/>
      <c r="AK412" s="263"/>
      <c r="AL412" s="263"/>
      <c r="AM412" s="263"/>
      <c r="AN412" s="259"/>
    </row>
    <row r="413" spans="1:40" x14ac:dyDescent="0.25">
      <c r="A413" s="258"/>
      <c r="B413" s="259"/>
      <c r="C413" s="259"/>
      <c r="D413" s="260"/>
      <c r="E413" s="260"/>
      <c r="F413" s="260"/>
      <c r="G413" s="260"/>
      <c r="H413" s="259"/>
      <c r="I413" s="259"/>
      <c r="J413" s="259"/>
      <c r="K413" s="260"/>
      <c r="L413" s="258"/>
      <c r="M413" s="410"/>
      <c r="N413" s="261"/>
      <c r="O413" s="258"/>
      <c r="P413" s="258"/>
      <c r="Q413" s="258"/>
      <c r="R413" s="259"/>
      <c r="S413" s="259"/>
      <c r="T413" s="259"/>
      <c r="U413" s="259"/>
      <c r="V413" s="268"/>
      <c r="W413" s="263"/>
      <c r="X413" s="263"/>
      <c r="Y413" s="263"/>
      <c r="Z413" s="263"/>
      <c r="AA413" s="263"/>
      <c r="AB413" s="263"/>
      <c r="AC413" s="263"/>
      <c r="AD413" s="263"/>
      <c r="AE413" s="263"/>
      <c r="AF413" s="263"/>
      <c r="AG413" s="263"/>
      <c r="AH413" s="263"/>
      <c r="AI413" s="263"/>
      <c r="AJ413" s="263"/>
      <c r="AK413" s="263"/>
      <c r="AL413" s="263"/>
      <c r="AM413" s="263"/>
      <c r="AN413" s="259"/>
    </row>
    <row r="414" spans="1:40" x14ac:dyDescent="0.25">
      <c r="A414" s="258"/>
      <c r="B414" s="259"/>
      <c r="C414" s="259"/>
      <c r="D414" s="260"/>
      <c r="E414" s="260"/>
      <c r="F414" s="260"/>
      <c r="G414" s="260"/>
      <c r="H414" s="259"/>
      <c r="I414" s="259"/>
      <c r="J414" s="259"/>
      <c r="K414" s="260"/>
      <c r="L414" s="258"/>
      <c r="M414" s="410"/>
      <c r="N414" s="261"/>
      <c r="O414" s="258"/>
      <c r="P414" s="258"/>
      <c r="Q414" s="258"/>
      <c r="R414" s="259"/>
      <c r="S414" s="259"/>
      <c r="T414" s="259"/>
      <c r="U414" s="259"/>
      <c r="V414" s="268"/>
      <c r="W414" s="263"/>
      <c r="X414" s="263"/>
      <c r="Y414" s="263"/>
      <c r="Z414" s="263"/>
      <c r="AA414" s="263"/>
      <c r="AB414" s="263"/>
      <c r="AC414" s="263"/>
      <c r="AD414" s="263"/>
      <c r="AE414" s="263"/>
      <c r="AF414" s="263"/>
      <c r="AG414" s="263"/>
      <c r="AH414" s="263"/>
      <c r="AI414" s="263"/>
      <c r="AJ414" s="263"/>
      <c r="AK414" s="263"/>
      <c r="AL414" s="263"/>
      <c r="AM414" s="263"/>
      <c r="AN414" s="259"/>
    </row>
    <row r="415" spans="1:40" x14ac:dyDescent="0.25">
      <c r="A415" s="258"/>
      <c r="B415" s="259"/>
      <c r="C415" s="259"/>
      <c r="D415" s="260"/>
      <c r="E415" s="260"/>
      <c r="F415" s="260"/>
      <c r="G415" s="260"/>
      <c r="H415" s="259"/>
      <c r="I415" s="259"/>
      <c r="J415" s="259"/>
      <c r="K415" s="260"/>
      <c r="L415" s="258"/>
      <c r="M415" s="410"/>
      <c r="N415" s="261"/>
      <c r="O415" s="258"/>
      <c r="P415" s="258"/>
      <c r="Q415" s="258"/>
      <c r="R415" s="259"/>
      <c r="S415" s="259"/>
      <c r="T415" s="259"/>
      <c r="U415" s="259"/>
      <c r="V415" s="268"/>
      <c r="W415" s="263"/>
      <c r="X415" s="263"/>
      <c r="Y415" s="263"/>
      <c r="Z415" s="263"/>
      <c r="AA415" s="263"/>
      <c r="AB415" s="263"/>
      <c r="AC415" s="263"/>
      <c r="AD415" s="263"/>
      <c r="AE415" s="263"/>
      <c r="AF415" s="263"/>
      <c r="AG415" s="263"/>
      <c r="AH415" s="263"/>
      <c r="AI415" s="263"/>
      <c r="AJ415" s="263"/>
      <c r="AK415" s="263"/>
      <c r="AL415" s="263"/>
      <c r="AM415" s="263"/>
      <c r="AN415" s="259"/>
    </row>
    <row r="416" spans="1:40" x14ac:dyDescent="0.25">
      <c r="A416" s="258"/>
      <c r="B416" s="259"/>
      <c r="C416" s="259"/>
      <c r="D416" s="260"/>
      <c r="E416" s="260"/>
      <c r="F416" s="260"/>
      <c r="G416" s="260"/>
      <c r="H416" s="259"/>
      <c r="I416" s="259"/>
      <c r="J416" s="259"/>
      <c r="K416" s="260"/>
      <c r="L416" s="258"/>
      <c r="M416" s="410"/>
      <c r="N416" s="261"/>
      <c r="O416" s="258"/>
      <c r="P416" s="258"/>
      <c r="Q416" s="258"/>
      <c r="R416" s="259"/>
      <c r="S416" s="259"/>
      <c r="T416" s="259"/>
      <c r="U416" s="259"/>
      <c r="V416" s="268"/>
      <c r="W416" s="263"/>
      <c r="X416" s="263"/>
      <c r="Y416" s="263"/>
      <c r="Z416" s="263"/>
      <c r="AA416" s="263"/>
      <c r="AB416" s="263"/>
      <c r="AC416" s="263"/>
      <c r="AD416" s="263"/>
      <c r="AE416" s="263"/>
      <c r="AF416" s="263"/>
      <c r="AG416" s="263"/>
      <c r="AH416" s="263"/>
      <c r="AI416" s="263"/>
      <c r="AJ416" s="263"/>
      <c r="AK416" s="263"/>
      <c r="AL416" s="263"/>
      <c r="AM416" s="263"/>
      <c r="AN416" s="259"/>
    </row>
    <row r="417" spans="1:40" x14ac:dyDescent="0.25">
      <c r="A417" s="258"/>
      <c r="B417" s="259"/>
      <c r="C417" s="259"/>
      <c r="D417" s="260"/>
      <c r="E417" s="260"/>
      <c r="F417" s="260"/>
      <c r="G417" s="260"/>
      <c r="H417" s="259"/>
      <c r="I417" s="259"/>
      <c r="J417" s="259"/>
      <c r="K417" s="260"/>
      <c r="L417" s="258"/>
      <c r="M417" s="410"/>
      <c r="N417" s="261"/>
      <c r="O417" s="258"/>
      <c r="P417" s="258"/>
      <c r="Q417" s="258"/>
      <c r="R417" s="259"/>
      <c r="S417" s="259"/>
      <c r="T417" s="259"/>
      <c r="U417" s="259"/>
      <c r="V417" s="268"/>
      <c r="W417" s="263"/>
      <c r="X417" s="263"/>
      <c r="Y417" s="263"/>
      <c r="Z417" s="263"/>
      <c r="AA417" s="263"/>
      <c r="AB417" s="263"/>
      <c r="AC417" s="263"/>
      <c r="AD417" s="263"/>
      <c r="AE417" s="263"/>
      <c r="AF417" s="263"/>
      <c r="AG417" s="263"/>
      <c r="AH417" s="263"/>
      <c r="AI417" s="263"/>
      <c r="AJ417" s="263"/>
      <c r="AK417" s="263"/>
      <c r="AL417" s="263"/>
      <c r="AM417" s="263"/>
      <c r="AN417" s="259"/>
    </row>
    <row r="418" spans="1:40" x14ac:dyDescent="0.25">
      <c r="A418" s="258"/>
      <c r="B418" s="259"/>
      <c r="C418" s="259"/>
      <c r="D418" s="260"/>
      <c r="E418" s="260"/>
      <c r="F418" s="260"/>
      <c r="G418" s="260"/>
      <c r="H418" s="259"/>
      <c r="I418" s="259"/>
      <c r="J418" s="259"/>
      <c r="K418" s="260"/>
      <c r="L418" s="258"/>
      <c r="M418" s="410"/>
      <c r="N418" s="261"/>
      <c r="O418" s="258"/>
      <c r="P418" s="258"/>
      <c r="Q418" s="258"/>
      <c r="R418" s="259"/>
      <c r="S418" s="259"/>
      <c r="T418" s="259"/>
      <c r="U418" s="259"/>
      <c r="V418" s="268"/>
      <c r="W418" s="263"/>
      <c r="X418" s="263"/>
      <c r="Y418" s="263"/>
      <c r="Z418" s="263"/>
      <c r="AA418" s="263"/>
      <c r="AB418" s="263"/>
      <c r="AC418" s="263"/>
      <c r="AD418" s="263"/>
      <c r="AE418" s="263"/>
      <c r="AF418" s="263"/>
      <c r="AG418" s="263"/>
      <c r="AH418" s="263"/>
      <c r="AI418" s="263"/>
      <c r="AJ418" s="263"/>
      <c r="AK418" s="263"/>
      <c r="AL418" s="263"/>
      <c r="AM418" s="263"/>
      <c r="AN418" s="259"/>
    </row>
    <row r="419" spans="1:40" x14ac:dyDescent="0.25">
      <c r="A419" s="258"/>
      <c r="B419" s="259"/>
      <c r="C419" s="259"/>
      <c r="D419" s="260"/>
      <c r="E419" s="260"/>
      <c r="F419" s="260"/>
      <c r="G419" s="260"/>
      <c r="H419" s="259"/>
      <c r="I419" s="259"/>
      <c r="J419" s="259"/>
      <c r="K419" s="260"/>
      <c r="L419" s="258"/>
      <c r="M419" s="410"/>
      <c r="N419" s="261"/>
      <c r="O419" s="258"/>
      <c r="P419" s="258"/>
      <c r="Q419" s="258"/>
      <c r="R419" s="259"/>
      <c r="S419" s="259"/>
      <c r="T419" s="259"/>
      <c r="U419" s="259"/>
      <c r="V419" s="268"/>
      <c r="W419" s="263"/>
      <c r="X419" s="263"/>
      <c r="Y419" s="263"/>
      <c r="Z419" s="263"/>
      <c r="AA419" s="263"/>
      <c r="AB419" s="263"/>
      <c r="AC419" s="263"/>
      <c r="AD419" s="263"/>
      <c r="AE419" s="263"/>
      <c r="AF419" s="263"/>
      <c r="AG419" s="263"/>
      <c r="AH419" s="263"/>
      <c r="AI419" s="263"/>
      <c r="AJ419" s="263"/>
      <c r="AK419" s="263"/>
      <c r="AL419" s="263"/>
      <c r="AM419" s="263"/>
      <c r="AN419" s="259"/>
    </row>
  </sheetData>
  <autoFilter ref="A1:AN4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895"/>
  <sheetViews>
    <sheetView zoomScaleNormal="100" zoomScaleSheetLayoutView="100" workbookViewId="0">
      <pane ySplit="1" topLeftCell="A18" activePane="bottomLeft" state="frozen"/>
      <selection activeCell="C1" sqref="C1"/>
      <selection pane="bottomLeft" activeCell="D3" sqref="D3:D44"/>
    </sheetView>
  </sheetViews>
  <sheetFormatPr defaultColWidth="51.140625" defaultRowHeight="12.75" x14ac:dyDescent="0.2"/>
  <cols>
    <col min="1" max="1" width="51.140625" style="461"/>
    <col min="2" max="2" width="22" style="462" bestFit="1" customWidth="1"/>
    <col min="3" max="3" width="6.7109375" style="462" bestFit="1" customWidth="1"/>
    <col min="4" max="4" width="27.85546875" style="462" bestFit="1" customWidth="1"/>
    <col min="5" max="7" width="51.140625" style="462"/>
    <col min="8" max="9" width="51.140625" style="461"/>
    <col min="10" max="16384" width="51.140625" style="462"/>
  </cols>
  <sheetData>
    <row r="1" spans="1:14 16384:16384" x14ac:dyDescent="0.2">
      <c r="I1" s="462"/>
    </row>
    <row r="2" spans="1:14 16384:16384" x14ac:dyDescent="0.2">
      <c r="A2" s="549"/>
      <c r="C2" s="591"/>
      <c r="D2" s="591"/>
      <c r="E2" s="591"/>
      <c r="F2" s="598"/>
      <c r="G2" s="598"/>
      <c r="H2" s="598"/>
      <c r="I2" s="598"/>
      <c r="J2" s="598"/>
      <c r="K2" s="598"/>
      <c r="L2" s="598"/>
      <c r="M2" s="598"/>
    </row>
    <row r="3" spans="1:14 16384:16384" x14ac:dyDescent="0.2">
      <c r="A3" s="549"/>
      <c r="B3" s="598" t="s">
        <v>884</v>
      </c>
      <c r="C3" s="598" t="s">
        <v>128</v>
      </c>
      <c r="D3" s="598" t="s">
        <v>884</v>
      </c>
      <c r="E3" s="598"/>
      <c r="F3" s="599"/>
      <c r="G3" s="463"/>
      <c r="H3" s="592"/>
      <c r="I3" s="463"/>
      <c r="J3" s="463"/>
      <c r="K3" s="463"/>
      <c r="L3" s="463"/>
      <c r="M3" s="463"/>
    </row>
    <row r="4" spans="1:14 16384:16384" x14ac:dyDescent="0.2">
      <c r="A4" s="549"/>
      <c r="B4" s="600" t="s">
        <v>2049</v>
      </c>
      <c r="C4" s="600" t="s">
        <v>773</v>
      </c>
      <c r="D4" s="600" t="str">
        <f>CONCATENATE(B4, " ",C4)</f>
        <v>Recruiter- Consumer Sales Level 0</v>
      </c>
      <c r="E4" s="600"/>
      <c r="F4" s="600"/>
      <c r="G4" s="463"/>
      <c r="H4" s="598"/>
      <c r="I4" s="463"/>
      <c r="J4" s="463"/>
      <c r="K4" s="463"/>
      <c r="L4" s="463"/>
      <c r="M4" s="463"/>
      <c r="XFD4" s="600"/>
    </row>
    <row r="5" spans="1:14 16384:16384" x14ac:dyDescent="0.2">
      <c r="A5" s="549"/>
      <c r="B5" s="600" t="s">
        <v>2049</v>
      </c>
      <c r="C5" s="598" t="s">
        <v>773</v>
      </c>
      <c r="D5" s="600" t="str">
        <f t="shared" ref="D5:D44" si="0">CONCATENATE(B5, " ",C5)</f>
        <v>Recruiter- Consumer Sales Level 0</v>
      </c>
      <c r="E5" s="598"/>
      <c r="F5" s="598"/>
      <c r="G5" s="463"/>
      <c r="H5" s="592"/>
      <c r="I5" s="463"/>
      <c r="J5" s="463"/>
      <c r="K5" s="463"/>
      <c r="L5" s="463"/>
      <c r="M5" s="463"/>
    </row>
    <row r="6" spans="1:14 16384:16384" x14ac:dyDescent="0.2">
      <c r="A6" s="549"/>
      <c r="B6" s="600" t="s">
        <v>2049</v>
      </c>
      <c r="C6" s="598" t="s">
        <v>773</v>
      </c>
      <c r="D6" s="600" t="str">
        <f t="shared" si="0"/>
        <v>Recruiter- Consumer Sales Level 0</v>
      </c>
      <c r="E6" s="598"/>
      <c r="F6" s="598"/>
      <c r="G6" s="463"/>
      <c r="H6" s="598"/>
      <c r="I6" s="463"/>
      <c r="J6" s="463"/>
      <c r="K6" s="463"/>
      <c r="L6" s="463"/>
      <c r="M6" s="463"/>
    </row>
    <row r="7" spans="1:14 16384:16384" x14ac:dyDescent="0.2">
      <c r="A7" s="549"/>
      <c r="B7" s="600" t="s">
        <v>2049</v>
      </c>
      <c r="C7" s="598" t="s">
        <v>773</v>
      </c>
      <c r="D7" s="600" t="str">
        <f t="shared" si="0"/>
        <v>Recruiter- Consumer Sales Level 0</v>
      </c>
      <c r="E7" s="598"/>
      <c r="F7" s="598"/>
      <c r="G7" s="463"/>
      <c r="H7" s="598"/>
      <c r="I7" s="463"/>
      <c r="J7" s="463"/>
      <c r="K7" s="463"/>
      <c r="L7" s="463"/>
      <c r="M7" s="463"/>
    </row>
    <row r="8" spans="1:14 16384:16384" x14ac:dyDescent="0.2">
      <c r="A8" s="598"/>
      <c r="B8" s="598" t="s">
        <v>2049</v>
      </c>
      <c r="C8" s="598" t="s">
        <v>773</v>
      </c>
      <c r="D8" s="600" t="str">
        <f t="shared" si="0"/>
        <v>Recruiter- Consumer Sales Level 0</v>
      </c>
      <c r="E8" s="598"/>
      <c r="F8" s="598"/>
      <c r="G8" s="598"/>
      <c r="H8" s="598"/>
      <c r="I8" s="598"/>
      <c r="J8" s="598"/>
      <c r="K8" s="598"/>
      <c r="L8" s="598"/>
      <c r="M8" s="463"/>
    </row>
    <row r="9" spans="1:14 16384:16384" x14ac:dyDescent="0.2">
      <c r="A9" s="601"/>
      <c r="B9" s="463" t="s">
        <v>2049</v>
      </c>
      <c r="C9" s="463" t="s">
        <v>773</v>
      </c>
      <c r="D9" s="600" t="str">
        <f t="shared" si="0"/>
        <v>Recruiter- Consumer Sales Level 0</v>
      </c>
      <c r="E9" s="599"/>
      <c r="F9" s="463"/>
      <c r="G9" s="463"/>
      <c r="H9" s="463"/>
      <c r="I9" s="463"/>
      <c r="J9" s="463"/>
      <c r="K9" s="463"/>
      <c r="L9" s="463"/>
      <c r="M9" s="463"/>
      <c r="N9" s="463"/>
    </row>
    <row r="10" spans="1:14 16384:16384" x14ac:dyDescent="0.2">
      <c r="A10" s="601"/>
      <c r="B10" s="463" t="s">
        <v>2049</v>
      </c>
      <c r="C10" s="463" t="s">
        <v>773</v>
      </c>
      <c r="D10" s="600" t="str">
        <f t="shared" si="0"/>
        <v>Recruiter- Consumer Sales Level 0</v>
      </c>
      <c r="E10" s="599"/>
      <c r="F10" s="463"/>
      <c r="G10" s="593"/>
      <c r="H10" s="463"/>
      <c r="I10" s="463"/>
      <c r="J10" s="463"/>
      <c r="K10" s="463"/>
      <c r="L10" s="463"/>
      <c r="M10" s="598"/>
      <c r="N10" s="598"/>
    </row>
    <row r="11" spans="1:14 16384:16384" x14ac:dyDescent="0.2">
      <c r="A11" s="601"/>
      <c r="B11" s="463" t="s">
        <v>2049</v>
      </c>
      <c r="C11" s="463" t="s">
        <v>773</v>
      </c>
      <c r="D11" s="600" t="str">
        <f t="shared" si="0"/>
        <v>Recruiter- Consumer Sales Level 0</v>
      </c>
      <c r="E11" s="599"/>
      <c r="F11" s="463"/>
      <c r="G11" s="463"/>
      <c r="H11" s="463"/>
      <c r="I11" s="463"/>
      <c r="J11" s="463"/>
      <c r="K11" s="463"/>
      <c r="L11" s="463"/>
      <c r="M11" s="463"/>
      <c r="N11" s="463"/>
    </row>
    <row r="12" spans="1:14 16384:16384" x14ac:dyDescent="0.2">
      <c r="A12" s="601"/>
      <c r="B12" s="463" t="s">
        <v>73</v>
      </c>
      <c r="C12" s="463" t="s">
        <v>74</v>
      </c>
      <c r="D12" s="600" t="str">
        <f t="shared" si="0"/>
        <v>Senior Recruiter Level 2</v>
      </c>
      <c r="E12" s="599"/>
      <c r="F12" s="463"/>
      <c r="G12" s="463"/>
      <c r="H12" s="463"/>
      <c r="I12" s="463"/>
      <c r="J12" s="463"/>
      <c r="K12" s="463"/>
      <c r="L12" s="463"/>
      <c r="M12" s="463"/>
      <c r="N12" s="463"/>
    </row>
    <row r="13" spans="1:14 16384:16384" x14ac:dyDescent="0.2">
      <c r="A13" s="601"/>
      <c r="B13" s="463" t="s">
        <v>73</v>
      </c>
      <c r="C13" s="463" t="s">
        <v>70</v>
      </c>
      <c r="D13" s="600" t="str">
        <f t="shared" si="0"/>
        <v>Senior Recruiter Level 1</v>
      </c>
      <c r="E13" s="599"/>
      <c r="F13" s="463"/>
      <c r="G13" s="463"/>
      <c r="H13" s="463"/>
      <c r="I13" s="463"/>
      <c r="J13" s="463"/>
      <c r="K13" s="463"/>
      <c r="L13" s="463"/>
      <c r="M13" s="463"/>
      <c r="N13" s="463"/>
    </row>
    <row r="14" spans="1:14 16384:16384" x14ac:dyDescent="0.2">
      <c r="A14" s="601"/>
      <c r="B14" s="463" t="s">
        <v>73</v>
      </c>
      <c r="C14" s="463" t="s">
        <v>70</v>
      </c>
      <c r="D14" s="600" t="str">
        <f t="shared" si="0"/>
        <v>Senior Recruiter Level 1</v>
      </c>
      <c r="E14" s="599"/>
      <c r="F14" s="463"/>
      <c r="G14" s="463"/>
      <c r="H14" s="463"/>
      <c r="I14" s="463"/>
      <c r="J14" s="463"/>
      <c r="K14" s="463"/>
      <c r="L14" s="463"/>
      <c r="M14" s="463"/>
      <c r="N14" s="463"/>
    </row>
    <row r="15" spans="1:14 16384:16384" x14ac:dyDescent="0.2">
      <c r="A15" s="601"/>
      <c r="B15" s="463" t="s">
        <v>73</v>
      </c>
      <c r="C15" s="463" t="s">
        <v>74</v>
      </c>
      <c r="D15" s="600" t="str">
        <f t="shared" si="0"/>
        <v>Senior Recruiter Level 2</v>
      </c>
      <c r="E15" s="599"/>
      <c r="F15" s="463"/>
      <c r="G15" s="593"/>
      <c r="H15" s="463"/>
      <c r="I15" s="463"/>
      <c r="J15" s="463"/>
      <c r="K15" s="463"/>
      <c r="L15" s="463"/>
      <c r="M15" s="463"/>
      <c r="N15" s="463"/>
    </row>
    <row r="16" spans="1:14 16384:16384" x14ac:dyDescent="0.2">
      <c r="A16" s="601"/>
      <c r="B16" s="463" t="s">
        <v>73</v>
      </c>
      <c r="C16" s="463" t="s">
        <v>70</v>
      </c>
      <c r="D16" s="600" t="str">
        <f t="shared" si="0"/>
        <v>Senior Recruiter Level 1</v>
      </c>
      <c r="E16" s="599"/>
      <c r="F16" s="463"/>
      <c r="G16" s="593"/>
      <c r="H16" s="463"/>
      <c r="I16" s="463"/>
      <c r="J16" s="463"/>
      <c r="K16" s="463"/>
      <c r="L16" s="463"/>
      <c r="M16" s="463"/>
      <c r="N16" s="463"/>
    </row>
    <row r="17" spans="1:14" x14ac:dyDescent="0.2">
      <c r="A17" s="601"/>
      <c r="B17" s="463" t="s">
        <v>73</v>
      </c>
      <c r="C17" s="463" t="s">
        <v>70</v>
      </c>
      <c r="D17" s="600" t="str">
        <f t="shared" si="0"/>
        <v>Senior Recruiter Level 1</v>
      </c>
      <c r="E17" s="599"/>
      <c r="F17" s="463"/>
      <c r="G17" s="463"/>
      <c r="H17" s="463"/>
      <c r="I17" s="463"/>
      <c r="J17" s="463"/>
      <c r="K17" s="463"/>
      <c r="L17" s="463"/>
      <c r="M17" s="463"/>
      <c r="N17" s="463"/>
    </row>
    <row r="18" spans="1:14" x14ac:dyDescent="0.2">
      <c r="A18" s="601"/>
      <c r="B18" s="463" t="s">
        <v>73</v>
      </c>
      <c r="C18" s="463" t="s">
        <v>70</v>
      </c>
      <c r="D18" s="600" t="str">
        <f t="shared" si="0"/>
        <v>Senior Recruiter Level 1</v>
      </c>
      <c r="E18" s="599"/>
      <c r="F18" s="463"/>
      <c r="G18" s="593"/>
      <c r="H18" s="463"/>
      <c r="I18" s="463"/>
      <c r="J18" s="463"/>
      <c r="K18" s="463"/>
      <c r="L18" s="463"/>
      <c r="M18" s="463"/>
      <c r="N18" s="463"/>
    </row>
    <row r="19" spans="1:14" x14ac:dyDescent="0.2">
      <c r="A19" s="601"/>
      <c r="B19" s="463" t="s">
        <v>73</v>
      </c>
      <c r="C19" s="463" t="s">
        <v>74</v>
      </c>
      <c r="D19" s="600" t="str">
        <f t="shared" si="0"/>
        <v>Senior Recruiter Level 2</v>
      </c>
      <c r="E19" s="599"/>
      <c r="F19" s="463"/>
      <c r="G19" s="463"/>
      <c r="H19" s="463"/>
      <c r="I19" s="463"/>
      <c r="J19" s="463"/>
      <c r="K19" s="463"/>
      <c r="L19" s="463"/>
      <c r="M19" s="463"/>
      <c r="N19" s="463"/>
    </row>
    <row r="20" spans="1:14" x14ac:dyDescent="0.2">
      <c r="A20" s="601"/>
      <c r="B20" s="463" t="s">
        <v>73</v>
      </c>
      <c r="C20" s="463" t="s">
        <v>70</v>
      </c>
      <c r="D20" s="600" t="str">
        <f t="shared" si="0"/>
        <v>Senior Recruiter Level 1</v>
      </c>
      <c r="E20" s="599"/>
      <c r="F20" s="463"/>
      <c r="G20" s="463"/>
      <c r="H20" s="463"/>
      <c r="I20" s="463"/>
      <c r="J20" s="463"/>
      <c r="K20" s="463"/>
      <c r="L20" s="463"/>
      <c r="M20" s="463"/>
      <c r="N20" s="463"/>
    </row>
    <row r="21" spans="1:14" x14ac:dyDescent="0.2">
      <c r="A21" s="601"/>
      <c r="B21" s="463" t="s">
        <v>73</v>
      </c>
      <c r="C21" s="463" t="s">
        <v>70</v>
      </c>
      <c r="D21" s="600" t="str">
        <f t="shared" si="0"/>
        <v>Senior Recruiter Level 1</v>
      </c>
      <c r="E21" s="599"/>
      <c r="F21" s="463"/>
      <c r="G21" s="593"/>
      <c r="H21" s="463"/>
      <c r="I21" s="463"/>
      <c r="J21" s="463"/>
      <c r="K21" s="463"/>
      <c r="L21" s="463"/>
      <c r="M21" s="463"/>
      <c r="N21" s="463"/>
    </row>
    <row r="22" spans="1:14" x14ac:dyDescent="0.2">
      <c r="A22" s="601"/>
      <c r="B22" s="463" t="s">
        <v>73</v>
      </c>
      <c r="C22" s="463" t="s">
        <v>74</v>
      </c>
      <c r="D22" s="600" t="str">
        <f t="shared" si="0"/>
        <v>Senior Recruiter Level 2</v>
      </c>
      <c r="E22" s="599"/>
      <c r="F22" s="463"/>
      <c r="G22" s="593"/>
      <c r="H22" s="463"/>
      <c r="I22" s="463"/>
      <c r="J22" s="463"/>
      <c r="K22" s="463"/>
      <c r="L22" s="463"/>
      <c r="M22" s="463"/>
      <c r="N22" s="463"/>
    </row>
    <row r="23" spans="1:14" x14ac:dyDescent="0.2">
      <c r="A23" s="601"/>
      <c r="B23" s="463" t="s">
        <v>73</v>
      </c>
      <c r="C23" s="463" t="s">
        <v>70</v>
      </c>
      <c r="D23" s="600" t="str">
        <f t="shared" si="0"/>
        <v>Senior Recruiter Level 1</v>
      </c>
      <c r="E23" s="599"/>
      <c r="F23" s="463"/>
      <c r="G23" s="463"/>
      <c r="H23" s="463"/>
      <c r="I23" s="463"/>
      <c r="J23" s="463"/>
      <c r="K23" s="463"/>
      <c r="L23" s="463"/>
      <c r="M23" s="463"/>
      <c r="N23" s="463"/>
    </row>
    <row r="24" spans="1:14" x14ac:dyDescent="0.2">
      <c r="A24" s="601"/>
      <c r="B24" s="463" t="s">
        <v>73</v>
      </c>
      <c r="C24" s="463" t="s">
        <v>74</v>
      </c>
      <c r="D24" s="600" t="str">
        <f t="shared" si="0"/>
        <v>Senior Recruiter Level 2</v>
      </c>
      <c r="E24" s="599"/>
      <c r="F24" s="463"/>
      <c r="G24" s="593"/>
      <c r="H24" s="463"/>
      <c r="I24" s="463"/>
      <c r="J24" s="463"/>
      <c r="K24" s="463"/>
      <c r="L24" s="463"/>
      <c r="M24" s="463"/>
      <c r="N24" s="463"/>
    </row>
    <row r="25" spans="1:14" x14ac:dyDescent="0.2">
      <c r="A25" s="601"/>
      <c r="B25" s="463" t="s">
        <v>73</v>
      </c>
      <c r="C25" s="463" t="s">
        <v>74</v>
      </c>
      <c r="D25" s="600" t="str">
        <f t="shared" si="0"/>
        <v>Senior Recruiter Level 2</v>
      </c>
      <c r="E25" s="599"/>
      <c r="F25" s="463"/>
      <c r="G25" s="463"/>
      <c r="H25" s="463"/>
      <c r="I25" s="463"/>
      <c r="J25" s="463"/>
      <c r="K25" s="463"/>
      <c r="L25" s="463"/>
      <c r="M25" s="463"/>
      <c r="N25" s="463"/>
    </row>
    <row r="26" spans="1:14" x14ac:dyDescent="0.2">
      <c r="A26" s="601"/>
      <c r="B26" s="463" t="s">
        <v>73</v>
      </c>
      <c r="C26" s="463" t="s">
        <v>74</v>
      </c>
      <c r="D26" s="600" t="str">
        <f t="shared" si="0"/>
        <v>Senior Recruiter Level 2</v>
      </c>
      <c r="E26" s="602"/>
      <c r="F26" s="593"/>
      <c r="G26" s="602"/>
      <c r="H26" s="463"/>
      <c r="I26" s="463"/>
      <c r="J26" s="463"/>
      <c r="K26" s="463"/>
      <c r="L26" s="463"/>
      <c r="M26" s="463"/>
      <c r="N26" s="463"/>
    </row>
    <row r="27" spans="1:14" x14ac:dyDescent="0.2">
      <c r="A27" s="601"/>
      <c r="B27" s="463" t="s">
        <v>73</v>
      </c>
      <c r="C27" s="463" t="s">
        <v>74</v>
      </c>
      <c r="D27" s="600" t="str">
        <f t="shared" si="0"/>
        <v>Senior Recruiter Level 2</v>
      </c>
      <c r="E27" s="602"/>
      <c r="F27" s="593"/>
      <c r="G27" s="602"/>
      <c r="H27" s="463"/>
      <c r="I27" s="463"/>
      <c r="J27" s="463"/>
      <c r="K27" s="463"/>
      <c r="L27" s="463"/>
      <c r="M27" s="463"/>
      <c r="N27" s="463"/>
    </row>
    <row r="28" spans="1:14" x14ac:dyDescent="0.2">
      <c r="A28" s="601"/>
      <c r="B28" s="463" t="s">
        <v>73</v>
      </c>
      <c r="C28" s="463" t="s">
        <v>70</v>
      </c>
      <c r="D28" s="600" t="str">
        <f t="shared" si="0"/>
        <v>Senior Recruiter Level 1</v>
      </c>
      <c r="E28" s="463"/>
      <c r="F28" s="593"/>
      <c r="G28" s="602"/>
      <c r="H28" s="463"/>
      <c r="I28" s="463"/>
      <c r="J28" s="463"/>
      <c r="K28" s="463"/>
      <c r="L28" s="463"/>
      <c r="M28" s="463"/>
      <c r="N28" s="463"/>
    </row>
    <row r="29" spans="1:14" x14ac:dyDescent="0.2">
      <c r="A29" s="601"/>
      <c r="B29" s="463" t="s">
        <v>73</v>
      </c>
      <c r="C29" s="463" t="s">
        <v>74</v>
      </c>
      <c r="D29" s="600" t="str">
        <f t="shared" si="0"/>
        <v>Senior Recruiter Level 2</v>
      </c>
      <c r="E29" s="602"/>
      <c r="F29" s="593"/>
      <c r="G29" s="602"/>
      <c r="H29" s="463"/>
      <c r="I29" s="593"/>
      <c r="J29" s="463"/>
      <c r="K29" s="463"/>
      <c r="L29" s="463"/>
      <c r="M29" s="463"/>
      <c r="N29" s="463"/>
    </row>
    <row r="30" spans="1:14" x14ac:dyDescent="0.2">
      <c r="A30" s="608"/>
      <c r="B30" s="463" t="s">
        <v>73</v>
      </c>
      <c r="C30" s="608" t="s">
        <v>74</v>
      </c>
      <c r="D30" s="600" t="str">
        <f t="shared" si="0"/>
        <v>Senior Recruiter Level 2</v>
      </c>
      <c r="E30" s="608"/>
      <c r="F30" s="593"/>
      <c r="G30" s="602"/>
      <c r="H30" s="463"/>
      <c r="I30" s="463"/>
      <c r="J30" s="463"/>
      <c r="K30" s="463"/>
      <c r="L30" s="463"/>
      <c r="M30" s="463"/>
      <c r="N30" s="463"/>
    </row>
    <row r="31" spans="1:14" x14ac:dyDescent="0.2">
      <c r="A31" s="609"/>
      <c r="B31" s="608" t="s">
        <v>73</v>
      </c>
      <c r="C31" s="601" t="s">
        <v>70</v>
      </c>
      <c r="D31" s="600" t="str">
        <f t="shared" si="0"/>
        <v>Senior Recruiter Level 1</v>
      </c>
      <c r="E31" s="608"/>
      <c r="F31" s="593"/>
      <c r="G31" s="602"/>
      <c r="H31" s="463"/>
      <c r="I31" s="608"/>
      <c r="J31" s="597"/>
      <c r="K31" s="463"/>
      <c r="L31" s="463"/>
      <c r="M31" s="463"/>
      <c r="N31" s="463"/>
    </row>
    <row r="32" spans="1:14" x14ac:dyDescent="0.2">
      <c r="A32" s="609"/>
      <c r="B32" s="608" t="s">
        <v>73</v>
      </c>
      <c r="C32" s="601" t="s">
        <v>74</v>
      </c>
      <c r="D32" s="600" t="str">
        <f t="shared" si="0"/>
        <v>Senior Recruiter Level 2</v>
      </c>
      <c r="E32" s="608"/>
      <c r="F32" s="593"/>
      <c r="G32" s="602"/>
      <c r="H32" s="463"/>
      <c r="I32" s="608"/>
      <c r="J32" s="597"/>
      <c r="K32" s="463"/>
      <c r="L32" s="463"/>
      <c r="M32" s="463"/>
      <c r="N32" s="463"/>
    </row>
    <row r="33" spans="1:14" x14ac:dyDescent="0.2">
      <c r="A33" s="609"/>
      <c r="B33" s="608" t="s">
        <v>73</v>
      </c>
      <c r="C33" s="601" t="s">
        <v>70</v>
      </c>
      <c r="D33" s="600" t="str">
        <f t="shared" si="0"/>
        <v>Senior Recruiter Level 1</v>
      </c>
      <c r="E33" s="608"/>
      <c r="F33" s="593"/>
      <c r="G33" s="602"/>
      <c r="H33" s="463"/>
      <c r="I33" s="608"/>
      <c r="J33" s="597"/>
      <c r="K33" s="463"/>
      <c r="L33" s="463"/>
      <c r="M33" s="463"/>
      <c r="N33" s="463"/>
    </row>
    <row r="34" spans="1:14" x14ac:dyDescent="0.2">
      <c r="A34" s="609"/>
      <c r="B34" s="608" t="s">
        <v>73</v>
      </c>
      <c r="C34" s="601" t="s">
        <v>70</v>
      </c>
      <c r="D34" s="600" t="str">
        <f t="shared" si="0"/>
        <v>Senior Recruiter Level 1</v>
      </c>
      <c r="E34" s="608"/>
      <c r="F34" s="593"/>
      <c r="G34" s="602"/>
      <c r="H34" s="463"/>
      <c r="I34" s="608"/>
      <c r="J34" s="597"/>
      <c r="K34" s="463"/>
      <c r="L34" s="463"/>
      <c r="M34" s="463"/>
      <c r="N34" s="463"/>
    </row>
    <row r="35" spans="1:14" x14ac:dyDescent="0.2">
      <c r="A35" s="609"/>
      <c r="B35" s="608" t="s">
        <v>73</v>
      </c>
      <c r="C35" s="601" t="s">
        <v>70</v>
      </c>
      <c r="D35" s="600" t="str">
        <f t="shared" si="0"/>
        <v>Senior Recruiter Level 1</v>
      </c>
      <c r="E35" s="608"/>
      <c r="F35" s="593"/>
      <c r="G35" s="602"/>
      <c r="H35" s="463"/>
      <c r="I35" s="608"/>
      <c r="J35" s="597"/>
      <c r="K35" s="463"/>
      <c r="L35" s="463"/>
      <c r="M35" s="463"/>
      <c r="N35" s="463"/>
    </row>
    <row r="36" spans="1:14" x14ac:dyDescent="0.2">
      <c r="A36" s="609"/>
      <c r="B36" s="608" t="s">
        <v>73</v>
      </c>
      <c r="C36" s="601" t="s">
        <v>74</v>
      </c>
      <c r="D36" s="600" t="str">
        <f t="shared" si="0"/>
        <v>Senior Recruiter Level 2</v>
      </c>
      <c r="E36" s="608"/>
      <c r="F36" s="599"/>
      <c r="G36" s="463"/>
      <c r="H36" s="463"/>
      <c r="I36" s="608"/>
      <c r="J36" s="597"/>
      <c r="K36" s="463"/>
      <c r="L36" s="463"/>
      <c r="M36" s="463"/>
    </row>
    <row r="37" spans="1:14" x14ac:dyDescent="0.2">
      <c r="A37" s="609"/>
      <c r="B37" s="608" t="s">
        <v>73</v>
      </c>
      <c r="C37" s="601" t="s">
        <v>74</v>
      </c>
      <c r="D37" s="600" t="str">
        <f t="shared" si="0"/>
        <v>Senior Recruiter Level 2</v>
      </c>
      <c r="E37" s="608"/>
      <c r="F37" s="599"/>
      <c r="G37" s="463"/>
      <c r="H37" s="463"/>
      <c r="I37" s="608"/>
      <c r="J37" s="597"/>
      <c r="K37" s="463"/>
      <c r="L37" s="463"/>
      <c r="M37" s="463"/>
    </row>
    <row r="38" spans="1:14" x14ac:dyDescent="0.2">
      <c r="A38" s="609"/>
      <c r="B38" s="608" t="s">
        <v>73</v>
      </c>
      <c r="C38" s="601" t="s">
        <v>70</v>
      </c>
      <c r="D38" s="600" t="str">
        <f t="shared" si="0"/>
        <v>Senior Recruiter Level 1</v>
      </c>
      <c r="E38" s="608"/>
      <c r="F38" s="599"/>
      <c r="G38" s="463"/>
      <c r="H38" s="463"/>
      <c r="I38" s="608"/>
      <c r="J38" s="597"/>
      <c r="K38" s="463"/>
      <c r="L38" s="463"/>
      <c r="M38" s="463"/>
    </row>
    <row r="39" spans="1:14" x14ac:dyDescent="0.2">
      <c r="A39" s="609"/>
      <c r="B39" s="608" t="s">
        <v>73</v>
      </c>
      <c r="C39" s="601" t="s">
        <v>74</v>
      </c>
      <c r="D39" s="600" t="str">
        <f t="shared" si="0"/>
        <v>Senior Recruiter Level 2</v>
      </c>
      <c r="E39" s="608"/>
      <c r="F39" s="599"/>
      <c r="G39" s="463"/>
      <c r="H39" s="463"/>
      <c r="I39" s="608"/>
      <c r="J39" s="597"/>
      <c r="K39" s="463"/>
      <c r="L39" s="463"/>
      <c r="M39" s="463"/>
    </row>
    <row r="40" spans="1:14" x14ac:dyDescent="0.2">
      <c r="A40" s="609"/>
      <c r="B40" s="608" t="s">
        <v>73</v>
      </c>
      <c r="C40" s="601" t="s">
        <v>74</v>
      </c>
      <c r="D40" s="600" t="str">
        <f t="shared" si="0"/>
        <v>Senior Recruiter Level 2</v>
      </c>
      <c r="E40" s="608"/>
      <c r="F40" s="599"/>
      <c r="G40" s="463"/>
      <c r="H40" s="463"/>
      <c r="I40" s="608"/>
      <c r="J40" s="597"/>
      <c r="K40" s="463"/>
      <c r="L40" s="463"/>
      <c r="M40" s="463"/>
    </row>
    <row r="41" spans="1:14" x14ac:dyDescent="0.2">
      <c r="A41" s="609"/>
      <c r="B41" s="608" t="s">
        <v>3300</v>
      </c>
      <c r="C41" s="601" t="s">
        <v>70</v>
      </c>
      <c r="D41" s="600" t="str">
        <f t="shared" si="0"/>
        <v>Billing Specialist Level 1</v>
      </c>
      <c r="E41" s="608"/>
      <c r="F41" s="599"/>
      <c r="G41" s="463"/>
      <c r="H41" s="463"/>
      <c r="I41" s="608"/>
      <c r="J41" s="597"/>
      <c r="K41" s="463"/>
      <c r="L41" s="463"/>
      <c r="M41" s="463"/>
    </row>
    <row r="42" spans="1:14" x14ac:dyDescent="0.2">
      <c r="A42" s="609"/>
      <c r="B42" s="608" t="s">
        <v>73</v>
      </c>
      <c r="C42" s="601" t="s">
        <v>74</v>
      </c>
      <c r="D42" s="600" t="str">
        <f t="shared" si="0"/>
        <v>Senior Recruiter Level 2</v>
      </c>
      <c r="E42" s="608"/>
      <c r="F42" s="599"/>
      <c r="G42" s="463"/>
      <c r="H42" s="463"/>
      <c r="I42" s="608"/>
      <c r="J42" s="597"/>
      <c r="K42" s="463"/>
      <c r="L42" s="463"/>
      <c r="M42" s="463"/>
    </row>
    <row r="43" spans="1:14" x14ac:dyDescent="0.2">
      <c r="A43" s="609"/>
      <c r="B43" s="608" t="s">
        <v>73</v>
      </c>
      <c r="C43" s="601" t="s">
        <v>74</v>
      </c>
      <c r="D43" s="600" t="str">
        <f t="shared" si="0"/>
        <v>Senior Recruiter Level 2</v>
      </c>
      <c r="E43" s="608"/>
      <c r="F43" s="599"/>
      <c r="G43" s="463"/>
      <c r="H43" s="463"/>
      <c r="I43" s="608"/>
      <c r="J43" s="597"/>
      <c r="K43" s="463"/>
      <c r="L43" s="463"/>
      <c r="M43" s="463"/>
    </row>
    <row r="44" spans="1:14" x14ac:dyDescent="0.2">
      <c r="A44" s="609"/>
      <c r="B44" s="608" t="s">
        <v>73</v>
      </c>
      <c r="C44" s="601" t="s">
        <v>3282</v>
      </c>
      <c r="D44" s="600" t="str">
        <f t="shared" si="0"/>
        <v>Senior Recruiter Level  1</v>
      </c>
      <c r="E44" s="608"/>
      <c r="F44" s="599"/>
      <c r="G44" s="463"/>
      <c r="H44" s="463"/>
      <c r="I44" s="608"/>
      <c r="J44" s="597"/>
      <c r="K44" s="463"/>
      <c r="L44" s="463"/>
      <c r="M44" s="463"/>
    </row>
    <row r="45" spans="1:14" x14ac:dyDescent="0.2">
      <c r="A45" s="609"/>
      <c r="B45" s="608"/>
      <c r="C45" s="601"/>
      <c r="D45" s="463"/>
      <c r="E45" s="608"/>
      <c r="F45" s="599"/>
      <c r="G45" s="463"/>
      <c r="H45" s="463"/>
      <c r="I45" s="608"/>
      <c r="J45" s="597"/>
      <c r="K45" s="463"/>
      <c r="L45" s="463"/>
      <c r="M45" s="463"/>
    </row>
    <row r="46" spans="1:14" x14ac:dyDescent="0.2">
      <c r="A46" s="609"/>
      <c r="B46" s="608"/>
      <c r="C46" s="601"/>
      <c r="D46" s="463"/>
      <c r="E46" s="608"/>
      <c r="F46" s="599"/>
      <c r="G46" s="463"/>
      <c r="H46" s="598"/>
      <c r="I46" s="463"/>
      <c r="J46" s="463"/>
      <c r="K46" s="463"/>
      <c r="L46" s="463"/>
      <c r="M46" s="463"/>
    </row>
    <row r="47" spans="1:14" x14ac:dyDescent="0.2">
      <c r="A47" s="603"/>
      <c r="B47" s="591"/>
      <c r="C47" s="591"/>
      <c r="D47" s="591"/>
      <c r="E47" s="591"/>
      <c r="F47" s="599"/>
      <c r="G47" s="463"/>
      <c r="H47" s="598"/>
      <c r="I47" s="463"/>
      <c r="J47" s="463"/>
      <c r="K47" s="463"/>
      <c r="L47" s="463"/>
      <c r="M47" s="463"/>
    </row>
    <row r="48" spans="1:14" x14ac:dyDescent="0.2">
      <c r="A48" s="603"/>
      <c r="B48" s="598"/>
      <c r="C48" s="598"/>
      <c r="D48" s="598"/>
      <c r="E48" s="603"/>
      <c r="F48" s="603"/>
      <c r="G48" s="463"/>
      <c r="H48" s="598"/>
      <c r="I48" s="463"/>
      <c r="J48" s="463"/>
      <c r="K48" s="463"/>
      <c r="L48" s="463"/>
      <c r="M48" s="463"/>
    </row>
    <row r="49" spans="1:13" x14ac:dyDescent="0.2">
      <c r="A49" s="598"/>
      <c r="B49" s="598"/>
      <c r="C49" s="600"/>
      <c r="D49" s="598"/>
      <c r="E49" s="594"/>
      <c r="F49" s="603"/>
      <c r="G49" s="463"/>
      <c r="H49" s="598"/>
      <c r="I49" s="463"/>
      <c r="J49" s="463"/>
      <c r="K49" s="463"/>
      <c r="L49" s="463"/>
      <c r="M49" s="463"/>
    </row>
    <row r="50" spans="1:13" x14ac:dyDescent="0.2">
      <c r="A50" s="598"/>
      <c r="B50" s="598"/>
      <c r="C50" s="600"/>
      <c r="D50" s="598"/>
      <c r="E50" s="594"/>
      <c r="F50" s="603"/>
      <c r="G50" s="463"/>
      <c r="H50" s="598"/>
      <c r="I50" s="463"/>
      <c r="J50" s="463"/>
      <c r="K50" s="463"/>
      <c r="L50" s="463"/>
      <c r="M50" s="463"/>
    </row>
    <row r="51" spans="1:13" x14ac:dyDescent="0.2">
      <c r="A51" s="598"/>
      <c r="B51" s="598"/>
      <c r="C51" s="600"/>
      <c r="D51" s="598"/>
      <c r="E51" s="594"/>
      <c r="F51" s="603"/>
      <c r="G51" s="463"/>
      <c r="H51" s="598"/>
      <c r="I51" s="463"/>
      <c r="J51" s="463"/>
      <c r="K51" s="463"/>
      <c r="L51" s="463"/>
      <c r="M51" s="463"/>
    </row>
    <row r="52" spans="1:13" x14ac:dyDescent="0.2">
      <c r="A52" s="598"/>
      <c r="B52" s="598"/>
      <c r="C52" s="600"/>
      <c r="D52" s="598"/>
      <c r="E52" s="594"/>
      <c r="F52" s="603"/>
      <c r="G52" s="463"/>
      <c r="H52" s="592"/>
      <c r="I52" s="463"/>
      <c r="L52" s="463"/>
      <c r="M52" s="463"/>
    </row>
    <row r="53" spans="1:13" x14ac:dyDescent="0.2">
      <c r="A53" s="598"/>
      <c r="B53" s="598"/>
      <c r="C53" s="600"/>
      <c r="D53" s="598"/>
      <c r="E53" s="594"/>
      <c r="F53" s="603"/>
      <c r="G53" s="463"/>
      <c r="H53" s="592"/>
      <c r="I53" s="463"/>
      <c r="L53" s="463"/>
      <c r="M53" s="463"/>
    </row>
    <row r="54" spans="1:13" x14ac:dyDescent="0.2">
      <c r="A54" s="598"/>
      <c r="B54" s="598"/>
      <c r="C54" s="600"/>
      <c r="D54" s="598"/>
      <c r="E54" s="594"/>
      <c r="F54" s="603"/>
      <c r="G54" s="463"/>
      <c r="H54" s="598"/>
      <c r="I54" s="598"/>
      <c r="L54" s="598"/>
      <c r="M54" s="598"/>
    </row>
    <row r="55" spans="1:13" x14ac:dyDescent="0.2">
      <c r="A55" s="598"/>
      <c r="B55" s="598"/>
      <c r="C55" s="600"/>
      <c r="D55" s="598"/>
      <c r="E55" s="594"/>
      <c r="F55" s="603"/>
      <c r="G55" s="463"/>
    </row>
    <row r="56" spans="1:13" x14ac:dyDescent="0.2">
      <c r="A56" s="598"/>
      <c r="B56" s="603"/>
      <c r="C56" s="600"/>
      <c r="D56" s="603"/>
      <c r="E56" s="594"/>
      <c r="F56" s="603"/>
      <c r="G56" s="463"/>
      <c r="H56" s="595"/>
      <c r="I56" s="463"/>
      <c r="L56" s="463"/>
    </row>
    <row r="57" spans="1:13" x14ac:dyDescent="0.2">
      <c r="A57" s="486"/>
      <c r="C57" s="598"/>
      <c r="D57" s="596"/>
      <c r="E57" s="598"/>
      <c r="F57" s="599"/>
      <c r="G57" s="463"/>
      <c r="H57" s="595"/>
      <c r="I57" s="463"/>
      <c r="L57" s="463"/>
    </row>
    <row r="58" spans="1:13" x14ac:dyDescent="0.2">
      <c r="A58" s="549"/>
      <c r="C58" s="598"/>
      <c r="D58" s="596"/>
      <c r="E58" s="598"/>
      <c r="F58" s="599"/>
      <c r="G58" s="463"/>
      <c r="H58" s="549"/>
      <c r="I58" s="598"/>
      <c r="L58" s="598"/>
      <c r="M58" s="598"/>
    </row>
    <row r="59" spans="1:13" x14ac:dyDescent="0.2">
      <c r="A59" s="549"/>
      <c r="C59" s="598"/>
      <c r="D59" s="596"/>
      <c r="E59" s="598"/>
      <c r="F59" s="599"/>
      <c r="G59" s="463"/>
      <c r="H59" s="486"/>
      <c r="I59" s="463"/>
      <c r="L59" s="463"/>
      <c r="M59" s="463"/>
    </row>
    <row r="60" spans="1:13" x14ac:dyDescent="0.2">
      <c r="A60" s="549"/>
      <c r="C60" s="598"/>
      <c r="D60" s="596"/>
      <c r="E60" s="598"/>
      <c r="F60" s="599"/>
      <c r="G60" s="463"/>
      <c r="H60" s="486"/>
      <c r="I60" s="463"/>
      <c r="L60" s="463"/>
      <c r="M60" s="463"/>
    </row>
    <row r="61" spans="1:13" x14ac:dyDescent="0.2">
      <c r="A61" s="549"/>
      <c r="C61" s="598"/>
      <c r="D61" s="596"/>
      <c r="E61" s="598"/>
      <c r="F61" s="599"/>
      <c r="G61" s="463"/>
      <c r="H61" s="486"/>
      <c r="I61" s="463"/>
      <c r="L61" s="463"/>
      <c r="M61" s="463"/>
    </row>
    <row r="62" spans="1:13" x14ac:dyDescent="0.2">
      <c r="A62" s="549"/>
      <c r="C62" s="598"/>
      <c r="D62" s="596"/>
      <c r="E62" s="598"/>
      <c r="F62" s="599"/>
      <c r="G62" s="463"/>
      <c r="H62" s="486"/>
      <c r="I62" s="463"/>
      <c r="L62" s="463"/>
      <c r="M62" s="463"/>
    </row>
    <row r="63" spans="1:13" x14ac:dyDescent="0.2">
      <c r="A63" s="549"/>
      <c r="C63" s="598"/>
      <c r="D63" s="596"/>
      <c r="E63" s="598"/>
      <c r="F63" s="599"/>
      <c r="I63" s="462"/>
    </row>
    <row r="64" spans="1:13" x14ac:dyDescent="0.2">
      <c r="A64" s="549"/>
      <c r="C64" s="598"/>
      <c r="D64" s="596"/>
      <c r="E64" s="598"/>
      <c r="F64" s="599"/>
      <c r="I64" s="462"/>
    </row>
    <row r="65" spans="1:14" x14ac:dyDescent="0.2">
      <c r="A65" s="549"/>
      <c r="C65" s="598"/>
      <c r="D65" s="596"/>
      <c r="E65" s="598"/>
      <c r="F65" s="599"/>
      <c r="I65" s="462"/>
    </row>
    <row r="66" spans="1:14" x14ac:dyDescent="0.2">
      <c r="A66" s="549"/>
      <c r="C66" s="598"/>
      <c r="D66" s="596"/>
      <c r="E66" s="598"/>
      <c r="F66" s="599"/>
      <c r="I66" s="462"/>
    </row>
    <row r="67" spans="1:14" x14ac:dyDescent="0.2">
      <c r="A67" s="549"/>
      <c r="C67" s="598"/>
      <c r="D67" s="596"/>
      <c r="E67" s="598"/>
      <c r="F67" s="599"/>
      <c r="G67" s="463"/>
      <c r="H67" s="486"/>
      <c r="I67" s="463"/>
    </row>
    <row r="68" spans="1:14" x14ac:dyDescent="0.2">
      <c r="A68" s="549"/>
      <c r="C68" s="598"/>
      <c r="D68" s="596"/>
      <c r="E68" s="598"/>
      <c r="F68" s="599"/>
      <c r="I68" s="463"/>
    </row>
    <row r="69" spans="1:14" x14ac:dyDescent="0.2">
      <c r="A69" s="549"/>
      <c r="C69" s="598"/>
      <c r="D69" s="596"/>
      <c r="E69" s="598"/>
      <c r="F69" s="599"/>
      <c r="H69" s="546"/>
      <c r="I69" s="598"/>
      <c r="J69" s="598"/>
      <c r="K69" s="598"/>
      <c r="L69" s="598"/>
      <c r="M69" s="598"/>
      <c r="N69" s="598"/>
    </row>
    <row r="70" spans="1:14" x14ac:dyDescent="0.2">
      <c r="A70" s="549"/>
      <c r="C70" s="598"/>
      <c r="D70" s="596"/>
      <c r="E70" s="598"/>
      <c r="F70" s="599"/>
      <c r="H70" s="547"/>
      <c r="I70" s="604"/>
      <c r="J70" s="603"/>
      <c r="K70" s="605"/>
      <c r="L70" s="603"/>
      <c r="M70" s="594"/>
      <c r="N70" s="598"/>
    </row>
    <row r="71" spans="1:14" x14ac:dyDescent="0.2">
      <c r="A71" s="549"/>
      <c r="C71" s="598"/>
      <c r="D71" s="596"/>
      <c r="E71" s="598"/>
      <c r="F71" s="599"/>
      <c r="H71" s="547"/>
      <c r="I71" s="604"/>
      <c r="J71" s="603"/>
      <c r="K71" s="605"/>
      <c r="L71" s="603"/>
      <c r="M71" s="594"/>
      <c r="N71" s="598"/>
    </row>
    <row r="72" spans="1:14" x14ac:dyDescent="0.2">
      <c r="A72" s="486"/>
      <c r="C72" s="598"/>
      <c r="D72" s="596"/>
      <c r="E72" s="598"/>
      <c r="F72" s="599"/>
      <c r="H72" s="547"/>
      <c r="I72" s="604"/>
      <c r="J72" s="603"/>
      <c r="K72" s="605"/>
      <c r="L72" s="603"/>
      <c r="M72" s="594"/>
      <c r="N72" s="598"/>
    </row>
    <row r="73" spans="1:14" x14ac:dyDescent="0.2">
      <c r="A73" s="486"/>
      <c r="C73" s="598"/>
      <c r="D73" s="596"/>
      <c r="E73" s="598"/>
      <c r="F73" s="599"/>
      <c r="H73" s="546"/>
      <c r="I73" s="604"/>
      <c r="J73" s="603"/>
      <c r="K73" s="605"/>
      <c r="L73" s="603"/>
      <c r="M73" s="594"/>
      <c r="N73" s="598"/>
    </row>
    <row r="74" spans="1:14" x14ac:dyDescent="0.2">
      <c r="A74" s="486"/>
      <c r="C74" s="598"/>
      <c r="D74" s="596"/>
      <c r="E74" s="598"/>
      <c r="F74" s="599"/>
      <c r="H74" s="546"/>
      <c r="I74" s="604"/>
      <c r="J74" s="603"/>
      <c r="K74" s="605"/>
      <c r="L74" s="603"/>
      <c r="M74" s="594"/>
      <c r="N74" s="598"/>
    </row>
    <row r="75" spans="1:14" x14ac:dyDescent="0.2">
      <c r="A75" s="486"/>
      <c r="C75" s="598"/>
      <c r="D75" s="596"/>
      <c r="E75" s="598"/>
      <c r="F75" s="599"/>
      <c r="H75" s="547"/>
      <c r="I75" s="604"/>
      <c r="J75" s="603"/>
      <c r="K75" s="605"/>
      <c r="L75" s="603"/>
      <c r="M75" s="594"/>
      <c r="N75" s="598"/>
    </row>
    <row r="76" spans="1:14" x14ac:dyDescent="0.2">
      <c r="A76" s="486"/>
      <c r="C76" s="598"/>
      <c r="D76" s="596"/>
      <c r="E76" s="598"/>
      <c r="F76" s="599"/>
      <c r="H76" s="547"/>
      <c r="I76" s="604"/>
      <c r="J76" s="603"/>
      <c r="K76" s="605"/>
      <c r="L76" s="603"/>
      <c r="M76" s="594"/>
      <c r="N76" s="598"/>
    </row>
    <row r="77" spans="1:14" x14ac:dyDescent="0.2">
      <c r="A77" s="486"/>
      <c r="C77" s="598"/>
      <c r="D77" s="596"/>
      <c r="E77" s="598"/>
      <c r="F77" s="599"/>
      <c r="H77" s="547"/>
      <c r="I77" s="604"/>
      <c r="J77" s="603"/>
      <c r="K77" s="605"/>
      <c r="L77" s="603"/>
      <c r="M77" s="594"/>
      <c r="N77" s="598"/>
    </row>
    <row r="78" spans="1:14" x14ac:dyDescent="0.2">
      <c r="A78" s="486"/>
      <c r="C78" s="598"/>
      <c r="D78" s="596"/>
      <c r="E78" s="598"/>
      <c r="F78" s="599"/>
      <c r="H78" s="547"/>
      <c r="I78" s="604"/>
      <c r="J78" s="603"/>
      <c r="K78" s="605"/>
      <c r="L78" s="603"/>
      <c r="M78" s="597"/>
      <c r="N78" s="598"/>
    </row>
    <row r="79" spans="1:14" x14ac:dyDescent="0.2">
      <c r="A79" s="486"/>
      <c r="C79" s="598"/>
      <c r="D79" s="596"/>
      <c r="E79" s="598"/>
      <c r="F79" s="599"/>
      <c r="H79" s="547"/>
      <c r="I79" s="604"/>
      <c r="J79" s="603"/>
      <c r="K79" s="605"/>
      <c r="L79" s="603"/>
      <c r="M79" s="594"/>
      <c r="N79" s="598"/>
    </row>
    <row r="80" spans="1:14" x14ac:dyDescent="0.2">
      <c r="A80" s="549"/>
      <c r="B80" s="606"/>
      <c r="C80" s="607"/>
      <c r="D80" s="607"/>
      <c r="E80" s="463"/>
      <c r="F80" s="548"/>
      <c r="H80" s="547"/>
      <c r="I80" s="604"/>
      <c r="J80" s="603"/>
      <c r="K80" s="605"/>
      <c r="L80" s="603"/>
      <c r="M80" s="594"/>
      <c r="N80" s="598"/>
    </row>
    <row r="81" spans="1:14" x14ac:dyDescent="0.2">
      <c r="A81" s="549"/>
      <c r="B81" s="606"/>
      <c r="C81" s="607"/>
      <c r="D81" s="607"/>
      <c r="E81" s="463"/>
      <c r="F81" s="545"/>
      <c r="H81" s="547"/>
      <c r="I81" s="604"/>
      <c r="J81" s="603"/>
      <c r="K81" s="605"/>
      <c r="L81" s="603"/>
      <c r="M81" s="594"/>
      <c r="N81" s="598"/>
    </row>
    <row r="82" spans="1:14" x14ac:dyDescent="0.2">
      <c r="A82" s="549"/>
      <c r="B82" s="606"/>
      <c r="C82" s="607"/>
      <c r="D82" s="607"/>
      <c r="E82" s="598"/>
      <c r="F82" s="548"/>
      <c r="H82" s="547"/>
      <c r="I82" s="604"/>
      <c r="J82" s="603"/>
      <c r="K82" s="605"/>
      <c r="L82" s="603"/>
      <c r="M82" s="594"/>
      <c r="N82" s="598"/>
    </row>
    <row r="83" spans="1:14" x14ac:dyDescent="0.2">
      <c r="A83" s="549"/>
      <c r="B83" s="606"/>
      <c r="C83" s="607"/>
      <c r="D83" s="607"/>
      <c r="E83" s="598"/>
      <c r="F83" s="598"/>
      <c r="G83" s="598"/>
      <c r="H83" s="598"/>
      <c r="I83" s="604"/>
      <c r="J83" s="603"/>
      <c r="K83" s="605"/>
      <c r="L83" s="603"/>
      <c r="M83" s="594"/>
      <c r="N83" s="598"/>
    </row>
    <row r="84" spans="1:14" x14ac:dyDescent="0.2">
      <c r="A84" s="549"/>
      <c r="B84" s="606"/>
      <c r="C84" s="607"/>
      <c r="D84" s="607"/>
      <c r="E84" s="598"/>
      <c r="F84" s="599"/>
      <c r="G84" s="463"/>
      <c r="H84" s="463"/>
      <c r="I84" s="604"/>
      <c r="J84" s="603"/>
      <c r="K84" s="605"/>
      <c r="L84" s="603"/>
      <c r="M84" s="594"/>
      <c r="N84" s="598"/>
    </row>
    <row r="85" spans="1:14" x14ac:dyDescent="0.2">
      <c r="A85" s="549"/>
      <c r="B85" s="606"/>
      <c r="C85" s="607"/>
      <c r="D85" s="607"/>
      <c r="E85" s="598"/>
      <c r="F85" s="599"/>
      <c r="G85" s="463"/>
      <c r="H85" s="463"/>
      <c r="I85" s="604"/>
      <c r="J85" s="603"/>
      <c r="K85" s="605"/>
      <c r="L85" s="603"/>
      <c r="M85" s="594"/>
      <c r="N85" s="598"/>
    </row>
    <row r="86" spans="1:14" x14ac:dyDescent="0.2">
      <c r="A86" s="549"/>
      <c r="B86" s="606"/>
      <c r="C86" s="607"/>
      <c r="D86" s="607"/>
      <c r="E86" s="598"/>
      <c r="F86" s="599"/>
      <c r="G86" s="463"/>
      <c r="H86" s="463"/>
      <c r="I86" s="604"/>
      <c r="J86" s="603"/>
      <c r="K86" s="605"/>
      <c r="L86" s="603"/>
      <c r="M86" s="594"/>
      <c r="N86" s="598"/>
    </row>
    <row r="87" spans="1:14" x14ac:dyDescent="0.2">
      <c r="A87" s="549"/>
      <c r="B87" s="606"/>
      <c r="C87" s="607"/>
      <c r="D87" s="607"/>
      <c r="E87" s="598"/>
      <c r="F87" s="599"/>
      <c r="G87" s="463"/>
      <c r="H87" s="463"/>
      <c r="I87" s="463"/>
      <c r="J87" s="463"/>
      <c r="K87" s="463"/>
      <c r="L87" s="463"/>
      <c r="M87" s="463"/>
      <c r="N87" s="598"/>
    </row>
    <row r="88" spans="1:14" x14ac:dyDescent="0.2">
      <c r="A88" s="549"/>
      <c r="B88" s="606"/>
      <c r="C88" s="607"/>
      <c r="D88" s="607"/>
      <c r="E88" s="598"/>
      <c r="F88" s="599"/>
      <c r="G88" s="463"/>
      <c r="H88" s="463"/>
      <c r="I88" s="463"/>
      <c r="J88" s="463"/>
      <c r="K88" s="463"/>
      <c r="L88" s="463"/>
      <c r="M88" s="463"/>
    </row>
    <row r="89" spans="1:14" x14ac:dyDescent="0.2">
      <c r="A89" s="549"/>
      <c r="B89" s="606"/>
      <c r="C89" s="607"/>
      <c r="D89" s="607"/>
      <c r="E89" s="598"/>
      <c r="F89" s="599"/>
      <c r="G89" s="463"/>
      <c r="H89" s="463"/>
      <c r="I89" s="463"/>
      <c r="J89" s="463"/>
      <c r="K89" s="463"/>
      <c r="L89" s="463"/>
      <c r="M89" s="463"/>
    </row>
    <row r="90" spans="1:14" x14ac:dyDescent="0.2">
      <c r="A90" s="549"/>
      <c r="B90" s="606"/>
      <c r="C90" s="607"/>
      <c r="D90" s="607"/>
      <c r="E90" s="598"/>
      <c r="F90" s="599"/>
      <c r="G90" s="463"/>
      <c r="H90" s="463"/>
      <c r="I90" s="463"/>
      <c r="J90" s="463"/>
      <c r="K90" s="463"/>
      <c r="L90" s="463"/>
      <c r="M90" s="463"/>
    </row>
    <row r="91" spans="1:14" x14ac:dyDescent="0.2">
      <c r="A91" s="549"/>
      <c r="B91" s="606"/>
      <c r="C91" s="607"/>
      <c r="D91" s="607"/>
      <c r="E91" s="598"/>
      <c r="F91" s="599"/>
      <c r="G91" s="463"/>
      <c r="H91" s="593"/>
      <c r="I91" s="463"/>
      <c r="J91" s="463"/>
      <c r="K91" s="463"/>
      <c r="L91" s="463"/>
      <c r="M91" s="463"/>
    </row>
    <row r="92" spans="1:14" x14ac:dyDescent="0.2">
      <c r="A92" s="549"/>
      <c r="B92" s="606"/>
      <c r="C92" s="607"/>
      <c r="D92" s="607"/>
      <c r="E92" s="598"/>
      <c r="F92" s="599"/>
      <c r="G92" s="463"/>
      <c r="H92" s="593"/>
      <c r="I92" s="463"/>
      <c r="J92" s="463"/>
      <c r="K92" s="463"/>
      <c r="L92" s="463"/>
      <c r="M92" s="463"/>
    </row>
    <row r="93" spans="1:14" x14ac:dyDescent="0.2">
      <c r="A93" s="549"/>
      <c r="B93" s="606"/>
      <c r="C93" s="607"/>
      <c r="D93" s="607"/>
      <c r="E93" s="598"/>
      <c r="F93" s="599"/>
      <c r="G93" s="463"/>
      <c r="H93" s="593"/>
      <c r="I93" s="463"/>
      <c r="J93" s="463"/>
      <c r="K93" s="463"/>
      <c r="L93" s="463"/>
      <c r="M93" s="463"/>
    </row>
    <row r="94" spans="1:14" x14ac:dyDescent="0.2">
      <c r="A94" s="549"/>
      <c r="B94" s="606"/>
      <c r="C94" s="607"/>
      <c r="D94" s="607"/>
      <c r="E94" s="598"/>
      <c r="F94" s="599"/>
      <c r="G94" s="463"/>
      <c r="H94" s="463"/>
      <c r="I94" s="463"/>
      <c r="J94" s="463"/>
      <c r="K94" s="463"/>
      <c r="L94" s="463"/>
      <c r="M94" s="463"/>
    </row>
    <row r="95" spans="1:14" x14ac:dyDescent="0.2">
      <c r="A95" s="549"/>
      <c r="B95" s="606"/>
      <c r="C95" s="607"/>
      <c r="D95" s="607"/>
      <c r="E95" s="598"/>
      <c r="F95" s="599"/>
      <c r="G95" s="463"/>
      <c r="H95" s="463"/>
      <c r="I95" s="463"/>
      <c r="J95" s="463"/>
      <c r="K95" s="463"/>
      <c r="L95" s="463"/>
      <c r="M95" s="463"/>
    </row>
    <row r="96" spans="1:14" x14ac:dyDescent="0.2">
      <c r="A96" s="549"/>
      <c r="B96" s="606"/>
      <c r="C96" s="607"/>
      <c r="D96" s="607"/>
      <c r="E96" s="598"/>
      <c r="F96" s="599"/>
      <c r="G96" s="463"/>
      <c r="H96" s="463"/>
      <c r="I96" s="463"/>
      <c r="J96" s="463"/>
      <c r="K96" s="463"/>
      <c r="L96" s="463"/>
      <c r="M96" s="463"/>
    </row>
    <row r="97" spans="1:13" x14ac:dyDescent="0.2">
      <c r="A97" s="549"/>
      <c r="B97" s="606"/>
      <c r="C97" s="607"/>
      <c r="D97" s="607"/>
      <c r="E97" s="598"/>
      <c r="F97" s="599"/>
      <c r="G97" s="463"/>
      <c r="H97" s="593"/>
      <c r="I97" s="463"/>
      <c r="J97" s="463"/>
      <c r="K97" s="463"/>
      <c r="L97" s="463"/>
      <c r="M97" s="463"/>
    </row>
    <row r="98" spans="1:13" x14ac:dyDescent="0.2">
      <c r="A98" s="549"/>
      <c r="B98" s="606"/>
      <c r="C98" s="607"/>
      <c r="D98" s="607"/>
      <c r="E98" s="598"/>
      <c r="F98" s="599"/>
      <c r="G98" s="463"/>
      <c r="H98" s="463"/>
      <c r="I98" s="463"/>
      <c r="J98" s="463"/>
      <c r="K98" s="463"/>
      <c r="L98" s="463"/>
      <c r="M98" s="463"/>
    </row>
    <row r="99" spans="1:13" x14ac:dyDescent="0.2">
      <c r="A99" s="549"/>
      <c r="B99" s="606"/>
      <c r="C99" s="607"/>
      <c r="D99" s="607"/>
      <c r="E99" s="598"/>
      <c r="F99" s="548"/>
      <c r="H99" s="547"/>
      <c r="I99" s="463"/>
    </row>
    <row r="100" spans="1:13" x14ac:dyDescent="0.2">
      <c r="A100" s="549"/>
      <c r="B100" s="606"/>
      <c r="C100" s="607"/>
      <c r="D100" s="607"/>
      <c r="E100" s="598"/>
      <c r="F100" s="545"/>
      <c r="H100" s="547"/>
      <c r="I100" s="463"/>
    </row>
    <row r="101" spans="1:13" x14ac:dyDescent="0.2">
      <c r="A101" s="549"/>
      <c r="B101" s="606"/>
      <c r="C101" s="607"/>
      <c r="D101" s="607"/>
      <c r="E101" s="598"/>
      <c r="F101" s="548"/>
      <c r="H101" s="547"/>
      <c r="I101" s="463"/>
    </row>
    <row r="102" spans="1:13" x14ac:dyDescent="0.2">
      <c r="A102" s="549"/>
      <c r="B102" s="606"/>
      <c r="C102" s="607"/>
      <c r="D102" s="607"/>
      <c r="E102" s="591"/>
      <c r="F102" s="548"/>
      <c r="H102" s="547"/>
      <c r="I102" s="463"/>
    </row>
    <row r="103" spans="1:13" x14ac:dyDescent="0.2">
      <c r="A103" s="549"/>
      <c r="B103" s="606"/>
      <c r="C103" s="607"/>
      <c r="D103" s="607"/>
      <c r="E103" s="598"/>
      <c r="F103" s="548"/>
      <c r="H103" s="546"/>
    </row>
    <row r="104" spans="1:13" x14ac:dyDescent="0.2">
      <c r="A104" s="549"/>
      <c r="B104" s="606"/>
      <c r="C104" s="607"/>
      <c r="D104" s="607"/>
      <c r="E104" s="598"/>
      <c r="F104" s="548"/>
      <c r="H104" s="547"/>
    </row>
    <row r="105" spans="1:13" x14ac:dyDescent="0.2">
      <c r="A105" s="549"/>
      <c r="B105" s="606"/>
      <c r="C105" s="607"/>
      <c r="D105" s="607"/>
      <c r="E105" s="598"/>
      <c r="F105" s="548"/>
      <c r="H105" s="547"/>
    </row>
    <row r="106" spans="1:13" x14ac:dyDescent="0.2">
      <c r="A106" s="549"/>
      <c r="B106" s="606"/>
      <c r="C106" s="607"/>
      <c r="D106" s="607"/>
      <c r="E106" s="598"/>
      <c r="F106" s="548"/>
      <c r="H106" s="547"/>
    </row>
    <row r="107" spans="1:13" x14ac:dyDescent="0.2">
      <c r="A107" s="549"/>
      <c r="B107" s="606"/>
      <c r="C107" s="607"/>
      <c r="D107" s="607"/>
      <c r="E107" s="598"/>
      <c r="F107" s="545"/>
      <c r="H107" s="547"/>
    </row>
    <row r="108" spans="1:13" x14ac:dyDescent="0.2">
      <c r="A108" s="549"/>
      <c r="B108" s="606"/>
      <c r="C108" s="607"/>
      <c r="D108" s="607"/>
      <c r="E108" s="598"/>
      <c r="F108" s="548"/>
      <c r="H108" s="547"/>
    </row>
    <row r="109" spans="1:13" x14ac:dyDescent="0.2">
      <c r="A109" s="549"/>
      <c r="B109" s="606"/>
      <c r="C109" s="607"/>
      <c r="D109" s="607"/>
      <c r="E109" s="598"/>
      <c r="F109" s="548"/>
      <c r="H109" s="547"/>
    </row>
    <row r="110" spans="1:13" x14ac:dyDescent="0.2">
      <c r="A110" s="549"/>
      <c r="B110" s="606"/>
      <c r="C110" s="607"/>
      <c r="D110" s="607"/>
      <c r="E110" s="598"/>
      <c r="F110" s="548"/>
      <c r="H110" s="547"/>
    </row>
    <row r="111" spans="1:13" x14ac:dyDescent="0.2">
      <c r="A111" s="549"/>
      <c r="B111" s="606"/>
      <c r="C111" s="607"/>
      <c r="D111" s="607"/>
      <c r="E111" s="598"/>
      <c r="F111" s="548"/>
      <c r="H111" s="547"/>
    </row>
    <row r="112" spans="1:13" x14ac:dyDescent="0.2">
      <c r="A112" s="549"/>
      <c r="B112" s="606"/>
      <c r="C112" s="607"/>
      <c r="D112" s="607"/>
      <c r="E112" s="598"/>
      <c r="F112" s="548"/>
      <c r="H112" s="547"/>
    </row>
    <row r="113" spans="1:8" x14ac:dyDescent="0.2">
      <c r="A113" s="549"/>
      <c r="B113" s="606"/>
      <c r="C113" s="607"/>
      <c r="D113" s="607"/>
      <c r="E113" s="598"/>
      <c r="F113" s="548"/>
      <c r="H113" s="547"/>
    </row>
    <row r="114" spans="1:8" x14ac:dyDescent="0.2">
      <c r="A114" s="549"/>
      <c r="B114" s="606"/>
      <c r="C114" s="607"/>
      <c r="D114" s="607"/>
      <c r="E114" s="598"/>
      <c r="F114" s="545"/>
      <c r="H114" s="547"/>
    </row>
    <row r="115" spans="1:8" x14ac:dyDescent="0.2">
      <c r="A115" s="549"/>
      <c r="B115" s="606"/>
      <c r="C115" s="607"/>
      <c r="D115" s="607"/>
      <c r="E115" s="598"/>
      <c r="F115" s="548"/>
      <c r="H115" s="546"/>
    </row>
    <row r="116" spans="1:8" x14ac:dyDescent="0.2">
      <c r="A116" s="549"/>
      <c r="B116" s="606"/>
      <c r="C116" s="607"/>
      <c r="D116" s="607"/>
      <c r="E116" s="598"/>
      <c r="F116" s="548"/>
      <c r="H116" s="547"/>
    </row>
    <row r="117" spans="1:8" x14ac:dyDescent="0.2">
      <c r="A117" s="549"/>
      <c r="B117" s="606"/>
      <c r="C117" s="607"/>
      <c r="D117" s="607"/>
      <c r="E117" s="598"/>
      <c r="F117" s="548"/>
      <c r="H117" s="547"/>
    </row>
    <row r="118" spans="1:8" x14ac:dyDescent="0.2">
      <c r="A118" s="549"/>
      <c r="B118" s="606"/>
      <c r="C118" s="607"/>
      <c r="D118" s="607"/>
      <c r="E118" s="598"/>
      <c r="F118" s="548"/>
      <c r="H118" s="547"/>
    </row>
    <row r="119" spans="1:8" x14ac:dyDescent="0.2">
      <c r="A119" s="549"/>
      <c r="B119" s="606"/>
      <c r="C119" s="607"/>
      <c r="D119" s="607"/>
      <c r="E119" s="598"/>
      <c r="F119" s="545"/>
      <c r="H119" s="547"/>
    </row>
    <row r="120" spans="1:8" x14ac:dyDescent="0.2">
      <c r="A120" s="549"/>
      <c r="B120" s="606"/>
      <c r="C120" s="607"/>
      <c r="D120" s="607"/>
      <c r="E120" s="598"/>
      <c r="F120" s="548"/>
      <c r="H120" s="547"/>
    </row>
    <row r="121" spans="1:8" x14ac:dyDescent="0.2">
      <c r="A121" s="549"/>
      <c r="B121" s="606"/>
      <c r="C121" s="607"/>
      <c r="D121" s="607"/>
      <c r="E121" s="598"/>
      <c r="F121" s="548"/>
      <c r="H121" s="547"/>
    </row>
    <row r="122" spans="1:8" x14ac:dyDescent="0.2">
      <c r="A122" s="549"/>
      <c r="B122" s="606"/>
      <c r="C122" s="607"/>
      <c r="D122" s="607"/>
      <c r="E122" s="598"/>
      <c r="F122" s="545"/>
      <c r="H122" s="547"/>
    </row>
    <row r="123" spans="1:8" x14ac:dyDescent="0.2">
      <c r="A123" s="549"/>
      <c r="B123" s="606"/>
      <c r="C123" s="607"/>
      <c r="D123" s="607"/>
      <c r="E123" s="598"/>
      <c r="F123" s="548"/>
      <c r="H123" s="547"/>
    </row>
    <row r="124" spans="1:8" x14ac:dyDescent="0.2">
      <c r="A124" s="549"/>
      <c r="B124" s="606"/>
      <c r="C124" s="607"/>
      <c r="D124" s="607"/>
      <c r="E124" s="598"/>
      <c r="F124" s="548"/>
      <c r="H124" s="547"/>
    </row>
    <row r="125" spans="1:8" x14ac:dyDescent="0.2">
      <c r="A125" s="549"/>
      <c r="B125" s="606"/>
      <c r="C125" s="607"/>
      <c r="D125" s="607"/>
      <c r="E125" s="598"/>
      <c r="F125" s="548"/>
      <c r="H125" s="546"/>
    </row>
    <row r="126" spans="1:8" x14ac:dyDescent="0.2">
      <c r="A126" s="549"/>
      <c r="B126" s="606"/>
      <c r="C126" s="607"/>
      <c r="D126" s="607"/>
      <c r="E126" s="598"/>
      <c r="F126" s="548"/>
      <c r="H126" s="547"/>
    </row>
    <row r="127" spans="1:8" x14ac:dyDescent="0.2">
      <c r="A127" s="549"/>
      <c r="B127" s="606"/>
      <c r="C127" s="607"/>
      <c r="D127" s="607"/>
      <c r="E127" s="598"/>
      <c r="F127" s="548"/>
      <c r="H127" s="547"/>
    </row>
    <row r="128" spans="1:8" x14ac:dyDescent="0.2">
      <c r="A128" s="549"/>
      <c r="B128" s="606"/>
      <c r="C128" s="607"/>
      <c r="D128" s="607"/>
      <c r="E128" s="598"/>
      <c r="F128" s="545"/>
      <c r="H128" s="547"/>
    </row>
    <row r="129" spans="1:8" x14ac:dyDescent="0.2">
      <c r="A129" s="549"/>
      <c r="B129" s="606"/>
      <c r="C129" s="607"/>
      <c r="D129" s="607"/>
      <c r="E129" s="598"/>
      <c r="F129" s="545"/>
      <c r="H129" s="547"/>
    </row>
    <row r="130" spans="1:8" x14ac:dyDescent="0.2">
      <c r="A130" s="549"/>
      <c r="B130" s="606"/>
      <c r="C130" s="607"/>
      <c r="D130" s="607"/>
      <c r="E130" s="598"/>
      <c r="F130" s="548"/>
      <c r="H130" s="546"/>
    </row>
    <row r="131" spans="1:8" x14ac:dyDescent="0.2">
      <c r="A131" s="549"/>
      <c r="B131" s="606"/>
      <c r="C131" s="607"/>
      <c r="D131" s="607"/>
      <c r="E131" s="598"/>
      <c r="F131" s="548"/>
      <c r="H131" s="547"/>
    </row>
    <row r="132" spans="1:8" x14ac:dyDescent="0.2">
      <c r="A132" s="549"/>
      <c r="B132" s="606"/>
      <c r="C132" s="607"/>
      <c r="D132" s="607"/>
      <c r="E132" s="598"/>
      <c r="F132" s="548"/>
      <c r="H132" s="547"/>
    </row>
    <row r="133" spans="1:8" x14ac:dyDescent="0.2">
      <c r="A133" s="549"/>
      <c r="B133" s="606"/>
      <c r="C133" s="607"/>
      <c r="D133" s="607"/>
      <c r="E133" s="598"/>
      <c r="F133" s="548"/>
      <c r="H133" s="547"/>
    </row>
    <row r="134" spans="1:8" x14ac:dyDescent="0.2">
      <c r="A134" s="549"/>
      <c r="B134" s="606"/>
      <c r="C134" s="607"/>
      <c r="D134" s="607"/>
      <c r="E134" s="598"/>
      <c r="F134" s="545"/>
      <c r="H134" s="547"/>
    </row>
    <row r="135" spans="1:8" x14ac:dyDescent="0.2">
      <c r="A135" s="549"/>
      <c r="B135" s="606"/>
      <c r="C135" s="607"/>
      <c r="D135" s="607"/>
      <c r="E135" s="598"/>
      <c r="F135" s="548"/>
      <c r="H135" s="547"/>
    </row>
    <row r="136" spans="1:8" x14ac:dyDescent="0.2">
      <c r="A136" s="549"/>
      <c r="B136" s="606"/>
      <c r="C136" s="607"/>
      <c r="D136" s="607"/>
      <c r="E136" s="598"/>
      <c r="F136" s="548"/>
      <c r="H136" s="547"/>
    </row>
    <row r="137" spans="1:8" x14ac:dyDescent="0.2">
      <c r="A137" s="549"/>
      <c r="B137" s="606"/>
      <c r="C137" s="607"/>
      <c r="D137" s="607"/>
      <c r="E137" s="598"/>
      <c r="F137" s="548"/>
      <c r="H137" s="547"/>
    </row>
    <row r="138" spans="1:8" x14ac:dyDescent="0.2">
      <c r="A138" s="549"/>
      <c r="B138" s="606"/>
      <c r="C138" s="607"/>
      <c r="D138" s="607"/>
      <c r="E138" s="598"/>
      <c r="F138" s="548"/>
      <c r="H138" s="547"/>
    </row>
    <row r="139" spans="1:8" x14ac:dyDescent="0.2">
      <c r="A139" s="549"/>
      <c r="B139" s="606"/>
      <c r="C139" s="607"/>
      <c r="D139" s="607"/>
      <c r="E139" s="598"/>
      <c r="F139" s="548"/>
      <c r="H139" s="547"/>
    </row>
    <row r="140" spans="1:8" x14ac:dyDescent="0.2">
      <c r="A140" s="549"/>
      <c r="B140" s="606"/>
      <c r="C140" s="607"/>
      <c r="D140" s="607"/>
      <c r="E140" s="598"/>
      <c r="F140" s="548"/>
      <c r="H140" s="547"/>
    </row>
    <row r="141" spans="1:8" x14ac:dyDescent="0.2">
      <c r="A141" s="549"/>
      <c r="B141" s="606"/>
      <c r="C141" s="607"/>
      <c r="D141" s="607"/>
      <c r="E141" s="598"/>
      <c r="F141" s="548"/>
      <c r="H141" s="547"/>
    </row>
    <row r="142" spans="1:8" x14ac:dyDescent="0.2">
      <c r="A142" s="549"/>
      <c r="B142" s="606"/>
      <c r="C142" s="607"/>
      <c r="D142" s="607"/>
      <c r="E142" s="598"/>
      <c r="F142" s="548"/>
      <c r="H142" s="547"/>
    </row>
    <row r="143" spans="1:8" x14ac:dyDescent="0.2">
      <c r="A143" s="549"/>
      <c r="B143" s="606"/>
      <c r="C143" s="607"/>
      <c r="D143" s="607"/>
      <c r="E143" s="598"/>
      <c r="F143" s="548"/>
      <c r="H143" s="547"/>
    </row>
    <row r="144" spans="1:8" x14ac:dyDescent="0.2">
      <c r="A144" s="549"/>
      <c r="B144" s="606"/>
      <c r="C144" s="607"/>
      <c r="D144" s="607"/>
      <c r="E144" s="591"/>
      <c r="F144" s="548"/>
      <c r="H144" s="547"/>
    </row>
    <row r="145" spans="2:8" x14ac:dyDescent="0.2">
      <c r="B145" s="606"/>
      <c r="C145" s="607"/>
      <c r="D145" s="607"/>
      <c r="F145" s="548"/>
      <c r="H145" s="547"/>
    </row>
    <row r="146" spans="2:8" x14ac:dyDescent="0.2">
      <c r="B146" s="606"/>
      <c r="C146" s="607"/>
      <c r="D146" s="607"/>
      <c r="F146" s="548"/>
      <c r="H146" s="546"/>
    </row>
    <row r="147" spans="2:8" x14ac:dyDescent="0.2">
      <c r="B147" s="606"/>
      <c r="C147" s="607"/>
      <c r="D147" s="607"/>
      <c r="F147" s="548"/>
      <c r="H147" s="546"/>
    </row>
    <row r="148" spans="2:8" x14ac:dyDescent="0.2">
      <c r="B148" s="606"/>
      <c r="C148" s="607"/>
      <c r="D148" s="607"/>
      <c r="F148" s="548"/>
      <c r="H148" s="547"/>
    </row>
    <row r="149" spans="2:8" x14ac:dyDescent="0.2">
      <c r="B149" s="606"/>
      <c r="C149" s="607"/>
      <c r="D149" s="607"/>
      <c r="F149" s="548"/>
      <c r="H149" s="546"/>
    </row>
    <row r="150" spans="2:8" x14ac:dyDescent="0.2">
      <c r="B150" s="606"/>
      <c r="C150" s="607"/>
      <c r="D150" s="607"/>
      <c r="F150" s="545"/>
      <c r="H150" s="546"/>
    </row>
    <row r="151" spans="2:8" x14ac:dyDescent="0.2">
      <c r="B151" s="606"/>
      <c r="C151" s="607"/>
      <c r="D151" s="607"/>
      <c r="F151" s="545"/>
      <c r="H151" s="547"/>
    </row>
    <row r="152" spans="2:8" x14ac:dyDescent="0.2">
      <c r="B152" s="606"/>
      <c r="C152" s="607"/>
      <c r="D152" s="607"/>
      <c r="F152" s="548"/>
      <c r="H152" s="547"/>
    </row>
    <row r="153" spans="2:8" x14ac:dyDescent="0.2">
      <c r="B153" s="606"/>
      <c r="C153" s="607"/>
      <c r="D153" s="607"/>
      <c r="F153" s="545"/>
      <c r="H153" s="547"/>
    </row>
    <row r="154" spans="2:8" x14ac:dyDescent="0.2">
      <c r="B154" s="606"/>
      <c r="C154" s="607"/>
      <c r="D154" s="607"/>
      <c r="F154" s="545"/>
      <c r="H154" s="546"/>
    </row>
    <row r="155" spans="2:8" x14ac:dyDescent="0.2">
      <c r="B155" s="606"/>
      <c r="C155" s="607"/>
      <c r="D155" s="607"/>
      <c r="F155" s="548"/>
      <c r="H155" s="547"/>
    </row>
    <row r="156" spans="2:8" x14ac:dyDescent="0.2">
      <c r="B156" s="606"/>
      <c r="C156" s="607"/>
      <c r="D156" s="607"/>
      <c r="F156" s="548"/>
      <c r="H156" s="547"/>
    </row>
    <row r="157" spans="2:8" x14ac:dyDescent="0.2">
      <c r="B157" s="606"/>
      <c r="C157" s="607"/>
      <c r="D157" s="607"/>
      <c r="F157" s="548"/>
      <c r="H157" s="546"/>
    </row>
    <row r="158" spans="2:8" x14ac:dyDescent="0.2">
      <c r="B158" s="606"/>
      <c r="C158" s="607"/>
      <c r="D158" s="607"/>
      <c r="F158" s="545"/>
      <c r="H158" s="547"/>
    </row>
    <row r="159" spans="2:8" x14ac:dyDescent="0.2">
      <c r="B159" s="606"/>
      <c r="C159" s="607"/>
      <c r="D159" s="607"/>
      <c r="F159" s="548"/>
      <c r="H159" s="547"/>
    </row>
    <row r="160" spans="2:8" x14ac:dyDescent="0.2">
      <c r="B160" s="606"/>
      <c r="C160" s="607"/>
      <c r="D160" s="607"/>
      <c r="F160" s="548"/>
      <c r="H160" s="547"/>
    </row>
    <row r="161" spans="2:8" x14ac:dyDescent="0.2">
      <c r="B161" s="606"/>
      <c r="C161" s="607"/>
      <c r="D161" s="607"/>
      <c r="F161" s="545"/>
      <c r="H161" s="547"/>
    </row>
    <row r="162" spans="2:8" x14ac:dyDescent="0.2">
      <c r="B162" s="606"/>
      <c r="C162" s="607"/>
      <c r="D162" s="607"/>
      <c r="F162" s="548"/>
      <c r="H162" s="547"/>
    </row>
    <row r="163" spans="2:8" x14ac:dyDescent="0.2">
      <c r="B163" s="606"/>
      <c r="C163" s="607"/>
      <c r="D163" s="607"/>
      <c r="F163" s="548"/>
      <c r="H163" s="546"/>
    </row>
    <row r="164" spans="2:8" x14ac:dyDescent="0.2">
      <c r="B164" s="606"/>
      <c r="C164" s="607"/>
      <c r="D164" s="607"/>
      <c r="F164" s="548"/>
      <c r="H164" s="547"/>
    </row>
    <row r="165" spans="2:8" x14ac:dyDescent="0.2">
      <c r="B165" s="606"/>
      <c r="C165" s="607"/>
      <c r="D165" s="607"/>
      <c r="F165" s="548"/>
      <c r="H165" s="547"/>
    </row>
    <row r="166" spans="2:8" x14ac:dyDescent="0.2">
      <c r="B166" s="606"/>
      <c r="C166" s="607"/>
      <c r="D166" s="607"/>
      <c r="F166" s="545"/>
      <c r="H166" s="546"/>
    </row>
    <row r="167" spans="2:8" x14ac:dyDescent="0.2">
      <c r="B167" s="606"/>
      <c r="C167" s="607"/>
      <c r="D167" s="607"/>
      <c r="F167" s="545"/>
      <c r="H167" s="546"/>
    </row>
    <row r="168" spans="2:8" x14ac:dyDescent="0.2">
      <c r="B168" s="606"/>
      <c r="C168" s="607"/>
      <c r="D168" s="607"/>
      <c r="F168" s="545"/>
      <c r="H168" s="546"/>
    </row>
    <row r="169" spans="2:8" x14ac:dyDescent="0.2">
      <c r="B169" s="606"/>
      <c r="C169" s="607"/>
      <c r="D169" s="607"/>
      <c r="F169" s="548"/>
      <c r="H169" s="547"/>
    </row>
    <row r="170" spans="2:8" x14ac:dyDescent="0.2">
      <c r="B170" s="606"/>
      <c r="C170" s="607"/>
      <c r="D170" s="607"/>
      <c r="F170" s="545"/>
      <c r="H170" s="546"/>
    </row>
    <row r="171" spans="2:8" x14ac:dyDescent="0.2">
      <c r="B171" s="606"/>
      <c r="C171" s="607"/>
      <c r="D171" s="607"/>
      <c r="F171" s="545"/>
      <c r="H171" s="546"/>
    </row>
    <row r="172" spans="2:8" x14ac:dyDescent="0.2">
      <c r="B172" s="606"/>
      <c r="C172" s="607"/>
      <c r="D172" s="607"/>
      <c r="F172" s="545"/>
      <c r="H172" s="547"/>
    </row>
    <row r="173" spans="2:8" x14ac:dyDescent="0.2">
      <c r="B173" s="606"/>
      <c r="C173" s="607"/>
      <c r="D173" s="607"/>
      <c r="F173" s="545"/>
      <c r="H173" s="546"/>
    </row>
    <row r="174" spans="2:8" x14ac:dyDescent="0.2">
      <c r="B174" s="606"/>
      <c r="C174" s="607"/>
      <c r="D174" s="607"/>
      <c r="F174" s="545"/>
      <c r="H174" s="547"/>
    </row>
    <row r="175" spans="2:8" x14ac:dyDescent="0.2">
      <c r="B175" s="606"/>
      <c r="C175" s="607"/>
      <c r="D175" s="607"/>
      <c r="F175" s="545"/>
      <c r="H175" s="547"/>
    </row>
    <row r="176" spans="2:8" x14ac:dyDescent="0.2">
      <c r="B176" s="606"/>
      <c r="C176" s="607"/>
      <c r="D176" s="607"/>
      <c r="F176" s="548"/>
      <c r="H176" s="547"/>
    </row>
    <row r="177" spans="2:8" x14ac:dyDescent="0.2">
      <c r="B177" s="606"/>
      <c r="C177" s="607"/>
      <c r="D177" s="607"/>
      <c r="F177" s="548"/>
      <c r="H177" s="547"/>
    </row>
    <row r="178" spans="2:8" x14ac:dyDescent="0.2">
      <c r="B178" s="606"/>
      <c r="C178" s="607"/>
      <c r="D178" s="607"/>
      <c r="F178" s="548"/>
      <c r="H178" s="547"/>
    </row>
    <row r="179" spans="2:8" x14ac:dyDescent="0.2">
      <c r="B179" s="606"/>
      <c r="C179" s="607"/>
      <c r="D179" s="607"/>
      <c r="F179" s="548"/>
      <c r="H179" s="547"/>
    </row>
    <row r="180" spans="2:8" x14ac:dyDescent="0.2">
      <c r="B180" s="606"/>
      <c r="C180" s="607"/>
      <c r="D180" s="607"/>
      <c r="F180" s="548"/>
      <c r="H180" s="546"/>
    </row>
    <row r="181" spans="2:8" x14ac:dyDescent="0.2">
      <c r="B181" s="606"/>
      <c r="C181" s="607"/>
      <c r="D181" s="607"/>
      <c r="F181" s="548"/>
      <c r="H181" s="547"/>
    </row>
    <row r="182" spans="2:8" x14ac:dyDescent="0.2">
      <c r="B182" s="606"/>
      <c r="C182" s="607"/>
      <c r="D182" s="607"/>
      <c r="F182" s="548"/>
      <c r="H182" s="546"/>
    </row>
    <row r="183" spans="2:8" x14ac:dyDescent="0.2">
      <c r="B183" s="606"/>
      <c r="C183" s="607"/>
      <c r="D183" s="607"/>
      <c r="F183" s="548"/>
      <c r="H183" s="547"/>
    </row>
    <row r="184" spans="2:8" x14ac:dyDescent="0.2">
      <c r="B184" s="606"/>
      <c r="C184" s="607"/>
      <c r="D184" s="607"/>
      <c r="F184" s="548"/>
      <c r="H184" s="547"/>
    </row>
    <row r="185" spans="2:8" x14ac:dyDescent="0.2">
      <c r="B185" s="606"/>
      <c r="C185" s="607"/>
      <c r="D185" s="607"/>
      <c r="F185" s="545"/>
      <c r="H185" s="547"/>
    </row>
    <row r="186" spans="2:8" x14ac:dyDescent="0.2">
      <c r="B186" s="606"/>
      <c r="C186" s="607"/>
      <c r="D186" s="607"/>
      <c r="F186" s="545"/>
      <c r="H186" s="547"/>
    </row>
    <row r="187" spans="2:8" x14ac:dyDescent="0.2">
      <c r="B187" s="606"/>
      <c r="C187" s="607"/>
      <c r="D187" s="607"/>
      <c r="F187" s="545"/>
      <c r="H187" s="547"/>
    </row>
    <row r="188" spans="2:8" x14ac:dyDescent="0.2">
      <c r="B188" s="606"/>
      <c r="C188" s="607"/>
      <c r="D188" s="607"/>
      <c r="F188" s="548"/>
      <c r="H188" s="547"/>
    </row>
    <row r="189" spans="2:8" x14ac:dyDescent="0.2">
      <c r="B189" s="606"/>
      <c r="C189" s="607"/>
      <c r="D189" s="607"/>
      <c r="F189" s="548"/>
      <c r="H189" s="547"/>
    </row>
    <row r="190" spans="2:8" x14ac:dyDescent="0.2">
      <c r="B190" s="606"/>
      <c r="C190" s="607"/>
      <c r="D190" s="607"/>
      <c r="F190" s="548"/>
      <c r="H190" s="547"/>
    </row>
    <row r="191" spans="2:8" x14ac:dyDescent="0.2">
      <c r="B191" s="606"/>
      <c r="C191" s="607"/>
      <c r="D191" s="607"/>
      <c r="F191" s="545"/>
      <c r="H191" s="547"/>
    </row>
    <row r="192" spans="2:8" x14ac:dyDescent="0.2">
      <c r="B192" s="606"/>
      <c r="C192" s="607"/>
      <c r="D192" s="607"/>
      <c r="F192" s="548"/>
      <c r="H192" s="547"/>
    </row>
    <row r="193" spans="2:8" x14ac:dyDescent="0.2">
      <c r="B193" s="606"/>
      <c r="C193" s="607"/>
      <c r="D193" s="607"/>
      <c r="F193" s="548"/>
      <c r="H193" s="547"/>
    </row>
    <row r="194" spans="2:8" x14ac:dyDescent="0.2">
      <c r="B194" s="606"/>
      <c r="C194" s="607"/>
      <c r="D194" s="607"/>
      <c r="F194" s="548"/>
      <c r="H194" s="547"/>
    </row>
    <row r="195" spans="2:8" x14ac:dyDescent="0.2">
      <c r="B195" s="606"/>
      <c r="C195" s="607"/>
      <c r="D195" s="607"/>
      <c r="F195" s="548"/>
      <c r="H195" s="547"/>
    </row>
    <row r="196" spans="2:8" x14ac:dyDescent="0.2">
      <c r="B196" s="606"/>
      <c r="C196" s="607"/>
      <c r="D196" s="607"/>
      <c r="F196" s="548"/>
      <c r="H196" s="547"/>
    </row>
    <row r="197" spans="2:8" x14ac:dyDescent="0.2">
      <c r="B197" s="606"/>
      <c r="C197" s="607"/>
      <c r="D197" s="607"/>
      <c r="F197" s="548"/>
      <c r="H197" s="547"/>
    </row>
    <row r="198" spans="2:8" x14ac:dyDescent="0.2">
      <c r="B198" s="606"/>
      <c r="C198" s="607"/>
      <c r="D198" s="607"/>
      <c r="F198" s="545"/>
      <c r="H198" s="546"/>
    </row>
    <row r="199" spans="2:8" x14ac:dyDescent="0.2">
      <c r="B199" s="606"/>
      <c r="C199" s="607"/>
      <c r="D199" s="607"/>
      <c r="F199" s="548"/>
      <c r="H199" s="546"/>
    </row>
    <row r="200" spans="2:8" x14ac:dyDescent="0.2">
      <c r="B200" s="606"/>
      <c r="C200" s="607"/>
      <c r="D200" s="607"/>
      <c r="F200" s="548"/>
      <c r="H200" s="546"/>
    </row>
    <row r="201" spans="2:8" x14ac:dyDescent="0.2">
      <c r="B201" s="606"/>
      <c r="C201" s="607"/>
      <c r="D201" s="607"/>
      <c r="F201" s="548"/>
      <c r="H201" s="547"/>
    </row>
    <row r="202" spans="2:8" x14ac:dyDescent="0.2">
      <c r="B202" s="606"/>
      <c r="C202" s="607"/>
      <c r="D202" s="607"/>
      <c r="F202" s="548"/>
      <c r="H202" s="547"/>
    </row>
    <row r="203" spans="2:8" x14ac:dyDescent="0.2">
      <c r="B203" s="606"/>
      <c r="C203" s="607"/>
      <c r="D203" s="607"/>
      <c r="F203" s="545"/>
      <c r="H203" s="546"/>
    </row>
    <row r="204" spans="2:8" x14ac:dyDescent="0.2">
      <c r="B204" s="606"/>
      <c r="C204" s="607"/>
      <c r="D204" s="607"/>
      <c r="F204" s="545"/>
      <c r="H204" s="547"/>
    </row>
    <row r="205" spans="2:8" x14ac:dyDescent="0.2">
      <c r="B205" s="606"/>
      <c r="C205" s="607"/>
      <c r="D205" s="607"/>
      <c r="F205" s="545"/>
      <c r="H205" s="547"/>
    </row>
    <row r="206" spans="2:8" x14ac:dyDescent="0.2">
      <c r="B206" s="606"/>
      <c r="C206" s="607"/>
      <c r="D206" s="607"/>
      <c r="F206" s="548"/>
      <c r="H206" s="546"/>
    </row>
    <row r="207" spans="2:8" x14ac:dyDescent="0.2">
      <c r="B207" s="606"/>
      <c r="C207" s="607"/>
      <c r="D207" s="607"/>
      <c r="F207" s="548"/>
      <c r="H207" s="546"/>
    </row>
    <row r="208" spans="2:8" x14ac:dyDescent="0.2">
      <c r="B208" s="606"/>
      <c r="C208" s="607"/>
      <c r="D208" s="607"/>
      <c r="F208" s="548"/>
      <c r="H208" s="546"/>
    </row>
    <row r="209" spans="2:8" x14ac:dyDescent="0.2">
      <c r="B209" s="606"/>
      <c r="C209" s="607"/>
      <c r="D209" s="607"/>
      <c r="F209" s="548"/>
      <c r="H209" s="547"/>
    </row>
    <row r="210" spans="2:8" x14ac:dyDescent="0.2">
      <c r="B210" s="606"/>
      <c r="C210" s="607"/>
      <c r="D210" s="607"/>
      <c r="F210" s="545"/>
      <c r="H210" s="547"/>
    </row>
    <row r="211" spans="2:8" x14ac:dyDescent="0.2">
      <c r="B211" s="606"/>
      <c r="C211" s="607"/>
      <c r="D211" s="607"/>
      <c r="F211" s="545"/>
      <c r="H211" s="546"/>
    </row>
    <row r="212" spans="2:8" x14ac:dyDescent="0.2">
      <c r="B212" s="606"/>
      <c r="C212" s="607"/>
      <c r="D212" s="607"/>
      <c r="F212" s="545"/>
      <c r="H212" s="547"/>
    </row>
    <row r="213" spans="2:8" x14ac:dyDescent="0.2">
      <c r="B213" s="606"/>
      <c r="C213" s="607"/>
      <c r="D213" s="607"/>
      <c r="F213" s="548"/>
      <c r="H213" s="547"/>
    </row>
    <row r="214" spans="2:8" x14ac:dyDescent="0.2">
      <c r="B214" s="606"/>
      <c r="C214" s="607"/>
      <c r="D214" s="607"/>
      <c r="F214" s="548"/>
      <c r="H214" s="547"/>
    </row>
    <row r="215" spans="2:8" x14ac:dyDescent="0.2">
      <c r="B215" s="606"/>
      <c r="C215" s="607"/>
      <c r="D215" s="607"/>
      <c r="F215" s="545"/>
      <c r="H215" s="547"/>
    </row>
    <row r="216" spans="2:8" x14ac:dyDescent="0.2">
      <c r="B216" s="606"/>
      <c r="C216" s="607"/>
      <c r="D216" s="607"/>
      <c r="F216" s="545"/>
      <c r="H216" s="546"/>
    </row>
    <row r="217" spans="2:8" x14ac:dyDescent="0.2">
      <c r="B217" s="606"/>
      <c r="C217" s="607"/>
      <c r="D217" s="607"/>
      <c r="F217" s="548"/>
      <c r="H217" s="547"/>
    </row>
    <row r="218" spans="2:8" x14ac:dyDescent="0.2">
      <c r="B218" s="606"/>
      <c r="C218" s="607"/>
      <c r="D218" s="607"/>
      <c r="F218" s="548"/>
      <c r="H218" s="546"/>
    </row>
    <row r="219" spans="2:8" x14ac:dyDescent="0.2">
      <c r="B219" s="606"/>
      <c r="C219" s="607"/>
      <c r="D219" s="607"/>
      <c r="F219" s="545"/>
      <c r="H219" s="547"/>
    </row>
    <row r="220" spans="2:8" x14ac:dyDescent="0.2">
      <c r="B220" s="606"/>
      <c r="C220" s="607"/>
      <c r="D220" s="607"/>
      <c r="F220" s="545"/>
      <c r="H220" s="546"/>
    </row>
    <row r="221" spans="2:8" x14ac:dyDescent="0.2">
      <c r="B221" s="606"/>
      <c r="C221" s="607"/>
      <c r="D221" s="607"/>
      <c r="F221" s="548"/>
      <c r="H221" s="546"/>
    </row>
    <row r="222" spans="2:8" x14ac:dyDescent="0.2">
      <c r="B222" s="606"/>
      <c r="C222" s="607"/>
      <c r="D222" s="607"/>
      <c r="F222" s="545"/>
      <c r="H222" s="546"/>
    </row>
    <row r="223" spans="2:8" x14ac:dyDescent="0.2">
      <c r="B223" s="606"/>
      <c r="C223" s="607"/>
      <c r="D223" s="607"/>
      <c r="F223" s="548"/>
      <c r="H223" s="546"/>
    </row>
    <row r="224" spans="2:8" x14ac:dyDescent="0.2">
      <c r="B224" s="606"/>
      <c r="C224" s="607"/>
      <c r="D224" s="607"/>
      <c r="F224" s="545"/>
    </row>
    <row r="225" spans="2:6" x14ac:dyDescent="0.2">
      <c r="B225" s="606"/>
      <c r="C225" s="607"/>
      <c r="D225" s="607"/>
      <c r="F225" s="545"/>
    </row>
    <row r="226" spans="2:6" x14ac:dyDescent="0.2">
      <c r="B226" s="606"/>
      <c r="C226" s="607"/>
      <c r="D226" s="607"/>
      <c r="F226" s="548"/>
    </row>
    <row r="227" spans="2:6" x14ac:dyDescent="0.2">
      <c r="B227" s="606"/>
      <c r="C227" s="607"/>
      <c r="D227" s="607"/>
      <c r="F227" s="545"/>
    </row>
    <row r="228" spans="2:6" x14ac:dyDescent="0.2">
      <c r="B228" s="606"/>
      <c r="C228" s="607"/>
      <c r="D228" s="607"/>
    </row>
    <row r="229" spans="2:6" x14ac:dyDescent="0.2">
      <c r="B229" s="606"/>
      <c r="C229" s="607"/>
      <c r="D229" s="607"/>
    </row>
    <row r="230" spans="2:6" x14ac:dyDescent="0.2">
      <c r="B230" s="606"/>
      <c r="C230" s="607"/>
      <c r="D230" s="607"/>
    </row>
    <row r="231" spans="2:6" x14ac:dyDescent="0.2">
      <c r="B231" s="606"/>
      <c r="C231" s="607"/>
      <c r="D231" s="607"/>
    </row>
    <row r="232" spans="2:6" x14ac:dyDescent="0.2">
      <c r="B232" s="606"/>
      <c r="C232" s="607"/>
      <c r="D232" s="607"/>
    </row>
    <row r="233" spans="2:6" x14ac:dyDescent="0.2">
      <c r="B233" s="606"/>
      <c r="C233" s="607"/>
      <c r="D233" s="607"/>
    </row>
    <row r="234" spans="2:6" x14ac:dyDescent="0.2">
      <c r="B234" s="606"/>
      <c r="C234" s="607"/>
      <c r="D234" s="607"/>
    </row>
    <row r="235" spans="2:6" x14ac:dyDescent="0.2">
      <c r="B235" s="606"/>
      <c r="C235" s="607"/>
      <c r="D235" s="607"/>
    </row>
    <row r="236" spans="2:6" x14ac:dyDescent="0.2">
      <c r="B236" s="606"/>
      <c r="C236" s="607"/>
      <c r="D236" s="607"/>
    </row>
    <row r="237" spans="2:6" x14ac:dyDescent="0.2">
      <c r="B237" s="606"/>
      <c r="C237" s="607"/>
      <c r="D237" s="607"/>
    </row>
    <row r="238" spans="2:6" x14ac:dyDescent="0.2">
      <c r="B238" s="606"/>
      <c r="C238" s="607"/>
      <c r="D238" s="607"/>
    </row>
    <row r="239" spans="2:6" x14ac:dyDescent="0.2">
      <c r="B239" s="606"/>
      <c r="C239" s="607"/>
      <c r="D239" s="607"/>
    </row>
    <row r="240" spans="2:6" x14ac:dyDescent="0.2">
      <c r="B240" s="606"/>
      <c r="C240" s="607"/>
      <c r="D240" s="607"/>
    </row>
    <row r="241" spans="2:4" x14ac:dyDescent="0.2">
      <c r="B241" s="606"/>
      <c r="C241" s="607"/>
      <c r="D241" s="607"/>
    </row>
    <row r="242" spans="2:4" x14ac:dyDescent="0.2">
      <c r="B242" s="606"/>
      <c r="C242" s="607"/>
      <c r="D242" s="607"/>
    </row>
    <row r="243" spans="2:4" x14ac:dyDescent="0.2">
      <c r="B243" s="606"/>
      <c r="C243" s="607"/>
      <c r="D243" s="607"/>
    </row>
    <row r="244" spans="2:4" x14ac:dyDescent="0.2">
      <c r="B244" s="606"/>
      <c r="C244" s="607"/>
      <c r="D244" s="607"/>
    </row>
    <row r="245" spans="2:4" x14ac:dyDescent="0.2">
      <c r="B245" s="606"/>
      <c r="C245" s="607"/>
      <c r="D245" s="607"/>
    </row>
    <row r="246" spans="2:4" x14ac:dyDescent="0.2">
      <c r="B246" s="606"/>
      <c r="C246" s="607"/>
      <c r="D246" s="607"/>
    </row>
    <row r="247" spans="2:4" x14ac:dyDescent="0.2">
      <c r="B247" s="606"/>
      <c r="C247" s="607"/>
      <c r="D247" s="607"/>
    </row>
    <row r="248" spans="2:4" x14ac:dyDescent="0.2">
      <c r="B248" s="606"/>
      <c r="C248" s="607"/>
      <c r="D248" s="607"/>
    </row>
    <row r="249" spans="2:4" x14ac:dyDescent="0.2">
      <c r="B249" s="606"/>
      <c r="C249" s="607"/>
      <c r="D249" s="607"/>
    </row>
    <row r="250" spans="2:4" x14ac:dyDescent="0.2">
      <c r="B250" s="606"/>
      <c r="C250" s="607"/>
      <c r="D250" s="607"/>
    </row>
    <row r="251" spans="2:4" x14ac:dyDescent="0.2">
      <c r="B251" s="606"/>
      <c r="C251" s="607"/>
      <c r="D251" s="607"/>
    </row>
    <row r="252" spans="2:4" x14ac:dyDescent="0.2">
      <c r="B252" s="606"/>
      <c r="C252" s="607"/>
      <c r="D252" s="607"/>
    </row>
    <row r="253" spans="2:4" x14ac:dyDescent="0.2">
      <c r="B253" s="606"/>
      <c r="C253" s="607"/>
      <c r="D253" s="607"/>
    </row>
    <row r="254" spans="2:4" x14ac:dyDescent="0.2">
      <c r="B254" s="606"/>
      <c r="C254" s="607"/>
      <c r="D254" s="607"/>
    </row>
    <row r="255" spans="2:4" x14ac:dyDescent="0.2">
      <c r="B255" s="606"/>
      <c r="C255" s="607"/>
      <c r="D255" s="607"/>
    </row>
    <row r="256" spans="2:4" x14ac:dyDescent="0.2">
      <c r="B256" s="606"/>
      <c r="C256" s="607"/>
      <c r="D256" s="607"/>
    </row>
    <row r="257" spans="2:4" x14ac:dyDescent="0.2">
      <c r="B257" s="606"/>
      <c r="C257" s="607"/>
      <c r="D257" s="607"/>
    </row>
    <row r="258" spans="2:4" x14ac:dyDescent="0.2">
      <c r="B258" s="606"/>
      <c r="C258" s="607"/>
      <c r="D258" s="607"/>
    </row>
    <row r="259" spans="2:4" x14ac:dyDescent="0.2">
      <c r="B259" s="606"/>
      <c r="C259" s="607"/>
      <c r="D259" s="607"/>
    </row>
    <row r="260" spans="2:4" x14ac:dyDescent="0.2">
      <c r="B260" s="606"/>
      <c r="C260" s="607"/>
      <c r="D260" s="607"/>
    </row>
    <row r="261" spans="2:4" x14ac:dyDescent="0.2">
      <c r="B261" s="606"/>
      <c r="C261" s="607"/>
      <c r="D261" s="607"/>
    </row>
    <row r="262" spans="2:4" x14ac:dyDescent="0.2">
      <c r="B262" s="606"/>
      <c r="C262" s="607"/>
      <c r="D262" s="607"/>
    </row>
    <row r="263" spans="2:4" x14ac:dyDescent="0.2">
      <c r="B263" s="606"/>
      <c r="C263" s="607"/>
      <c r="D263" s="607"/>
    </row>
    <row r="264" spans="2:4" x14ac:dyDescent="0.2">
      <c r="B264" s="606"/>
      <c r="C264" s="607"/>
      <c r="D264" s="607"/>
    </row>
    <row r="265" spans="2:4" x14ac:dyDescent="0.2">
      <c r="B265" s="606"/>
      <c r="C265" s="607"/>
      <c r="D265" s="607"/>
    </row>
    <row r="266" spans="2:4" x14ac:dyDescent="0.2">
      <c r="B266" s="606"/>
      <c r="C266" s="607"/>
      <c r="D266" s="607"/>
    </row>
    <row r="267" spans="2:4" x14ac:dyDescent="0.2">
      <c r="B267" s="606"/>
      <c r="C267" s="607"/>
      <c r="D267" s="607"/>
    </row>
    <row r="268" spans="2:4" x14ac:dyDescent="0.2">
      <c r="B268" s="606"/>
      <c r="C268" s="607"/>
      <c r="D268" s="607"/>
    </row>
    <row r="269" spans="2:4" x14ac:dyDescent="0.2">
      <c r="B269" s="606"/>
      <c r="C269" s="607"/>
      <c r="D269" s="607"/>
    </row>
    <row r="270" spans="2:4" x14ac:dyDescent="0.2">
      <c r="B270" s="606"/>
      <c r="C270" s="607"/>
      <c r="D270" s="607"/>
    </row>
    <row r="271" spans="2:4" x14ac:dyDescent="0.2">
      <c r="B271" s="606"/>
      <c r="C271" s="607"/>
      <c r="D271" s="607"/>
    </row>
    <row r="272" spans="2:4" x14ac:dyDescent="0.2">
      <c r="B272" s="606"/>
      <c r="C272" s="607"/>
      <c r="D272" s="607"/>
    </row>
    <row r="273" spans="2:4" x14ac:dyDescent="0.2">
      <c r="B273" s="606"/>
      <c r="C273" s="607"/>
      <c r="D273" s="607"/>
    </row>
    <row r="274" spans="2:4" x14ac:dyDescent="0.2">
      <c r="B274" s="606"/>
      <c r="C274" s="607"/>
      <c r="D274" s="607"/>
    </row>
    <row r="275" spans="2:4" x14ac:dyDescent="0.2">
      <c r="B275" s="606"/>
      <c r="C275" s="607"/>
      <c r="D275" s="607"/>
    </row>
    <row r="276" spans="2:4" x14ac:dyDescent="0.2">
      <c r="B276" s="606"/>
      <c r="C276" s="607"/>
      <c r="D276" s="607"/>
    </row>
    <row r="277" spans="2:4" x14ac:dyDescent="0.2">
      <c r="B277" s="606"/>
      <c r="C277" s="607"/>
      <c r="D277" s="607"/>
    </row>
    <row r="278" spans="2:4" x14ac:dyDescent="0.2">
      <c r="B278" s="606"/>
      <c r="C278" s="607"/>
      <c r="D278" s="607"/>
    </row>
    <row r="279" spans="2:4" x14ac:dyDescent="0.2">
      <c r="B279" s="606"/>
      <c r="C279" s="607"/>
      <c r="D279" s="607"/>
    </row>
    <row r="280" spans="2:4" x14ac:dyDescent="0.2">
      <c r="B280" s="606"/>
      <c r="C280" s="607"/>
      <c r="D280" s="607"/>
    </row>
    <row r="281" spans="2:4" x14ac:dyDescent="0.2">
      <c r="B281" s="606"/>
      <c r="C281" s="607"/>
      <c r="D281" s="607"/>
    </row>
    <row r="282" spans="2:4" x14ac:dyDescent="0.2">
      <c r="B282" s="606"/>
      <c r="C282" s="607"/>
      <c r="D282" s="607"/>
    </row>
    <row r="283" spans="2:4" x14ac:dyDescent="0.2">
      <c r="B283" s="606"/>
      <c r="C283" s="607"/>
      <c r="D283" s="607"/>
    </row>
    <row r="284" spans="2:4" x14ac:dyDescent="0.2">
      <c r="B284" s="606"/>
      <c r="C284" s="607"/>
      <c r="D284" s="607"/>
    </row>
    <row r="285" spans="2:4" x14ac:dyDescent="0.2">
      <c r="B285" s="606"/>
      <c r="C285" s="607"/>
      <c r="D285" s="607"/>
    </row>
    <row r="286" spans="2:4" x14ac:dyDescent="0.2">
      <c r="B286" s="606"/>
      <c r="C286" s="607"/>
      <c r="D286" s="607"/>
    </row>
    <row r="287" spans="2:4" x14ac:dyDescent="0.2">
      <c r="B287" s="606"/>
      <c r="C287" s="607"/>
      <c r="D287" s="607"/>
    </row>
    <row r="288" spans="2:4" x14ac:dyDescent="0.2">
      <c r="B288" s="606"/>
      <c r="C288" s="607"/>
      <c r="D288" s="607"/>
    </row>
    <row r="289" spans="2:4" x14ac:dyDescent="0.2">
      <c r="B289" s="606"/>
      <c r="C289" s="607"/>
      <c r="D289" s="607"/>
    </row>
    <row r="290" spans="2:4" x14ac:dyDescent="0.2">
      <c r="B290" s="606"/>
      <c r="C290" s="607"/>
      <c r="D290" s="607"/>
    </row>
    <row r="291" spans="2:4" x14ac:dyDescent="0.2">
      <c r="B291" s="606"/>
      <c r="C291" s="607"/>
      <c r="D291" s="607"/>
    </row>
    <row r="292" spans="2:4" x14ac:dyDescent="0.2">
      <c r="B292" s="606"/>
      <c r="C292" s="607"/>
      <c r="D292" s="607"/>
    </row>
    <row r="293" spans="2:4" x14ac:dyDescent="0.2">
      <c r="B293" s="606"/>
      <c r="C293" s="607"/>
      <c r="D293" s="607"/>
    </row>
    <row r="294" spans="2:4" x14ac:dyDescent="0.2">
      <c r="B294" s="606"/>
      <c r="C294" s="607"/>
      <c r="D294" s="607"/>
    </row>
    <row r="295" spans="2:4" x14ac:dyDescent="0.2">
      <c r="B295" s="606"/>
      <c r="C295" s="607"/>
      <c r="D295" s="607"/>
    </row>
    <row r="296" spans="2:4" x14ac:dyDescent="0.2">
      <c r="B296" s="606"/>
      <c r="C296" s="607"/>
      <c r="D296" s="607"/>
    </row>
    <row r="297" spans="2:4" x14ac:dyDescent="0.2">
      <c r="B297" s="606"/>
      <c r="C297" s="607"/>
      <c r="D297" s="607"/>
    </row>
    <row r="298" spans="2:4" x14ac:dyDescent="0.2">
      <c r="B298" s="606"/>
      <c r="C298" s="607"/>
      <c r="D298" s="607"/>
    </row>
    <row r="299" spans="2:4" x14ac:dyDescent="0.2">
      <c r="B299" s="606"/>
      <c r="C299" s="607"/>
      <c r="D299" s="607"/>
    </row>
    <row r="300" spans="2:4" x14ac:dyDescent="0.2">
      <c r="B300" s="606"/>
      <c r="C300" s="607"/>
      <c r="D300" s="607"/>
    </row>
    <row r="301" spans="2:4" x14ac:dyDescent="0.2">
      <c r="B301" s="606"/>
      <c r="C301" s="607"/>
      <c r="D301" s="607"/>
    </row>
    <row r="302" spans="2:4" x14ac:dyDescent="0.2">
      <c r="B302" s="606"/>
      <c r="C302" s="607"/>
      <c r="D302" s="607"/>
    </row>
    <row r="303" spans="2:4" x14ac:dyDescent="0.2">
      <c r="B303" s="606"/>
      <c r="C303" s="607"/>
      <c r="D303" s="607"/>
    </row>
    <row r="304" spans="2:4" x14ac:dyDescent="0.2">
      <c r="B304" s="606"/>
      <c r="C304" s="607"/>
      <c r="D304" s="607"/>
    </row>
    <row r="305" spans="2:4" x14ac:dyDescent="0.2">
      <c r="B305" s="606"/>
      <c r="C305" s="607"/>
      <c r="D305" s="607"/>
    </row>
    <row r="306" spans="2:4" x14ac:dyDescent="0.2">
      <c r="B306" s="606"/>
      <c r="C306" s="607"/>
      <c r="D306" s="607"/>
    </row>
    <row r="307" spans="2:4" x14ac:dyDescent="0.2">
      <c r="B307" s="606"/>
      <c r="C307" s="607"/>
      <c r="D307" s="607"/>
    </row>
    <row r="308" spans="2:4" x14ac:dyDescent="0.2">
      <c r="B308" s="606"/>
      <c r="C308" s="607"/>
      <c r="D308" s="607"/>
    </row>
    <row r="309" spans="2:4" x14ac:dyDescent="0.2">
      <c r="B309" s="606"/>
      <c r="C309" s="607"/>
      <c r="D309" s="607"/>
    </row>
    <row r="310" spans="2:4" x14ac:dyDescent="0.2">
      <c r="B310" s="606"/>
      <c r="C310" s="607"/>
      <c r="D310" s="607"/>
    </row>
    <row r="311" spans="2:4" x14ac:dyDescent="0.2">
      <c r="B311" s="606"/>
      <c r="C311" s="607"/>
      <c r="D311" s="607"/>
    </row>
    <row r="312" spans="2:4" x14ac:dyDescent="0.2">
      <c r="B312" s="606"/>
      <c r="C312" s="607"/>
      <c r="D312" s="607"/>
    </row>
    <row r="313" spans="2:4" x14ac:dyDescent="0.2">
      <c r="B313" s="606"/>
      <c r="C313" s="607"/>
      <c r="D313" s="607"/>
    </row>
    <row r="314" spans="2:4" x14ac:dyDescent="0.2">
      <c r="B314" s="606"/>
      <c r="C314" s="607"/>
      <c r="D314" s="607"/>
    </row>
    <row r="315" spans="2:4" x14ac:dyDescent="0.2">
      <c r="B315" s="606"/>
      <c r="C315" s="607"/>
      <c r="D315" s="607"/>
    </row>
    <row r="316" spans="2:4" x14ac:dyDescent="0.2">
      <c r="B316" s="606"/>
      <c r="C316" s="607"/>
      <c r="D316" s="607"/>
    </row>
    <row r="317" spans="2:4" x14ac:dyDescent="0.2">
      <c r="B317" s="606"/>
      <c r="C317" s="607"/>
      <c r="D317" s="607"/>
    </row>
    <row r="318" spans="2:4" x14ac:dyDescent="0.2">
      <c r="B318" s="606"/>
      <c r="C318" s="607"/>
      <c r="D318" s="607"/>
    </row>
    <row r="319" spans="2:4" x14ac:dyDescent="0.2">
      <c r="B319" s="606"/>
      <c r="C319" s="607"/>
      <c r="D319" s="607"/>
    </row>
    <row r="320" spans="2:4" x14ac:dyDescent="0.2">
      <c r="B320" s="606"/>
      <c r="C320" s="607"/>
      <c r="D320" s="607"/>
    </row>
    <row r="321" spans="2:4" x14ac:dyDescent="0.2">
      <c r="B321" s="606"/>
      <c r="C321" s="607"/>
      <c r="D321" s="607"/>
    </row>
    <row r="322" spans="2:4" x14ac:dyDescent="0.2">
      <c r="B322" s="606"/>
      <c r="C322" s="607"/>
      <c r="D322" s="607"/>
    </row>
    <row r="323" spans="2:4" x14ac:dyDescent="0.2">
      <c r="B323" s="606"/>
      <c r="C323" s="607"/>
      <c r="D323" s="607"/>
    </row>
    <row r="324" spans="2:4" x14ac:dyDescent="0.2">
      <c r="B324" s="606"/>
      <c r="C324" s="607"/>
      <c r="D324" s="607"/>
    </row>
    <row r="325" spans="2:4" x14ac:dyDescent="0.2">
      <c r="B325" s="606"/>
      <c r="C325" s="607"/>
      <c r="D325" s="607"/>
    </row>
    <row r="326" spans="2:4" x14ac:dyDescent="0.2">
      <c r="B326" s="606"/>
      <c r="C326" s="607"/>
      <c r="D326" s="607"/>
    </row>
    <row r="327" spans="2:4" x14ac:dyDescent="0.2">
      <c r="B327" s="606"/>
      <c r="C327" s="607"/>
      <c r="D327" s="607"/>
    </row>
    <row r="328" spans="2:4" x14ac:dyDescent="0.2">
      <c r="B328" s="606"/>
      <c r="C328" s="607"/>
      <c r="D328" s="607"/>
    </row>
    <row r="329" spans="2:4" x14ac:dyDescent="0.2">
      <c r="B329" s="606"/>
      <c r="C329" s="607"/>
      <c r="D329" s="607"/>
    </row>
    <row r="330" spans="2:4" x14ac:dyDescent="0.2">
      <c r="B330" s="606"/>
      <c r="C330" s="607"/>
      <c r="D330" s="607"/>
    </row>
    <row r="331" spans="2:4" x14ac:dyDescent="0.2">
      <c r="B331" s="606"/>
      <c r="C331" s="607"/>
      <c r="D331" s="607"/>
    </row>
    <row r="332" spans="2:4" x14ac:dyDescent="0.2">
      <c r="B332" s="606"/>
      <c r="C332" s="607"/>
      <c r="D332" s="607"/>
    </row>
    <row r="333" spans="2:4" x14ac:dyDescent="0.2">
      <c r="B333" s="606"/>
      <c r="C333" s="607"/>
      <c r="D333" s="607"/>
    </row>
    <row r="334" spans="2:4" x14ac:dyDescent="0.2">
      <c r="B334" s="606"/>
      <c r="C334" s="607"/>
      <c r="D334" s="607"/>
    </row>
    <row r="335" spans="2:4" x14ac:dyDescent="0.2">
      <c r="B335" s="606"/>
      <c r="C335" s="607"/>
      <c r="D335" s="607"/>
    </row>
    <row r="336" spans="2:4" x14ac:dyDescent="0.2">
      <c r="B336" s="606"/>
      <c r="C336" s="607"/>
      <c r="D336" s="607"/>
    </row>
    <row r="337" spans="2:4" x14ac:dyDescent="0.2">
      <c r="B337" s="606"/>
      <c r="C337" s="607"/>
      <c r="D337" s="607"/>
    </row>
    <row r="338" spans="2:4" x14ac:dyDescent="0.2">
      <c r="B338" s="606"/>
      <c r="C338" s="607"/>
      <c r="D338" s="607"/>
    </row>
    <row r="339" spans="2:4" x14ac:dyDescent="0.2">
      <c r="B339" s="606"/>
      <c r="C339" s="607"/>
      <c r="D339" s="607"/>
    </row>
    <row r="340" spans="2:4" x14ac:dyDescent="0.2">
      <c r="B340" s="606"/>
      <c r="C340" s="607"/>
      <c r="D340" s="607"/>
    </row>
    <row r="341" spans="2:4" x14ac:dyDescent="0.2">
      <c r="B341" s="606"/>
      <c r="C341" s="607"/>
      <c r="D341" s="607"/>
    </row>
    <row r="342" spans="2:4" x14ac:dyDescent="0.2">
      <c r="B342" s="606"/>
      <c r="C342" s="607"/>
      <c r="D342" s="607"/>
    </row>
    <row r="343" spans="2:4" x14ac:dyDescent="0.2">
      <c r="B343" s="606"/>
      <c r="C343" s="607"/>
      <c r="D343" s="607"/>
    </row>
    <row r="344" spans="2:4" x14ac:dyDescent="0.2">
      <c r="B344" s="606"/>
      <c r="C344" s="607"/>
      <c r="D344" s="607"/>
    </row>
    <row r="345" spans="2:4" x14ac:dyDescent="0.2">
      <c r="B345" s="606"/>
      <c r="C345" s="607"/>
      <c r="D345" s="607"/>
    </row>
    <row r="346" spans="2:4" x14ac:dyDescent="0.2">
      <c r="B346" s="606"/>
      <c r="C346" s="607"/>
      <c r="D346" s="607"/>
    </row>
    <row r="347" spans="2:4" x14ac:dyDescent="0.2">
      <c r="B347" s="606"/>
      <c r="C347" s="607"/>
      <c r="D347" s="607"/>
    </row>
    <row r="348" spans="2:4" x14ac:dyDescent="0.2">
      <c r="B348" s="606"/>
      <c r="C348" s="607"/>
      <c r="D348" s="607"/>
    </row>
    <row r="349" spans="2:4" x14ac:dyDescent="0.2">
      <c r="B349" s="606"/>
      <c r="C349" s="607"/>
      <c r="D349" s="607"/>
    </row>
    <row r="350" spans="2:4" x14ac:dyDescent="0.2">
      <c r="B350" s="606"/>
      <c r="C350" s="607"/>
      <c r="D350" s="607"/>
    </row>
    <row r="351" spans="2:4" x14ac:dyDescent="0.2">
      <c r="B351" s="606"/>
      <c r="C351" s="607"/>
      <c r="D351" s="607"/>
    </row>
    <row r="352" spans="2:4" x14ac:dyDescent="0.2">
      <c r="B352" s="606"/>
      <c r="C352" s="607"/>
      <c r="D352" s="607"/>
    </row>
    <row r="353" spans="2:4" x14ac:dyDescent="0.2">
      <c r="B353" s="606"/>
      <c r="C353" s="607"/>
      <c r="D353" s="607"/>
    </row>
    <row r="354" spans="2:4" x14ac:dyDescent="0.2">
      <c r="B354" s="606"/>
      <c r="C354" s="607"/>
      <c r="D354" s="607"/>
    </row>
    <row r="355" spans="2:4" x14ac:dyDescent="0.2">
      <c r="B355" s="606"/>
      <c r="C355" s="607"/>
      <c r="D355" s="607"/>
    </row>
    <row r="356" spans="2:4" x14ac:dyDescent="0.2">
      <c r="B356" s="606"/>
      <c r="C356" s="607"/>
      <c r="D356" s="607"/>
    </row>
    <row r="357" spans="2:4" x14ac:dyDescent="0.2">
      <c r="B357" s="606"/>
      <c r="C357" s="607"/>
      <c r="D357" s="607"/>
    </row>
    <row r="358" spans="2:4" x14ac:dyDescent="0.2">
      <c r="B358" s="606"/>
      <c r="C358" s="607"/>
      <c r="D358" s="607"/>
    </row>
    <row r="359" spans="2:4" x14ac:dyDescent="0.2">
      <c r="B359" s="606"/>
      <c r="C359" s="607"/>
      <c r="D359" s="607"/>
    </row>
    <row r="360" spans="2:4" x14ac:dyDescent="0.2">
      <c r="B360" s="606"/>
      <c r="C360" s="607"/>
      <c r="D360" s="607"/>
    </row>
    <row r="361" spans="2:4" x14ac:dyDescent="0.2">
      <c r="B361" s="606"/>
      <c r="C361" s="607"/>
      <c r="D361" s="607"/>
    </row>
    <row r="362" spans="2:4" x14ac:dyDescent="0.2">
      <c r="B362" s="606"/>
      <c r="C362" s="607"/>
      <c r="D362" s="607"/>
    </row>
    <row r="363" spans="2:4" x14ac:dyDescent="0.2">
      <c r="B363" s="606"/>
      <c r="C363" s="607"/>
      <c r="D363" s="607"/>
    </row>
    <row r="364" spans="2:4" x14ac:dyDescent="0.2">
      <c r="B364" s="606"/>
      <c r="C364" s="607"/>
      <c r="D364" s="607"/>
    </row>
    <row r="365" spans="2:4" x14ac:dyDescent="0.2">
      <c r="B365" s="606"/>
      <c r="C365" s="607"/>
      <c r="D365" s="607"/>
    </row>
    <row r="366" spans="2:4" x14ac:dyDescent="0.2">
      <c r="B366" s="606"/>
      <c r="C366" s="607"/>
      <c r="D366" s="607"/>
    </row>
    <row r="367" spans="2:4" x14ac:dyDescent="0.2">
      <c r="B367" s="606"/>
      <c r="C367" s="607"/>
      <c r="D367" s="607"/>
    </row>
    <row r="368" spans="2:4" x14ac:dyDescent="0.2">
      <c r="B368" s="606"/>
      <c r="C368" s="607"/>
      <c r="D368" s="607"/>
    </row>
    <row r="369" spans="2:4" x14ac:dyDescent="0.2">
      <c r="B369" s="606"/>
      <c r="C369" s="607"/>
      <c r="D369" s="607"/>
    </row>
    <row r="370" spans="2:4" x14ac:dyDescent="0.2">
      <c r="B370" s="606"/>
      <c r="C370" s="607"/>
      <c r="D370" s="607"/>
    </row>
    <row r="371" spans="2:4" x14ac:dyDescent="0.2">
      <c r="B371" s="606"/>
      <c r="C371" s="607"/>
      <c r="D371" s="607"/>
    </row>
    <row r="372" spans="2:4" x14ac:dyDescent="0.2">
      <c r="B372" s="606"/>
      <c r="C372" s="607"/>
      <c r="D372" s="607"/>
    </row>
    <row r="373" spans="2:4" x14ac:dyDescent="0.2">
      <c r="B373" s="606"/>
      <c r="C373" s="607"/>
      <c r="D373" s="607"/>
    </row>
    <row r="374" spans="2:4" x14ac:dyDescent="0.2">
      <c r="B374" s="606"/>
      <c r="C374" s="607"/>
      <c r="D374" s="607"/>
    </row>
    <row r="375" spans="2:4" x14ac:dyDescent="0.2">
      <c r="B375" s="606"/>
      <c r="C375" s="607"/>
      <c r="D375" s="607"/>
    </row>
    <row r="376" spans="2:4" x14ac:dyDescent="0.2">
      <c r="B376" s="606"/>
      <c r="C376" s="607"/>
      <c r="D376" s="607"/>
    </row>
    <row r="377" spans="2:4" x14ac:dyDescent="0.2">
      <c r="B377" s="606"/>
      <c r="C377" s="607"/>
      <c r="D377" s="607"/>
    </row>
    <row r="378" spans="2:4" x14ac:dyDescent="0.2">
      <c r="B378" s="606"/>
      <c r="C378" s="607"/>
      <c r="D378" s="607"/>
    </row>
    <row r="379" spans="2:4" x14ac:dyDescent="0.2">
      <c r="B379" s="606"/>
      <c r="C379" s="607"/>
      <c r="D379" s="607"/>
    </row>
    <row r="380" spans="2:4" x14ac:dyDescent="0.2">
      <c r="B380" s="606"/>
      <c r="C380" s="607"/>
      <c r="D380" s="607"/>
    </row>
    <row r="381" spans="2:4" x14ac:dyDescent="0.2">
      <c r="B381" s="606"/>
      <c r="C381" s="607"/>
      <c r="D381" s="607"/>
    </row>
    <row r="382" spans="2:4" x14ac:dyDescent="0.2">
      <c r="B382" s="606"/>
      <c r="C382" s="607"/>
      <c r="D382" s="607"/>
    </row>
    <row r="383" spans="2:4" x14ac:dyDescent="0.2">
      <c r="B383" s="606"/>
      <c r="C383" s="607"/>
      <c r="D383" s="607"/>
    </row>
    <row r="384" spans="2:4" x14ac:dyDescent="0.2">
      <c r="B384" s="606"/>
      <c r="C384" s="607"/>
      <c r="D384" s="607"/>
    </row>
    <row r="385" spans="2:4" x14ac:dyDescent="0.2">
      <c r="B385" s="606"/>
      <c r="C385" s="607"/>
      <c r="D385" s="607"/>
    </row>
    <row r="386" spans="2:4" x14ac:dyDescent="0.2">
      <c r="B386" s="606"/>
      <c r="C386" s="607"/>
      <c r="D386" s="607"/>
    </row>
    <row r="387" spans="2:4" x14ac:dyDescent="0.2">
      <c r="B387" s="606"/>
      <c r="C387" s="607"/>
      <c r="D387" s="607"/>
    </row>
    <row r="388" spans="2:4" x14ac:dyDescent="0.2">
      <c r="B388" s="606"/>
      <c r="C388" s="607"/>
      <c r="D388" s="607"/>
    </row>
    <row r="389" spans="2:4" x14ac:dyDescent="0.2">
      <c r="B389" s="606"/>
      <c r="C389" s="607"/>
      <c r="D389" s="607"/>
    </row>
    <row r="390" spans="2:4" x14ac:dyDescent="0.2">
      <c r="B390" s="606"/>
      <c r="C390" s="607"/>
      <c r="D390" s="607"/>
    </row>
    <row r="391" spans="2:4" x14ac:dyDescent="0.2">
      <c r="B391" s="606"/>
      <c r="C391" s="607"/>
      <c r="D391" s="607"/>
    </row>
    <row r="392" spans="2:4" x14ac:dyDescent="0.2">
      <c r="B392" s="606"/>
      <c r="C392" s="607"/>
      <c r="D392" s="607"/>
    </row>
    <row r="393" spans="2:4" x14ac:dyDescent="0.2">
      <c r="B393" s="606"/>
      <c r="C393" s="607"/>
      <c r="D393" s="607"/>
    </row>
    <row r="394" spans="2:4" x14ac:dyDescent="0.2">
      <c r="B394" s="606"/>
      <c r="C394" s="607"/>
      <c r="D394" s="607"/>
    </row>
    <row r="395" spans="2:4" x14ac:dyDescent="0.2">
      <c r="B395" s="606"/>
      <c r="C395" s="607"/>
      <c r="D395" s="607"/>
    </row>
    <row r="396" spans="2:4" x14ac:dyDescent="0.2">
      <c r="B396" s="606"/>
      <c r="C396" s="607"/>
      <c r="D396" s="607"/>
    </row>
    <row r="397" spans="2:4" x14ac:dyDescent="0.2">
      <c r="B397" s="606"/>
      <c r="C397" s="607"/>
      <c r="D397" s="607"/>
    </row>
    <row r="398" spans="2:4" x14ac:dyDescent="0.2">
      <c r="B398" s="606"/>
      <c r="C398" s="607"/>
      <c r="D398" s="607"/>
    </row>
    <row r="399" spans="2:4" x14ac:dyDescent="0.2">
      <c r="B399" s="606"/>
      <c r="C399" s="607"/>
      <c r="D399" s="607"/>
    </row>
    <row r="400" spans="2:4" x14ac:dyDescent="0.2">
      <c r="B400" s="606"/>
      <c r="C400" s="607"/>
      <c r="D400" s="607"/>
    </row>
    <row r="401" spans="2:4" x14ac:dyDescent="0.2">
      <c r="B401" s="606"/>
      <c r="C401" s="607"/>
      <c r="D401" s="607"/>
    </row>
    <row r="402" spans="2:4" x14ac:dyDescent="0.2">
      <c r="B402" s="606"/>
      <c r="C402" s="607"/>
      <c r="D402" s="607"/>
    </row>
    <row r="403" spans="2:4" x14ac:dyDescent="0.2">
      <c r="B403" s="606"/>
      <c r="C403" s="607"/>
      <c r="D403" s="607"/>
    </row>
    <row r="404" spans="2:4" x14ac:dyDescent="0.2">
      <c r="B404" s="606"/>
      <c r="C404" s="607"/>
      <c r="D404" s="607"/>
    </row>
    <row r="405" spans="2:4" x14ac:dyDescent="0.2">
      <c r="B405" s="606"/>
      <c r="C405" s="607"/>
      <c r="D405" s="607"/>
    </row>
    <row r="406" spans="2:4" x14ac:dyDescent="0.2">
      <c r="B406" s="606"/>
      <c r="C406" s="607"/>
      <c r="D406" s="607"/>
    </row>
    <row r="407" spans="2:4" x14ac:dyDescent="0.2">
      <c r="B407" s="606"/>
      <c r="C407" s="607"/>
      <c r="D407" s="607"/>
    </row>
    <row r="408" spans="2:4" x14ac:dyDescent="0.2">
      <c r="B408" s="606"/>
      <c r="C408" s="607"/>
      <c r="D408" s="607"/>
    </row>
    <row r="409" spans="2:4" x14ac:dyDescent="0.2">
      <c r="B409" s="606"/>
      <c r="C409" s="607"/>
      <c r="D409" s="607"/>
    </row>
    <row r="410" spans="2:4" x14ac:dyDescent="0.2">
      <c r="B410" s="606"/>
      <c r="C410" s="607"/>
      <c r="D410" s="607"/>
    </row>
    <row r="411" spans="2:4" x14ac:dyDescent="0.2">
      <c r="B411" s="606"/>
      <c r="C411" s="607"/>
      <c r="D411" s="607"/>
    </row>
    <row r="412" spans="2:4" x14ac:dyDescent="0.2">
      <c r="B412" s="606"/>
      <c r="C412" s="607"/>
      <c r="D412" s="607"/>
    </row>
    <row r="413" spans="2:4" x14ac:dyDescent="0.2">
      <c r="B413" s="606"/>
      <c r="C413" s="607"/>
      <c r="D413" s="607"/>
    </row>
    <row r="414" spans="2:4" x14ac:dyDescent="0.2">
      <c r="B414" s="606"/>
      <c r="C414" s="607"/>
      <c r="D414" s="607"/>
    </row>
    <row r="415" spans="2:4" x14ac:dyDescent="0.2">
      <c r="B415" s="606"/>
      <c r="C415" s="607"/>
      <c r="D415" s="607"/>
    </row>
    <row r="416" spans="2:4" x14ac:dyDescent="0.2">
      <c r="B416" s="606"/>
      <c r="C416" s="607"/>
      <c r="D416" s="607"/>
    </row>
    <row r="417" spans="2:4" x14ac:dyDescent="0.2">
      <c r="B417" s="606"/>
      <c r="C417" s="607"/>
      <c r="D417" s="607"/>
    </row>
    <row r="418" spans="2:4" x14ac:dyDescent="0.2">
      <c r="B418" s="606"/>
      <c r="C418" s="607"/>
      <c r="D418" s="607"/>
    </row>
    <row r="419" spans="2:4" x14ac:dyDescent="0.2">
      <c r="B419" s="606"/>
      <c r="C419" s="607"/>
      <c r="D419" s="607"/>
    </row>
    <row r="420" spans="2:4" x14ac:dyDescent="0.2">
      <c r="B420" s="606"/>
      <c r="C420" s="607"/>
      <c r="D420" s="607"/>
    </row>
    <row r="421" spans="2:4" x14ac:dyDescent="0.2">
      <c r="B421" s="606"/>
      <c r="C421" s="607"/>
      <c r="D421" s="607"/>
    </row>
    <row r="422" spans="2:4" x14ac:dyDescent="0.2">
      <c r="B422" s="606"/>
      <c r="C422" s="607"/>
      <c r="D422" s="607"/>
    </row>
    <row r="423" spans="2:4" x14ac:dyDescent="0.2">
      <c r="B423" s="606"/>
      <c r="C423" s="607"/>
      <c r="D423" s="607"/>
    </row>
    <row r="424" spans="2:4" x14ac:dyDescent="0.2">
      <c r="B424" s="606"/>
      <c r="C424" s="607"/>
      <c r="D424" s="607"/>
    </row>
    <row r="425" spans="2:4" x14ac:dyDescent="0.2">
      <c r="B425" s="606"/>
      <c r="C425" s="607"/>
      <c r="D425" s="607"/>
    </row>
    <row r="426" spans="2:4" x14ac:dyDescent="0.2">
      <c r="B426" s="606"/>
      <c r="C426" s="607"/>
      <c r="D426" s="607"/>
    </row>
    <row r="427" spans="2:4" x14ac:dyDescent="0.2">
      <c r="B427" s="606"/>
      <c r="C427" s="607"/>
      <c r="D427" s="607"/>
    </row>
    <row r="428" spans="2:4" x14ac:dyDescent="0.2">
      <c r="B428" s="606"/>
      <c r="C428" s="607"/>
      <c r="D428" s="607"/>
    </row>
    <row r="429" spans="2:4" x14ac:dyDescent="0.2">
      <c r="B429" s="606"/>
      <c r="C429" s="607"/>
      <c r="D429" s="607"/>
    </row>
    <row r="430" spans="2:4" x14ac:dyDescent="0.2">
      <c r="B430" s="606"/>
      <c r="C430" s="607"/>
      <c r="D430" s="607"/>
    </row>
    <row r="431" spans="2:4" x14ac:dyDescent="0.2">
      <c r="B431" s="606"/>
      <c r="C431" s="607"/>
      <c r="D431" s="607"/>
    </row>
    <row r="432" spans="2:4" x14ac:dyDescent="0.2">
      <c r="B432" s="606"/>
      <c r="C432" s="607"/>
      <c r="D432" s="607"/>
    </row>
    <row r="433" spans="2:4" x14ac:dyDescent="0.2">
      <c r="B433" s="606"/>
      <c r="C433" s="607"/>
      <c r="D433" s="607"/>
    </row>
    <row r="434" spans="2:4" x14ac:dyDescent="0.2">
      <c r="B434" s="606"/>
      <c r="C434" s="607"/>
      <c r="D434" s="607"/>
    </row>
    <row r="435" spans="2:4" x14ac:dyDescent="0.2">
      <c r="B435" s="606"/>
      <c r="C435" s="607"/>
      <c r="D435" s="607"/>
    </row>
    <row r="436" spans="2:4" x14ac:dyDescent="0.2">
      <c r="B436" s="606"/>
      <c r="C436" s="607"/>
      <c r="D436" s="607"/>
    </row>
    <row r="437" spans="2:4" x14ac:dyDescent="0.2">
      <c r="B437" s="606"/>
      <c r="C437" s="607"/>
      <c r="D437" s="607"/>
    </row>
    <row r="438" spans="2:4" x14ac:dyDescent="0.2">
      <c r="B438" s="606"/>
      <c r="C438" s="607"/>
      <c r="D438" s="607"/>
    </row>
    <row r="439" spans="2:4" x14ac:dyDescent="0.2">
      <c r="B439" s="606"/>
      <c r="C439" s="607"/>
      <c r="D439" s="607"/>
    </row>
    <row r="440" spans="2:4" x14ac:dyDescent="0.2">
      <c r="B440" s="606"/>
      <c r="C440" s="607"/>
      <c r="D440" s="607"/>
    </row>
    <row r="441" spans="2:4" x14ac:dyDescent="0.2">
      <c r="B441" s="606"/>
      <c r="C441" s="607"/>
      <c r="D441" s="607"/>
    </row>
    <row r="442" spans="2:4" x14ac:dyDescent="0.2">
      <c r="B442" s="606"/>
      <c r="C442" s="607"/>
      <c r="D442" s="607"/>
    </row>
    <row r="443" spans="2:4" x14ac:dyDescent="0.2">
      <c r="B443" s="606"/>
      <c r="C443" s="607"/>
      <c r="D443" s="607"/>
    </row>
    <row r="444" spans="2:4" x14ac:dyDescent="0.2">
      <c r="B444" s="606"/>
      <c r="C444" s="607"/>
      <c r="D444" s="607"/>
    </row>
    <row r="445" spans="2:4" x14ac:dyDescent="0.2">
      <c r="B445" s="606"/>
      <c r="C445" s="607"/>
      <c r="D445" s="607"/>
    </row>
    <row r="446" spans="2:4" x14ac:dyDescent="0.2">
      <c r="B446" s="606"/>
      <c r="C446" s="607"/>
      <c r="D446" s="607"/>
    </row>
    <row r="447" spans="2:4" x14ac:dyDescent="0.2">
      <c r="B447" s="606"/>
      <c r="C447" s="607"/>
      <c r="D447" s="607"/>
    </row>
    <row r="448" spans="2:4" x14ac:dyDescent="0.2">
      <c r="B448" s="606"/>
      <c r="C448" s="607"/>
      <c r="D448" s="607"/>
    </row>
    <row r="449" spans="2:4" x14ac:dyDescent="0.2">
      <c r="B449" s="606"/>
      <c r="C449" s="607"/>
      <c r="D449" s="607"/>
    </row>
    <row r="450" spans="2:4" x14ac:dyDescent="0.2">
      <c r="B450" s="606"/>
      <c r="C450" s="607"/>
      <c r="D450" s="607"/>
    </row>
    <row r="451" spans="2:4" x14ac:dyDescent="0.2">
      <c r="B451" s="606"/>
      <c r="C451" s="607"/>
      <c r="D451" s="607"/>
    </row>
    <row r="452" spans="2:4" x14ac:dyDescent="0.2">
      <c r="B452" s="606"/>
      <c r="C452" s="607"/>
      <c r="D452" s="607"/>
    </row>
    <row r="453" spans="2:4" x14ac:dyDescent="0.2">
      <c r="B453" s="606"/>
      <c r="C453" s="607"/>
      <c r="D453" s="607"/>
    </row>
    <row r="454" spans="2:4" x14ac:dyDescent="0.2">
      <c r="B454" s="606"/>
      <c r="C454" s="607"/>
      <c r="D454" s="607"/>
    </row>
    <row r="455" spans="2:4" x14ac:dyDescent="0.2">
      <c r="B455" s="606"/>
      <c r="C455" s="607"/>
      <c r="D455" s="607"/>
    </row>
    <row r="456" spans="2:4" x14ac:dyDescent="0.2">
      <c r="B456" s="606"/>
      <c r="C456" s="607"/>
      <c r="D456" s="607"/>
    </row>
    <row r="457" spans="2:4" x14ac:dyDescent="0.2">
      <c r="B457" s="606"/>
      <c r="C457" s="607"/>
      <c r="D457" s="607"/>
    </row>
    <row r="458" spans="2:4" x14ac:dyDescent="0.2">
      <c r="B458" s="606"/>
      <c r="C458" s="607"/>
      <c r="D458" s="607"/>
    </row>
    <row r="459" spans="2:4" x14ac:dyDescent="0.2">
      <c r="B459" s="606"/>
      <c r="C459" s="607"/>
      <c r="D459" s="607"/>
    </row>
    <row r="460" spans="2:4" x14ac:dyDescent="0.2">
      <c r="B460" s="606"/>
      <c r="C460" s="607"/>
      <c r="D460" s="607"/>
    </row>
    <row r="461" spans="2:4" x14ac:dyDescent="0.2">
      <c r="B461" s="606"/>
      <c r="C461" s="607"/>
      <c r="D461" s="607"/>
    </row>
    <row r="462" spans="2:4" x14ac:dyDescent="0.2">
      <c r="B462" s="606"/>
      <c r="C462" s="607"/>
      <c r="D462" s="607"/>
    </row>
    <row r="463" spans="2:4" x14ac:dyDescent="0.2">
      <c r="B463" s="606"/>
      <c r="C463" s="607"/>
      <c r="D463" s="607"/>
    </row>
    <row r="464" spans="2:4" x14ac:dyDescent="0.2">
      <c r="B464" s="606"/>
      <c r="C464" s="607"/>
      <c r="D464" s="607"/>
    </row>
    <row r="465" spans="2:4" x14ac:dyDescent="0.2">
      <c r="B465" s="606"/>
      <c r="C465" s="607"/>
      <c r="D465" s="607"/>
    </row>
    <row r="466" spans="2:4" x14ac:dyDescent="0.2">
      <c r="B466" s="606"/>
      <c r="C466" s="607"/>
      <c r="D466" s="607"/>
    </row>
    <row r="467" spans="2:4" x14ac:dyDescent="0.2">
      <c r="B467" s="606"/>
      <c r="C467" s="607"/>
      <c r="D467" s="607"/>
    </row>
    <row r="468" spans="2:4" x14ac:dyDescent="0.2">
      <c r="B468" s="606"/>
      <c r="C468" s="607"/>
      <c r="D468" s="607"/>
    </row>
    <row r="469" spans="2:4" x14ac:dyDescent="0.2">
      <c r="B469" s="606"/>
      <c r="C469" s="607"/>
      <c r="D469" s="607"/>
    </row>
    <row r="470" spans="2:4" x14ac:dyDescent="0.2">
      <c r="B470" s="606"/>
      <c r="C470" s="607"/>
      <c r="D470" s="607"/>
    </row>
    <row r="471" spans="2:4" x14ac:dyDescent="0.2">
      <c r="B471" s="606"/>
      <c r="C471" s="607"/>
      <c r="D471" s="607"/>
    </row>
    <row r="472" spans="2:4" x14ac:dyDescent="0.2">
      <c r="B472" s="606"/>
      <c r="C472" s="607"/>
      <c r="D472" s="607"/>
    </row>
    <row r="473" spans="2:4" x14ac:dyDescent="0.2">
      <c r="B473" s="606"/>
      <c r="C473" s="607"/>
      <c r="D473" s="607"/>
    </row>
    <row r="474" spans="2:4" x14ac:dyDescent="0.2">
      <c r="B474" s="606"/>
      <c r="C474" s="607"/>
      <c r="D474" s="607"/>
    </row>
    <row r="475" spans="2:4" x14ac:dyDescent="0.2">
      <c r="B475" s="606"/>
      <c r="C475" s="607"/>
      <c r="D475" s="607"/>
    </row>
    <row r="476" spans="2:4" x14ac:dyDescent="0.2">
      <c r="B476" s="606"/>
      <c r="C476" s="607"/>
      <c r="D476" s="607"/>
    </row>
    <row r="477" spans="2:4" x14ac:dyDescent="0.2">
      <c r="B477" s="606"/>
      <c r="C477" s="607"/>
      <c r="D477" s="607"/>
    </row>
    <row r="478" spans="2:4" x14ac:dyDescent="0.2">
      <c r="B478" s="606"/>
      <c r="C478" s="607"/>
      <c r="D478" s="607"/>
    </row>
    <row r="479" spans="2:4" x14ac:dyDescent="0.2">
      <c r="B479" s="606"/>
      <c r="C479" s="607"/>
      <c r="D479" s="607"/>
    </row>
    <row r="480" spans="2:4" x14ac:dyDescent="0.2">
      <c r="B480" s="606"/>
      <c r="C480" s="607"/>
      <c r="D480" s="607"/>
    </row>
    <row r="481" spans="2:4" x14ac:dyDescent="0.2">
      <c r="B481" s="606"/>
      <c r="C481" s="607"/>
      <c r="D481" s="607"/>
    </row>
    <row r="482" spans="2:4" x14ac:dyDescent="0.2">
      <c r="B482" s="606"/>
      <c r="C482" s="607"/>
      <c r="D482" s="607"/>
    </row>
    <row r="483" spans="2:4" x14ac:dyDescent="0.2">
      <c r="B483" s="606"/>
      <c r="C483" s="607"/>
      <c r="D483" s="607"/>
    </row>
    <row r="484" spans="2:4" x14ac:dyDescent="0.2">
      <c r="B484" s="606"/>
      <c r="C484" s="607"/>
      <c r="D484" s="607"/>
    </row>
    <row r="485" spans="2:4" x14ac:dyDescent="0.2">
      <c r="B485" s="606"/>
      <c r="C485" s="607"/>
      <c r="D485" s="607"/>
    </row>
    <row r="486" spans="2:4" x14ac:dyDescent="0.2">
      <c r="B486" s="606"/>
      <c r="C486" s="607"/>
      <c r="D486" s="607"/>
    </row>
    <row r="487" spans="2:4" x14ac:dyDescent="0.2">
      <c r="B487" s="606"/>
      <c r="C487" s="607"/>
      <c r="D487" s="607"/>
    </row>
    <row r="488" spans="2:4" x14ac:dyDescent="0.2">
      <c r="B488" s="606"/>
      <c r="C488" s="607"/>
      <c r="D488" s="607"/>
    </row>
    <row r="489" spans="2:4" x14ac:dyDescent="0.2">
      <c r="B489" s="606"/>
      <c r="C489" s="607"/>
      <c r="D489" s="607"/>
    </row>
    <row r="490" spans="2:4" x14ac:dyDescent="0.2">
      <c r="B490" s="606"/>
      <c r="C490" s="607"/>
      <c r="D490" s="607"/>
    </row>
    <row r="491" spans="2:4" x14ac:dyDescent="0.2">
      <c r="B491" s="606"/>
      <c r="C491" s="607"/>
      <c r="D491" s="607"/>
    </row>
    <row r="492" spans="2:4" x14ac:dyDescent="0.2">
      <c r="B492" s="606"/>
      <c r="C492" s="607"/>
      <c r="D492" s="607"/>
    </row>
    <row r="493" spans="2:4" x14ac:dyDescent="0.2">
      <c r="B493" s="606"/>
      <c r="C493" s="607"/>
      <c r="D493" s="607"/>
    </row>
    <row r="494" spans="2:4" x14ac:dyDescent="0.2">
      <c r="B494" s="606"/>
      <c r="C494" s="607"/>
      <c r="D494" s="607"/>
    </row>
    <row r="495" spans="2:4" x14ac:dyDescent="0.2">
      <c r="B495" s="606"/>
      <c r="C495" s="607"/>
      <c r="D495" s="607"/>
    </row>
    <row r="496" spans="2:4" x14ac:dyDescent="0.2">
      <c r="B496" s="606"/>
      <c r="C496" s="607"/>
      <c r="D496" s="607"/>
    </row>
    <row r="497" spans="2:4" x14ac:dyDescent="0.2">
      <c r="B497" s="606"/>
      <c r="C497" s="607"/>
      <c r="D497" s="607"/>
    </row>
    <row r="498" spans="2:4" x14ac:dyDescent="0.2">
      <c r="B498" s="606"/>
      <c r="C498" s="607"/>
      <c r="D498" s="607"/>
    </row>
    <row r="499" spans="2:4" x14ac:dyDescent="0.2">
      <c r="B499" s="606"/>
      <c r="C499" s="607"/>
      <c r="D499" s="607"/>
    </row>
    <row r="500" spans="2:4" x14ac:dyDescent="0.2">
      <c r="B500" s="606"/>
      <c r="C500" s="607"/>
      <c r="D500" s="607"/>
    </row>
    <row r="501" spans="2:4" x14ac:dyDescent="0.2">
      <c r="B501" s="606"/>
      <c r="C501" s="607"/>
      <c r="D501" s="607"/>
    </row>
    <row r="502" spans="2:4" x14ac:dyDescent="0.2">
      <c r="B502" s="606"/>
      <c r="C502" s="607"/>
      <c r="D502" s="607"/>
    </row>
    <row r="503" spans="2:4" x14ac:dyDescent="0.2">
      <c r="B503" s="606"/>
      <c r="C503" s="607"/>
      <c r="D503" s="607"/>
    </row>
    <row r="504" spans="2:4" x14ac:dyDescent="0.2">
      <c r="B504" s="606"/>
      <c r="C504" s="607"/>
      <c r="D504" s="607"/>
    </row>
    <row r="505" spans="2:4" x14ac:dyDescent="0.2">
      <c r="B505" s="606"/>
      <c r="C505" s="607"/>
      <c r="D505" s="607"/>
    </row>
    <row r="506" spans="2:4" x14ac:dyDescent="0.2">
      <c r="B506" s="606"/>
      <c r="C506" s="607"/>
      <c r="D506" s="607"/>
    </row>
    <row r="507" spans="2:4" x14ac:dyDescent="0.2">
      <c r="B507" s="606"/>
      <c r="C507" s="607"/>
      <c r="D507" s="607"/>
    </row>
    <row r="508" spans="2:4" x14ac:dyDescent="0.2">
      <c r="B508" s="606"/>
      <c r="C508" s="607"/>
      <c r="D508" s="607"/>
    </row>
    <row r="509" spans="2:4" x14ac:dyDescent="0.2">
      <c r="B509" s="606"/>
      <c r="C509" s="607"/>
      <c r="D509" s="607"/>
    </row>
    <row r="510" spans="2:4" x14ac:dyDescent="0.2">
      <c r="B510" s="606"/>
      <c r="C510" s="607"/>
      <c r="D510" s="607"/>
    </row>
    <row r="511" spans="2:4" x14ac:dyDescent="0.2">
      <c r="B511" s="606"/>
      <c r="C511" s="607"/>
      <c r="D511" s="607"/>
    </row>
    <row r="512" spans="2:4" x14ac:dyDescent="0.2">
      <c r="B512" s="606"/>
      <c r="C512" s="607"/>
      <c r="D512" s="607"/>
    </row>
    <row r="513" spans="2:4" x14ac:dyDescent="0.2">
      <c r="B513" s="606"/>
      <c r="C513" s="607"/>
      <c r="D513" s="607"/>
    </row>
    <row r="514" spans="2:4" x14ac:dyDescent="0.2">
      <c r="B514" s="606"/>
      <c r="C514" s="607"/>
      <c r="D514" s="607"/>
    </row>
    <row r="515" spans="2:4" x14ac:dyDescent="0.2">
      <c r="B515" s="606"/>
      <c r="C515" s="607"/>
      <c r="D515" s="607"/>
    </row>
    <row r="516" spans="2:4" x14ac:dyDescent="0.2">
      <c r="B516" s="606"/>
      <c r="C516" s="607"/>
      <c r="D516" s="607"/>
    </row>
    <row r="517" spans="2:4" x14ac:dyDescent="0.2">
      <c r="B517" s="606"/>
      <c r="C517" s="607"/>
      <c r="D517" s="607"/>
    </row>
    <row r="518" spans="2:4" x14ac:dyDescent="0.2">
      <c r="B518" s="606"/>
      <c r="C518" s="607"/>
      <c r="D518" s="607"/>
    </row>
    <row r="519" spans="2:4" x14ac:dyDescent="0.2">
      <c r="B519" s="606"/>
      <c r="C519" s="607"/>
      <c r="D519" s="607"/>
    </row>
    <row r="520" spans="2:4" x14ac:dyDescent="0.2">
      <c r="B520" s="606"/>
      <c r="C520" s="607"/>
      <c r="D520" s="607"/>
    </row>
    <row r="521" spans="2:4" x14ac:dyDescent="0.2">
      <c r="B521" s="606"/>
      <c r="C521" s="607"/>
      <c r="D521" s="607"/>
    </row>
    <row r="522" spans="2:4" x14ac:dyDescent="0.2">
      <c r="B522" s="606"/>
      <c r="C522" s="607"/>
      <c r="D522" s="607"/>
    </row>
    <row r="523" spans="2:4" x14ac:dyDescent="0.2">
      <c r="B523" s="606"/>
      <c r="C523" s="607"/>
      <c r="D523" s="607"/>
    </row>
    <row r="524" spans="2:4" x14ac:dyDescent="0.2">
      <c r="B524" s="606"/>
      <c r="C524" s="607"/>
      <c r="D524" s="607"/>
    </row>
    <row r="525" spans="2:4" x14ac:dyDescent="0.2">
      <c r="B525" s="606"/>
      <c r="C525" s="607"/>
      <c r="D525" s="607"/>
    </row>
    <row r="526" spans="2:4" x14ac:dyDescent="0.2">
      <c r="B526" s="606"/>
      <c r="C526" s="607"/>
      <c r="D526" s="607"/>
    </row>
    <row r="527" spans="2:4" x14ac:dyDescent="0.2">
      <c r="B527" s="606"/>
      <c r="C527" s="607"/>
      <c r="D527" s="607"/>
    </row>
    <row r="528" spans="2:4" x14ac:dyDescent="0.2">
      <c r="B528" s="606"/>
      <c r="C528" s="607"/>
      <c r="D528" s="607"/>
    </row>
    <row r="529" spans="2:4" x14ac:dyDescent="0.2">
      <c r="B529" s="606"/>
      <c r="C529" s="607"/>
      <c r="D529" s="607"/>
    </row>
    <row r="530" spans="2:4" x14ac:dyDescent="0.2">
      <c r="B530" s="606"/>
      <c r="C530" s="607"/>
      <c r="D530" s="607"/>
    </row>
    <row r="531" spans="2:4" x14ac:dyDescent="0.2">
      <c r="B531" s="606"/>
      <c r="C531" s="607"/>
      <c r="D531" s="607"/>
    </row>
    <row r="532" spans="2:4" x14ac:dyDescent="0.2">
      <c r="B532" s="606"/>
      <c r="C532" s="607"/>
      <c r="D532" s="607"/>
    </row>
    <row r="533" spans="2:4" x14ac:dyDescent="0.2">
      <c r="B533" s="606"/>
      <c r="C533" s="607"/>
      <c r="D533" s="607"/>
    </row>
    <row r="534" spans="2:4" x14ac:dyDescent="0.2">
      <c r="B534" s="606"/>
      <c r="C534" s="607"/>
      <c r="D534" s="607"/>
    </row>
    <row r="535" spans="2:4" x14ac:dyDescent="0.2">
      <c r="B535" s="606"/>
      <c r="C535" s="607"/>
      <c r="D535" s="607"/>
    </row>
    <row r="536" spans="2:4" x14ac:dyDescent="0.2">
      <c r="B536" s="606"/>
      <c r="C536" s="607"/>
      <c r="D536" s="607"/>
    </row>
    <row r="537" spans="2:4" x14ac:dyDescent="0.2">
      <c r="B537" s="606"/>
      <c r="C537" s="607"/>
      <c r="D537" s="607"/>
    </row>
    <row r="538" spans="2:4" x14ac:dyDescent="0.2">
      <c r="B538" s="606"/>
      <c r="C538" s="607"/>
      <c r="D538" s="607"/>
    </row>
    <row r="539" spans="2:4" x14ac:dyDescent="0.2">
      <c r="B539" s="606"/>
      <c r="C539" s="607"/>
      <c r="D539" s="607"/>
    </row>
    <row r="540" spans="2:4" x14ac:dyDescent="0.2">
      <c r="B540" s="606"/>
      <c r="C540" s="607"/>
      <c r="D540" s="607"/>
    </row>
    <row r="541" spans="2:4" x14ac:dyDescent="0.2">
      <c r="B541" s="606"/>
      <c r="C541" s="607"/>
      <c r="D541" s="607"/>
    </row>
    <row r="542" spans="2:4" x14ac:dyDescent="0.2">
      <c r="B542" s="606"/>
      <c r="C542" s="607"/>
      <c r="D542" s="607"/>
    </row>
    <row r="543" spans="2:4" x14ac:dyDescent="0.2">
      <c r="B543" s="606"/>
      <c r="C543" s="607"/>
      <c r="D543" s="607"/>
    </row>
    <row r="544" spans="2:4" x14ac:dyDescent="0.2">
      <c r="B544" s="606"/>
      <c r="C544" s="607"/>
      <c r="D544" s="607"/>
    </row>
    <row r="545" spans="2:4" x14ac:dyDescent="0.2">
      <c r="B545" s="606"/>
      <c r="C545" s="607"/>
      <c r="D545" s="607"/>
    </row>
    <row r="546" spans="2:4" x14ac:dyDescent="0.2">
      <c r="B546" s="606"/>
      <c r="C546" s="607"/>
      <c r="D546" s="607"/>
    </row>
    <row r="547" spans="2:4" x14ac:dyDescent="0.2">
      <c r="B547" s="606"/>
      <c r="C547" s="607"/>
      <c r="D547" s="607"/>
    </row>
    <row r="548" spans="2:4" x14ac:dyDescent="0.2">
      <c r="B548" s="606"/>
      <c r="C548" s="607"/>
      <c r="D548" s="607"/>
    </row>
    <row r="549" spans="2:4" x14ac:dyDescent="0.2">
      <c r="B549" s="606"/>
      <c r="C549" s="607"/>
      <c r="D549" s="607"/>
    </row>
    <row r="550" spans="2:4" x14ac:dyDescent="0.2">
      <c r="B550" s="606"/>
      <c r="C550" s="607"/>
      <c r="D550" s="607"/>
    </row>
    <row r="551" spans="2:4" x14ac:dyDescent="0.2">
      <c r="B551" s="606"/>
      <c r="C551" s="607"/>
      <c r="D551" s="607"/>
    </row>
    <row r="552" spans="2:4" x14ac:dyDescent="0.2">
      <c r="B552" s="606"/>
      <c r="C552" s="607"/>
      <c r="D552" s="607"/>
    </row>
    <row r="553" spans="2:4" x14ac:dyDescent="0.2">
      <c r="B553" s="606"/>
      <c r="C553" s="607"/>
      <c r="D553" s="607"/>
    </row>
    <row r="554" spans="2:4" x14ac:dyDescent="0.2">
      <c r="B554" s="606"/>
      <c r="C554" s="607"/>
      <c r="D554" s="607"/>
    </row>
    <row r="555" spans="2:4" x14ac:dyDescent="0.2">
      <c r="B555" s="606"/>
      <c r="C555" s="607"/>
      <c r="D555" s="607"/>
    </row>
    <row r="556" spans="2:4" x14ac:dyDescent="0.2">
      <c r="B556" s="606"/>
      <c r="C556" s="607"/>
      <c r="D556" s="607"/>
    </row>
    <row r="557" spans="2:4" x14ac:dyDescent="0.2">
      <c r="B557" s="606"/>
      <c r="C557" s="607"/>
      <c r="D557" s="607"/>
    </row>
    <row r="558" spans="2:4" x14ac:dyDescent="0.2">
      <c r="B558" s="606"/>
      <c r="C558" s="607"/>
      <c r="D558" s="607"/>
    </row>
    <row r="559" spans="2:4" x14ac:dyDescent="0.2">
      <c r="B559" s="606"/>
      <c r="C559" s="607"/>
      <c r="D559" s="607"/>
    </row>
    <row r="560" spans="2:4" x14ac:dyDescent="0.2">
      <c r="B560" s="606"/>
      <c r="C560" s="607"/>
      <c r="D560" s="607"/>
    </row>
    <row r="561" spans="2:4" x14ac:dyDescent="0.2">
      <c r="B561" s="606"/>
      <c r="C561" s="607"/>
      <c r="D561" s="607"/>
    </row>
    <row r="562" spans="2:4" x14ac:dyDescent="0.2">
      <c r="B562" s="606"/>
      <c r="C562" s="607"/>
      <c r="D562" s="607"/>
    </row>
    <row r="563" spans="2:4" x14ac:dyDescent="0.2">
      <c r="B563" s="606"/>
      <c r="C563" s="607"/>
      <c r="D563" s="607"/>
    </row>
    <row r="564" spans="2:4" x14ac:dyDescent="0.2">
      <c r="B564" s="606"/>
      <c r="C564" s="607"/>
      <c r="D564" s="607"/>
    </row>
    <row r="565" spans="2:4" x14ac:dyDescent="0.2">
      <c r="B565" s="606"/>
      <c r="C565" s="607"/>
      <c r="D565" s="607"/>
    </row>
    <row r="566" spans="2:4" x14ac:dyDescent="0.2">
      <c r="B566" s="606"/>
      <c r="C566" s="607"/>
      <c r="D566" s="607"/>
    </row>
    <row r="567" spans="2:4" x14ac:dyDescent="0.2">
      <c r="B567" s="606"/>
      <c r="C567" s="607"/>
      <c r="D567" s="607"/>
    </row>
    <row r="568" spans="2:4" x14ac:dyDescent="0.2">
      <c r="B568" s="606"/>
      <c r="C568" s="607"/>
      <c r="D568" s="607"/>
    </row>
    <row r="569" spans="2:4" x14ac:dyDescent="0.2">
      <c r="B569" s="606"/>
      <c r="C569" s="607"/>
      <c r="D569" s="607"/>
    </row>
    <row r="570" spans="2:4" x14ac:dyDescent="0.2">
      <c r="B570" s="606"/>
      <c r="C570" s="607"/>
      <c r="D570" s="607"/>
    </row>
    <row r="571" spans="2:4" x14ac:dyDescent="0.2">
      <c r="B571" s="606"/>
      <c r="C571" s="607"/>
      <c r="D571" s="607"/>
    </row>
    <row r="572" spans="2:4" x14ac:dyDescent="0.2">
      <c r="B572" s="606"/>
      <c r="C572" s="607"/>
      <c r="D572" s="607"/>
    </row>
    <row r="573" spans="2:4" x14ac:dyDescent="0.2">
      <c r="B573" s="606"/>
      <c r="C573" s="607"/>
      <c r="D573" s="607"/>
    </row>
    <row r="574" spans="2:4" x14ac:dyDescent="0.2">
      <c r="B574" s="606"/>
      <c r="C574" s="607"/>
      <c r="D574" s="607"/>
    </row>
    <row r="575" spans="2:4" x14ac:dyDescent="0.2">
      <c r="B575" s="606"/>
      <c r="C575" s="607"/>
      <c r="D575" s="607"/>
    </row>
    <row r="576" spans="2:4" x14ac:dyDescent="0.2">
      <c r="B576" s="606"/>
      <c r="C576" s="607"/>
      <c r="D576" s="607"/>
    </row>
    <row r="577" spans="2:4" x14ac:dyDescent="0.2">
      <c r="B577" s="606"/>
      <c r="C577" s="607"/>
      <c r="D577" s="607"/>
    </row>
    <row r="578" spans="2:4" x14ac:dyDescent="0.2">
      <c r="B578" s="606"/>
      <c r="C578" s="607"/>
      <c r="D578" s="607"/>
    </row>
    <row r="579" spans="2:4" x14ac:dyDescent="0.2">
      <c r="B579" s="606"/>
      <c r="C579" s="607"/>
      <c r="D579" s="607"/>
    </row>
    <row r="580" spans="2:4" x14ac:dyDescent="0.2">
      <c r="B580" s="606"/>
      <c r="C580" s="607"/>
      <c r="D580" s="607"/>
    </row>
    <row r="581" spans="2:4" x14ac:dyDescent="0.2">
      <c r="B581" s="606"/>
      <c r="C581" s="607"/>
      <c r="D581" s="607"/>
    </row>
    <row r="582" spans="2:4" x14ac:dyDescent="0.2">
      <c r="B582" s="606"/>
      <c r="C582" s="607"/>
      <c r="D582" s="607"/>
    </row>
    <row r="583" spans="2:4" x14ac:dyDescent="0.2">
      <c r="B583" s="606"/>
      <c r="C583" s="607"/>
      <c r="D583" s="607"/>
    </row>
    <row r="584" spans="2:4" x14ac:dyDescent="0.2">
      <c r="B584" s="606"/>
      <c r="C584" s="607"/>
      <c r="D584" s="607"/>
    </row>
    <row r="585" spans="2:4" x14ac:dyDescent="0.2">
      <c r="B585" s="606"/>
      <c r="C585" s="607"/>
      <c r="D585" s="607"/>
    </row>
    <row r="586" spans="2:4" x14ac:dyDescent="0.2">
      <c r="B586" s="606"/>
      <c r="C586" s="607"/>
      <c r="D586" s="607"/>
    </row>
    <row r="587" spans="2:4" x14ac:dyDescent="0.2">
      <c r="B587" s="606"/>
      <c r="C587" s="607"/>
      <c r="D587" s="607"/>
    </row>
    <row r="588" spans="2:4" x14ac:dyDescent="0.2">
      <c r="B588" s="606"/>
      <c r="C588" s="607"/>
      <c r="D588" s="607"/>
    </row>
    <row r="589" spans="2:4" x14ac:dyDescent="0.2">
      <c r="B589" s="606"/>
      <c r="C589" s="607"/>
      <c r="D589" s="607"/>
    </row>
    <row r="590" spans="2:4" x14ac:dyDescent="0.2">
      <c r="B590" s="606"/>
      <c r="C590" s="607"/>
      <c r="D590" s="607"/>
    </row>
    <row r="591" spans="2:4" x14ac:dyDescent="0.2">
      <c r="B591" s="606"/>
      <c r="C591" s="607"/>
      <c r="D591" s="607"/>
    </row>
    <row r="592" spans="2:4" x14ac:dyDescent="0.2">
      <c r="B592" s="606"/>
      <c r="C592" s="607"/>
      <c r="D592" s="607"/>
    </row>
    <row r="593" spans="2:4" x14ac:dyDescent="0.2">
      <c r="B593" s="606"/>
      <c r="C593" s="607"/>
      <c r="D593" s="607"/>
    </row>
    <row r="594" spans="2:4" x14ac:dyDescent="0.2">
      <c r="B594" s="606"/>
      <c r="C594" s="607"/>
      <c r="D594" s="607"/>
    </row>
    <row r="595" spans="2:4" x14ac:dyDescent="0.2">
      <c r="B595" s="606"/>
      <c r="C595" s="607"/>
      <c r="D595" s="607"/>
    </row>
    <row r="596" spans="2:4" x14ac:dyDescent="0.2">
      <c r="B596" s="606"/>
      <c r="C596" s="607"/>
      <c r="D596" s="607"/>
    </row>
    <row r="597" spans="2:4" x14ac:dyDescent="0.2">
      <c r="B597" s="606"/>
      <c r="C597" s="607"/>
      <c r="D597" s="607"/>
    </row>
    <row r="598" spans="2:4" x14ac:dyDescent="0.2">
      <c r="B598" s="606"/>
      <c r="C598" s="607"/>
      <c r="D598" s="607"/>
    </row>
    <row r="599" spans="2:4" x14ac:dyDescent="0.2">
      <c r="B599" s="606"/>
      <c r="C599" s="607"/>
      <c r="D599" s="607"/>
    </row>
    <row r="600" spans="2:4" x14ac:dyDescent="0.2">
      <c r="B600" s="606"/>
      <c r="C600" s="607"/>
      <c r="D600" s="607"/>
    </row>
    <row r="601" spans="2:4" x14ac:dyDescent="0.2">
      <c r="B601" s="606"/>
      <c r="C601" s="607"/>
      <c r="D601" s="607"/>
    </row>
    <row r="602" spans="2:4" x14ac:dyDescent="0.2">
      <c r="B602" s="606"/>
      <c r="C602" s="607"/>
      <c r="D602" s="607"/>
    </row>
    <row r="603" spans="2:4" x14ac:dyDescent="0.2">
      <c r="B603" s="606"/>
      <c r="C603" s="607"/>
      <c r="D603" s="607"/>
    </row>
    <row r="604" spans="2:4" x14ac:dyDescent="0.2">
      <c r="B604" s="606"/>
      <c r="C604" s="607"/>
      <c r="D604" s="607"/>
    </row>
    <row r="605" spans="2:4" x14ac:dyDescent="0.2">
      <c r="B605" s="606"/>
      <c r="C605" s="607"/>
      <c r="D605" s="607"/>
    </row>
    <row r="606" spans="2:4" x14ac:dyDescent="0.2">
      <c r="B606" s="606"/>
      <c r="C606" s="607"/>
      <c r="D606" s="607"/>
    </row>
    <row r="607" spans="2:4" x14ac:dyDescent="0.2">
      <c r="B607" s="606"/>
      <c r="C607" s="607"/>
      <c r="D607" s="607"/>
    </row>
    <row r="608" spans="2:4" x14ac:dyDescent="0.2">
      <c r="B608" s="606"/>
      <c r="C608" s="607"/>
      <c r="D608" s="607"/>
    </row>
    <row r="609" spans="2:4" x14ac:dyDescent="0.2">
      <c r="B609" s="606"/>
      <c r="C609" s="607"/>
      <c r="D609" s="607"/>
    </row>
    <row r="610" spans="2:4" x14ac:dyDescent="0.2">
      <c r="B610" s="606"/>
      <c r="C610" s="607"/>
      <c r="D610" s="607"/>
    </row>
    <row r="611" spans="2:4" x14ac:dyDescent="0.2">
      <c r="B611" s="606"/>
      <c r="C611" s="607"/>
      <c r="D611" s="607"/>
    </row>
    <row r="612" spans="2:4" x14ac:dyDescent="0.2">
      <c r="B612" s="606"/>
      <c r="C612" s="607"/>
      <c r="D612" s="607"/>
    </row>
    <row r="613" spans="2:4" x14ac:dyDescent="0.2">
      <c r="B613" s="606"/>
      <c r="C613" s="607"/>
      <c r="D613" s="607"/>
    </row>
    <row r="614" spans="2:4" x14ac:dyDescent="0.2">
      <c r="B614" s="606"/>
      <c r="C614" s="607"/>
      <c r="D614" s="607"/>
    </row>
    <row r="615" spans="2:4" x14ac:dyDescent="0.2">
      <c r="B615" s="606"/>
      <c r="C615" s="607"/>
      <c r="D615" s="607"/>
    </row>
    <row r="616" spans="2:4" x14ac:dyDescent="0.2">
      <c r="B616" s="606"/>
      <c r="C616" s="607"/>
      <c r="D616" s="607"/>
    </row>
    <row r="617" spans="2:4" x14ac:dyDescent="0.2">
      <c r="B617" s="606"/>
      <c r="C617" s="607"/>
      <c r="D617" s="607"/>
    </row>
    <row r="618" spans="2:4" x14ac:dyDescent="0.2">
      <c r="B618" s="606"/>
      <c r="C618" s="607"/>
      <c r="D618" s="607"/>
    </row>
    <row r="619" spans="2:4" x14ac:dyDescent="0.2">
      <c r="B619" s="606"/>
      <c r="C619" s="607"/>
      <c r="D619" s="607"/>
    </row>
    <row r="620" spans="2:4" x14ac:dyDescent="0.2">
      <c r="B620" s="606"/>
      <c r="C620" s="607"/>
      <c r="D620" s="607"/>
    </row>
    <row r="621" spans="2:4" x14ac:dyDescent="0.2">
      <c r="B621" s="606"/>
      <c r="C621" s="607"/>
      <c r="D621" s="607"/>
    </row>
    <row r="622" spans="2:4" x14ac:dyDescent="0.2">
      <c r="B622" s="606"/>
      <c r="C622" s="607"/>
      <c r="D622" s="607"/>
    </row>
    <row r="623" spans="2:4" x14ac:dyDescent="0.2">
      <c r="B623" s="606"/>
      <c r="C623" s="607"/>
      <c r="D623" s="607"/>
    </row>
    <row r="624" spans="2:4" x14ac:dyDescent="0.2">
      <c r="B624" s="606"/>
      <c r="C624" s="607"/>
      <c r="D624" s="607"/>
    </row>
    <row r="625" spans="2:4" x14ac:dyDescent="0.2">
      <c r="B625" s="606"/>
      <c r="C625" s="607"/>
      <c r="D625" s="607"/>
    </row>
    <row r="626" spans="2:4" x14ac:dyDescent="0.2">
      <c r="B626" s="606"/>
      <c r="C626" s="607"/>
      <c r="D626" s="607"/>
    </row>
    <row r="627" spans="2:4" x14ac:dyDescent="0.2">
      <c r="B627" s="606"/>
      <c r="C627" s="607"/>
      <c r="D627" s="607"/>
    </row>
    <row r="628" spans="2:4" x14ac:dyDescent="0.2">
      <c r="B628" s="606"/>
      <c r="C628" s="607"/>
      <c r="D628" s="607"/>
    </row>
    <row r="629" spans="2:4" x14ac:dyDescent="0.2">
      <c r="B629" s="606"/>
      <c r="C629" s="607"/>
      <c r="D629" s="607"/>
    </row>
    <row r="630" spans="2:4" x14ac:dyDescent="0.2">
      <c r="B630" s="606"/>
      <c r="C630" s="607"/>
      <c r="D630" s="607"/>
    </row>
    <row r="631" spans="2:4" x14ac:dyDescent="0.2">
      <c r="B631" s="606"/>
      <c r="C631" s="607"/>
      <c r="D631" s="607"/>
    </row>
    <row r="632" spans="2:4" x14ac:dyDescent="0.2">
      <c r="B632" s="606"/>
      <c r="C632" s="607"/>
      <c r="D632" s="607"/>
    </row>
    <row r="633" spans="2:4" x14ac:dyDescent="0.2">
      <c r="B633" s="606"/>
      <c r="C633" s="607"/>
      <c r="D633" s="607"/>
    </row>
    <row r="634" spans="2:4" x14ac:dyDescent="0.2">
      <c r="B634" s="606"/>
      <c r="C634" s="607"/>
      <c r="D634" s="607"/>
    </row>
    <row r="635" spans="2:4" x14ac:dyDescent="0.2">
      <c r="B635" s="606"/>
      <c r="C635" s="607"/>
      <c r="D635" s="607"/>
    </row>
    <row r="636" spans="2:4" x14ac:dyDescent="0.2">
      <c r="B636" s="606"/>
      <c r="C636" s="607"/>
      <c r="D636" s="607"/>
    </row>
    <row r="637" spans="2:4" x14ac:dyDescent="0.2">
      <c r="B637" s="606"/>
      <c r="C637" s="607"/>
      <c r="D637" s="607"/>
    </row>
    <row r="638" spans="2:4" x14ac:dyDescent="0.2">
      <c r="B638" s="606"/>
      <c r="C638" s="607"/>
      <c r="D638" s="607"/>
    </row>
    <row r="639" spans="2:4" x14ac:dyDescent="0.2">
      <c r="B639" s="606"/>
      <c r="C639" s="607"/>
      <c r="D639" s="607"/>
    </row>
    <row r="640" spans="2:4" x14ac:dyDescent="0.2">
      <c r="B640" s="606"/>
      <c r="C640" s="607"/>
      <c r="D640" s="607"/>
    </row>
    <row r="641" spans="2:4" x14ac:dyDescent="0.2">
      <c r="B641" s="606"/>
      <c r="C641" s="607"/>
      <c r="D641" s="607"/>
    </row>
    <row r="642" spans="2:4" x14ac:dyDescent="0.2">
      <c r="B642" s="606"/>
      <c r="C642" s="607"/>
      <c r="D642" s="607"/>
    </row>
    <row r="643" spans="2:4" x14ac:dyDescent="0.2">
      <c r="B643" s="606"/>
      <c r="C643" s="607"/>
      <c r="D643" s="607"/>
    </row>
    <row r="644" spans="2:4" x14ac:dyDescent="0.2">
      <c r="B644" s="606"/>
      <c r="C644" s="607"/>
      <c r="D644" s="607"/>
    </row>
    <row r="645" spans="2:4" x14ac:dyDescent="0.2">
      <c r="B645" s="606"/>
      <c r="C645" s="607"/>
      <c r="D645" s="607"/>
    </row>
    <row r="646" spans="2:4" x14ac:dyDescent="0.2">
      <c r="B646" s="606"/>
      <c r="C646" s="607"/>
      <c r="D646" s="607"/>
    </row>
    <row r="647" spans="2:4" x14ac:dyDescent="0.2">
      <c r="B647" s="606"/>
      <c r="C647" s="607"/>
      <c r="D647" s="607"/>
    </row>
    <row r="648" spans="2:4" x14ac:dyDescent="0.2">
      <c r="B648" s="606"/>
      <c r="C648" s="607"/>
      <c r="D648" s="607"/>
    </row>
    <row r="649" spans="2:4" x14ac:dyDescent="0.2">
      <c r="B649" s="606"/>
      <c r="C649" s="607"/>
      <c r="D649" s="607"/>
    </row>
    <row r="650" spans="2:4" x14ac:dyDescent="0.2">
      <c r="B650" s="606"/>
      <c r="C650" s="607"/>
      <c r="D650" s="607"/>
    </row>
    <row r="651" spans="2:4" x14ac:dyDescent="0.2">
      <c r="B651" s="606"/>
      <c r="C651" s="607"/>
      <c r="D651" s="607"/>
    </row>
    <row r="652" spans="2:4" x14ac:dyDescent="0.2">
      <c r="B652" s="606"/>
      <c r="C652" s="607"/>
      <c r="D652" s="607"/>
    </row>
    <row r="653" spans="2:4" x14ac:dyDescent="0.2">
      <c r="B653" s="606"/>
      <c r="C653" s="607"/>
      <c r="D653" s="607"/>
    </row>
    <row r="654" spans="2:4" x14ac:dyDescent="0.2">
      <c r="B654" s="606"/>
      <c r="C654" s="607"/>
      <c r="D654" s="607"/>
    </row>
    <row r="655" spans="2:4" x14ac:dyDescent="0.2">
      <c r="B655" s="606"/>
      <c r="C655" s="607"/>
      <c r="D655" s="607"/>
    </row>
    <row r="656" spans="2:4" x14ac:dyDescent="0.2">
      <c r="B656" s="606"/>
      <c r="C656" s="607"/>
      <c r="D656" s="607"/>
    </row>
    <row r="657" spans="2:4" x14ac:dyDescent="0.2">
      <c r="B657" s="606"/>
      <c r="C657" s="607"/>
      <c r="D657" s="607"/>
    </row>
    <row r="658" spans="2:4" x14ac:dyDescent="0.2">
      <c r="B658" s="606"/>
      <c r="C658" s="607"/>
      <c r="D658" s="607"/>
    </row>
    <row r="659" spans="2:4" x14ac:dyDescent="0.2">
      <c r="B659" s="606"/>
      <c r="C659" s="607"/>
      <c r="D659" s="607"/>
    </row>
    <row r="660" spans="2:4" x14ac:dyDescent="0.2">
      <c r="B660" s="606"/>
      <c r="C660" s="607"/>
      <c r="D660" s="607"/>
    </row>
    <row r="661" spans="2:4" x14ac:dyDescent="0.2">
      <c r="B661" s="606"/>
      <c r="C661" s="607"/>
      <c r="D661" s="607"/>
    </row>
    <row r="662" spans="2:4" x14ac:dyDescent="0.2">
      <c r="B662" s="606"/>
      <c r="C662" s="607"/>
      <c r="D662" s="607"/>
    </row>
    <row r="663" spans="2:4" x14ac:dyDescent="0.2">
      <c r="B663" s="606"/>
      <c r="C663" s="607"/>
      <c r="D663" s="607"/>
    </row>
    <row r="664" spans="2:4" x14ac:dyDescent="0.2">
      <c r="B664" s="606"/>
      <c r="C664" s="607"/>
      <c r="D664" s="607"/>
    </row>
    <row r="665" spans="2:4" x14ac:dyDescent="0.2">
      <c r="B665" s="606"/>
      <c r="C665" s="607"/>
      <c r="D665" s="607"/>
    </row>
    <row r="666" spans="2:4" x14ac:dyDescent="0.2">
      <c r="B666" s="606"/>
      <c r="C666" s="607"/>
      <c r="D666" s="607"/>
    </row>
    <row r="667" spans="2:4" x14ac:dyDescent="0.2">
      <c r="B667" s="606"/>
      <c r="C667" s="607"/>
      <c r="D667" s="607"/>
    </row>
    <row r="668" spans="2:4" x14ac:dyDescent="0.2">
      <c r="B668" s="606"/>
      <c r="C668" s="607"/>
      <c r="D668" s="607"/>
    </row>
    <row r="669" spans="2:4" x14ac:dyDescent="0.2">
      <c r="B669" s="606"/>
      <c r="C669" s="607"/>
      <c r="D669" s="607"/>
    </row>
    <row r="670" spans="2:4" x14ac:dyDescent="0.2">
      <c r="B670" s="606"/>
      <c r="C670" s="607"/>
      <c r="D670" s="607"/>
    </row>
    <row r="671" spans="2:4" x14ac:dyDescent="0.2">
      <c r="B671" s="606"/>
      <c r="C671" s="607"/>
      <c r="D671" s="607"/>
    </row>
    <row r="672" spans="2:4" x14ac:dyDescent="0.2">
      <c r="B672" s="606"/>
      <c r="C672" s="607"/>
      <c r="D672" s="607"/>
    </row>
    <row r="673" spans="2:4" x14ac:dyDescent="0.2">
      <c r="B673" s="606"/>
      <c r="C673" s="607"/>
      <c r="D673" s="607"/>
    </row>
    <row r="674" spans="2:4" x14ac:dyDescent="0.2">
      <c r="B674" s="606"/>
      <c r="C674" s="607"/>
      <c r="D674" s="607"/>
    </row>
    <row r="675" spans="2:4" x14ac:dyDescent="0.2">
      <c r="B675" s="606"/>
      <c r="C675" s="607"/>
      <c r="D675" s="607"/>
    </row>
    <row r="676" spans="2:4" x14ac:dyDescent="0.2">
      <c r="B676" s="606"/>
      <c r="C676" s="607"/>
      <c r="D676" s="607"/>
    </row>
    <row r="677" spans="2:4" x14ac:dyDescent="0.2">
      <c r="B677" s="606"/>
      <c r="C677" s="607"/>
      <c r="D677" s="607"/>
    </row>
    <row r="678" spans="2:4" x14ac:dyDescent="0.2">
      <c r="B678" s="606"/>
      <c r="C678" s="607"/>
      <c r="D678" s="607"/>
    </row>
    <row r="679" spans="2:4" x14ac:dyDescent="0.2">
      <c r="B679" s="606"/>
      <c r="C679" s="607"/>
      <c r="D679" s="607"/>
    </row>
    <row r="680" spans="2:4" x14ac:dyDescent="0.2">
      <c r="B680" s="606"/>
      <c r="C680" s="607"/>
      <c r="D680" s="607"/>
    </row>
    <row r="681" spans="2:4" x14ac:dyDescent="0.2">
      <c r="B681" s="606"/>
      <c r="C681" s="607"/>
      <c r="D681" s="607"/>
    </row>
    <row r="682" spans="2:4" x14ac:dyDescent="0.2">
      <c r="B682" s="606"/>
      <c r="C682" s="607"/>
      <c r="D682" s="607"/>
    </row>
    <row r="683" spans="2:4" x14ac:dyDescent="0.2">
      <c r="B683" s="606"/>
      <c r="C683" s="607"/>
      <c r="D683" s="607"/>
    </row>
    <row r="684" spans="2:4" x14ac:dyDescent="0.2">
      <c r="B684" s="606"/>
      <c r="C684" s="607"/>
      <c r="D684" s="607"/>
    </row>
    <row r="685" spans="2:4" x14ac:dyDescent="0.2">
      <c r="B685" s="606"/>
      <c r="C685" s="607"/>
      <c r="D685" s="607"/>
    </row>
    <row r="686" spans="2:4" x14ac:dyDescent="0.2">
      <c r="B686" s="606"/>
      <c r="C686" s="607"/>
      <c r="D686" s="607"/>
    </row>
    <row r="687" spans="2:4" x14ac:dyDescent="0.2">
      <c r="B687" s="606"/>
      <c r="C687" s="607"/>
      <c r="D687" s="607"/>
    </row>
    <row r="688" spans="2:4" x14ac:dyDescent="0.2">
      <c r="B688" s="606"/>
      <c r="C688" s="607"/>
      <c r="D688" s="607"/>
    </row>
    <row r="689" spans="2:4" x14ac:dyDescent="0.2">
      <c r="B689" s="606"/>
      <c r="C689" s="607"/>
      <c r="D689" s="607"/>
    </row>
    <row r="690" spans="2:4" x14ac:dyDescent="0.2">
      <c r="B690" s="606"/>
      <c r="C690" s="607"/>
      <c r="D690" s="607"/>
    </row>
    <row r="691" spans="2:4" x14ac:dyDescent="0.2">
      <c r="B691" s="606"/>
      <c r="C691" s="607"/>
      <c r="D691" s="607"/>
    </row>
    <row r="692" spans="2:4" x14ac:dyDescent="0.2">
      <c r="B692" s="606"/>
      <c r="C692" s="607"/>
      <c r="D692" s="607"/>
    </row>
    <row r="693" spans="2:4" x14ac:dyDescent="0.2">
      <c r="B693" s="606"/>
      <c r="C693" s="607"/>
      <c r="D693" s="607"/>
    </row>
    <row r="694" spans="2:4" x14ac:dyDescent="0.2">
      <c r="B694" s="606"/>
      <c r="C694" s="607"/>
      <c r="D694" s="607"/>
    </row>
    <row r="695" spans="2:4" x14ac:dyDescent="0.2">
      <c r="B695" s="606"/>
      <c r="C695" s="607"/>
      <c r="D695" s="607"/>
    </row>
    <row r="696" spans="2:4" x14ac:dyDescent="0.2">
      <c r="B696" s="606"/>
      <c r="C696" s="607"/>
      <c r="D696" s="607"/>
    </row>
    <row r="697" spans="2:4" x14ac:dyDescent="0.2">
      <c r="B697" s="606"/>
      <c r="C697" s="607"/>
      <c r="D697" s="607"/>
    </row>
    <row r="698" spans="2:4" x14ac:dyDescent="0.2">
      <c r="B698" s="606"/>
      <c r="C698" s="607"/>
      <c r="D698" s="607"/>
    </row>
    <row r="699" spans="2:4" x14ac:dyDescent="0.2">
      <c r="B699" s="606"/>
      <c r="C699" s="607"/>
      <c r="D699" s="607"/>
    </row>
    <row r="700" spans="2:4" x14ac:dyDescent="0.2">
      <c r="B700" s="606"/>
      <c r="C700" s="607"/>
      <c r="D700" s="607"/>
    </row>
    <row r="701" spans="2:4" x14ac:dyDescent="0.2">
      <c r="B701" s="606"/>
      <c r="C701" s="607"/>
      <c r="D701" s="607"/>
    </row>
    <row r="702" spans="2:4" x14ac:dyDescent="0.2">
      <c r="B702" s="606"/>
      <c r="C702" s="607"/>
      <c r="D702" s="607"/>
    </row>
    <row r="703" spans="2:4" x14ac:dyDescent="0.2">
      <c r="B703" s="606"/>
      <c r="C703" s="607"/>
      <c r="D703" s="607"/>
    </row>
    <row r="704" spans="2:4" x14ac:dyDescent="0.2">
      <c r="B704" s="606"/>
      <c r="C704" s="607"/>
      <c r="D704" s="607"/>
    </row>
    <row r="705" spans="2:4" x14ac:dyDescent="0.2">
      <c r="B705" s="606"/>
      <c r="C705" s="607"/>
      <c r="D705" s="607"/>
    </row>
    <row r="706" spans="2:4" x14ac:dyDescent="0.2">
      <c r="B706" s="606"/>
      <c r="C706" s="607"/>
      <c r="D706" s="607"/>
    </row>
    <row r="707" spans="2:4" x14ac:dyDescent="0.2">
      <c r="B707" s="606"/>
      <c r="C707" s="607"/>
      <c r="D707" s="607"/>
    </row>
    <row r="708" spans="2:4" x14ac:dyDescent="0.2">
      <c r="B708" s="606"/>
      <c r="C708" s="607"/>
      <c r="D708" s="607"/>
    </row>
    <row r="709" spans="2:4" x14ac:dyDescent="0.2">
      <c r="B709" s="606"/>
      <c r="C709" s="607"/>
      <c r="D709" s="607"/>
    </row>
    <row r="710" spans="2:4" x14ac:dyDescent="0.2">
      <c r="B710" s="606"/>
      <c r="C710" s="607"/>
      <c r="D710" s="607"/>
    </row>
    <row r="711" spans="2:4" x14ac:dyDescent="0.2">
      <c r="B711" s="606"/>
      <c r="C711" s="607"/>
      <c r="D711" s="607"/>
    </row>
    <row r="712" spans="2:4" x14ac:dyDescent="0.2">
      <c r="B712" s="606"/>
      <c r="C712" s="607"/>
      <c r="D712" s="607"/>
    </row>
    <row r="713" spans="2:4" x14ac:dyDescent="0.2">
      <c r="B713" s="606"/>
      <c r="C713" s="607"/>
      <c r="D713" s="607"/>
    </row>
    <row r="714" spans="2:4" x14ac:dyDescent="0.2">
      <c r="B714" s="606"/>
      <c r="C714" s="607"/>
      <c r="D714" s="607"/>
    </row>
    <row r="715" spans="2:4" x14ac:dyDescent="0.2">
      <c r="B715" s="606"/>
      <c r="C715" s="607"/>
      <c r="D715" s="607"/>
    </row>
    <row r="716" spans="2:4" x14ac:dyDescent="0.2">
      <c r="B716" s="606"/>
      <c r="C716" s="607"/>
      <c r="D716" s="607"/>
    </row>
    <row r="717" spans="2:4" x14ac:dyDescent="0.2">
      <c r="B717" s="606"/>
      <c r="C717" s="607"/>
      <c r="D717" s="607"/>
    </row>
    <row r="718" spans="2:4" x14ac:dyDescent="0.2">
      <c r="B718" s="606"/>
      <c r="C718" s="607"/>
      <c r="D718" s="607"/>
    </row>
    <row r="719" spans="2:4" x14ac:dyDescent="0.2">
      <c r="B719" s="606"/>
      <c r="C719" s="607"/>
      <c r="D719" s="607"/>
    </row>
    <row r="720" spans="2:4" x14ac:dyDescent="0.2">
      <c r="B720" s="606"/>
      <c r="C720" s="607"/>
      <c r="D720" s="607"/>
    </row>
    <row r="721" spans="2:4" x14ac:dyDescent="0.2">
      <c r="B721" s="606"/>
      <c r="C721" s="607"/>
      <c r="D721" s="607"/>
    </row>
    <row r="722" spans="2:4" x14ac:dyDescent="0.2">
      <c r="B722" s="606"/>
      <c r="C722" s="607"/>
      <c r="D722" s="607"/>
    </row>
    <row r="723" spans="2:4" x14ac:dyDescent="0.2">
      <c r="B723" s="606"/>
      <c r="C723" s="607"/>
      <c r="D723" s="607"/>
    </row>
    <row r="724" spans="2:4" x14ac:dyDescent="0.2">
      <c r="B724" s="606"/>
      <c r="C724" s="607"/>
      <c r="D724" s="607"/>
    </row>
    <row r="725" spans="2:4" x14ac:dyDescent="0.2">
      <c r="B725" s="606"/>
      <c r="C725" s="607"/>
      <c r="D725" s="607"/>
    </row>
    <row r="726" spans="2:4" x14ac:dyDescent="0.2">
      <c r="B726" s="606"/>
      <c r="C726" s="607"/>
      <c r="D726" s="607"/>
    </row>
    <row r="727" spans="2:4" x14ac:dyDescent="0.2">
      <c r="B727" s="606"/>
      <c r="C727" s="607"/>
      <c r="D727" s="607"/>
    </row>
    <row r="728" spans="2:4" x14ac:dyDescent="0.2">
      <c r="B728" s="606"/>
      <c r="C728" s="607"/>
      <c r="D728" s="607"/>
    </row>
    <row r="729" spans="2:4" x14ac:dyDescent="0.2">
      <c r="B729" s="606"/>
      <c r="C729" s="607"/>
      <c r="D729" s="607"/>
    </row>
    <row r="730" spans="2:4" x14ac:dyDescent="0.2">
      <c r="B730" s="606"/>
      <c r="C730" s="607"/>
      <c r="D730" s="607"/>
    </row>
    <row r="731" spans="2:4" x14ac:dyDescent="0.2">
      <c r="B731" s="606"/>
      <c r="C731" s="607"/>
      <c r="D731" s="607"/>
    </row>
    <row r="732" spans="2:4" x14ac:dyDescent="0.2">
      <c r="B732" s="606"/>
      <c r="C732" s="607"/>
      <c r="D732" s="607"/>
    </row>
    <row r="733" spans="2:4" x14ac:dyDescent="0.2">
      <c r="B733" s="606"/>
      <c r="C733" s="607"/>
      <c r="D733" s="607"/>
    </row>
    <row r="734" spans="2:4" x14ac:dyDescent="0.2">
      <c r="B734" s="606"/>
      <c r="C734" s="607"/>
      <c r="D734" s="607"/>
    </row>
    <row r="735" spans="2:4" x14ac:dyDescent="0.2">
      <c r="B735" s="606"/>
      <c r="C735" s="607"/>
      <c r="D735" s="607"/>
    </row>
    <row r="736" spans="2:4" x14ac:dyDescent="0.2">
      <c r="B736" s="606"/>
      <c r="C736" s="607"/>
      <c r="D736" s="607"/>
    </row>
    <row r="737" spans="2:4" x14ac:dyDescent="0.2">
      <c r="B737" s="606"/>
      <c r="C737" s="607"/>
      <c r="D737" s="607"/>
    </row>
    <row r="738" spans="2:4" x14ac:dyDescent="0.2">
      <c r="B738" s="606"/>
      <c r="C738" s="607"/>
      <c r="D738" s="607"/>
    </row>
    <row r="739" spans="2:4" x14ac:dyDescent="0.2">
      <c r="B739" s="606"/>
      <c r="C739" s="607"/>
      <c r="D739" s="607"/>
    </row>
    <row r="740" spans="2:4" x14ac:dyDescent="0.2">
      <c r="B740" s="606"/>
      <c r="C740" s="607"/>
      <c r="D740" s="607"/>
    </row>
    <row r="741" spans="2:4" x14ac:dyDescent="0.2">
      <c r="B741" s="606"/>
      <c r="C741" s="607"/>
      <c r="D741" s="607"/>
    </row>
    <row r="742" spans="2:4" x14ac:dyDescent="0.2">
      <c r="B742" s="606"/>
      <c r="C742" s="607"/>
      <c r="D742" s="607"/>
    </row>
    <row r="743" spans="2:4" x14ac:dyDescent="0.2">
      <c r="B743" s="606"/>
      <c r="C743" s="607"/>
      <c r="D743" s="607"/>
    </row>
    <row r="744" spans="2:4" x14ac:dyDescent="0.2">
      <c r="B744" s="606"/>
      <c r="C744" s="607"/>
      <c r="D744" s="607"/>
    </row>
    <row r="745" spans="2:4" x14ac:dyDescent="0.2">
      <c r="B745" s="606"/>
      <c r="C745" s="607"/>
      <c r="D745" s="607"/>
    </row>
    <row r="746" spans="2:4" x14ac:dyDescent="0.2">
      <c r="B746" s="606"/>
      <c r="C746" s="607"/>
      <c r="D746" s="607"/>
    </row>
    <row r="747" spans="2:4" x14ac:dyDescent="0.2">
      <c r="B747" s="606"/>
      <c r="C747" s="607"/>
      <c r="D747" s="607"/>
    </row>
    <row r="748" spans="2:4" x14ac:dyDescent="0.2">
      <c r="B748" s="606"/>
      <c r="C748" s="607"/>
      <c r="D748" s="607"/>
    </row>
    <row r="749" spans="2:4" x14ac:dyDescent="0.2">
      <c r="B749" s="606"/>
      <c r="C749" s="607"/>
      <c r="D749" s="607"/>
    </row>
    <row r="750" spans="2:4" x14ac:dyDescent="0.2">
      <c r="B750" s="606"/>
      <c r="C750" s="607"/>
      <c r="D750" s="607"/>
    </row>
    <row r="751" spans="2:4" x14ac:dyDescent="0.2">
      <c r="B751" s="606"/>
      <c r="C751" s="607"/>
      <c r="D751" s="607"/>
    </row>
    <row r="752" spans="2:4" x14ac:dyDescent="0.2">
      <c r="B752" s="606"/>
      <c r="C752" s="607"/>
      <c r="D752" s="607"/>
    </row>
    <row r="753" spans="2:4" x14ac:dyDescent="0.2">
      <c r="B753" s="606"/>
      <c r="C753" s="607"/>
      <c r="D753" s="607"/>
    </row>
    <row r="754" spans="2:4" x14ac:dyDescent="0.2">
      <c r="B754" s="606"/>
      <c r="C754" s="607"/>
      <c r="D754" s="607"/>
    </row>
    <row r="755" spans="2:4" x14ac:dyDescent="0.2">
      <c r="B755" s="606"/>
      <c r="C755" s="607"/>
      <c r="D755" s="607"/>
    </row>
    <row r="756" spans="2:4" x14ac:dyDescent="0.2">
      <c r="B756" s="606"/>
      <c r="C756" s="607"/>
      <c r="D756" s="607"/>
    </row>
    <row r="757" spans="2:4" x14ac:dyDescent="0.2">
      <c r="B757" s="606"/>
      <c r="C757" s="607"/>
      <c r="D757" s="607"/>
    </row>
    <row r="758" spans="2:4" x14ac:dyDescent="0.2">
      <c r="B758" s="606"/>
      <c r="C758" s="607"/>
      <c r="D758" s="607"/>
    </row>
    <row r="759" spans="2:4" x14ac:dyDescent="0.2">
      <c r="B759" s="606"/>
      <c r="C759" s="607"/>
      <c r="D759" s="607"/>
    </row>
    <row r="760" spans="2:4" x14ac:dyDescent="0.2">
      <c r="B760" s="606"/>
      <c r="C760" s="607"/>
      <c r="D760" s="607"/>
    </row>
    <row r="761" spans="2:4" x14ac:dyDescent="0.2">
      <c r="B761" s="606"/>
      <c r="C761" s="607"/>
      <c r="D761" s="607"/>
    </row>
    <row r="762" spans="2:4" x14ac:dyDescent="0.2">
      <c r="B762" s="606"/>
      <c r="C762" s="607"/>
      <c r="D762" s="607"/>
    </row>
    <row r="763" spans="2:4" x14ac:dyDescent="0.2">
      <c r="B763" s="606"/>
      <c r="C763" s="607"/>
      <c r="D763" s="607"/>
    </row>
    <row r="764" spans="2:4" x14ac:dyDescent="0.2">
      <c r="B764" s="606"/>
      <c r="C764" s="607"/>
      <c r="D764" s="607"/>
    </row>
    <row r="765" spans="2:4" x14ac:dyDescent="0.2">
      <c r="B765" s="606"/>
      <c r="C765" s="607"/>
      <c r="D765" s="607"/>
    </row>
    <row r="766" spans="2:4" x14ac:dyDescent="0.2">
      <c r="B766" s="606"/>
      <c r="C766" s="607"/>
      <c r="D766" s="607"/>
    </row>
    <row r="767" spans="2:4" x14ac:dyDescent="0.2">
      <c r="B767" s="606"/>
      <c r="C767" s="607"/>
      <c r="D767" s="607"/>
    </row>
    <row r="768" spans="2:4" x14ac:dyDescent="0.2">
      <c r="B768" s="606"/>
      <c r="C768" s="607"/>
      <c r="D768" s="607"/>
    </row>
    <row r="769" spans="2:4" x14ac:dyDescent="0.2">
      <c r="B769" s="606"/>
      <c r="C769" s="607"/>
      <c r="D769" s="607"/>
    </row>
    <row r="770" spans="2:4" x14ac:dyDescent="0.2">
      <c r="B770" s="606"/>
      <c r="C770" s="607"/>
      <c r="D770" s="607"/>
    </row>
    <row r="771" spans="2:4" x14ac:dyDescent="0.2">
      <c r="B771" s="606"/>
      <c r="C771" s="607"/>
      <c r="D771" s="607"/>
    </row>
    <row r="772" spans="2:4" x14ac:dyDescent="0.2">
      <c r="B772" s="606"/>
      <c r="C772" s="607"/>
      <c r="D772" s="607"/>
    </row>
    <row r="773" spans="2:4" x14ac:dyDescent="0.2">
      <c r="B773" s="606"/>
      <c r="C773" s="607"/>
      <c r="D773" s="607"/>
    </row>
    <row r="774" spans="2:4" x14ac:dyDescent="0.2">
      <c r="B774" s="606"/>
      <c r="C774" s="607"/>
      <c r="D774" s="607"/>
    </row>
    <row r="775" spans="2:4" x14ac:dyDescent="0.2">
      <c r="B775" s="606"/>
      <c r="C775" s="607"/>
      <c r="D775" s="607"/>
    </row>
    <row r="776" spans="2:4" x14ac:dyDescent="0.2">
      <c r="B776" s="606"/>
      <c r="C776" s="607"/>
      <c r="D776" s="607"/>
    </row>
    <row r="777" spans="2:4" x14ac:dyDescent="0.2">
      <c r="B777" s="606"/>
      <c r="C777" s="607"/>
      <c r="D777" s="607"/>
    </row>
    <row r="778" spans="2:4" x14ac:dyDescent="0.2">
      <c r="B778" s="606"/>
      <c r="C778" s="607"/>
      <c r="D778" s="607"/>
    </row>
    <row r="779" spans="2:4" x14ac:dyDescent="0.2">
      <c r="B779" s="606"/>
      <c r="C779" s="607"/>
      <c r="D779" s="607"/>
    </row>
    <row r="780" spans="2:4" x14ac:dyDescent="0.2">
      <c r="B780" s="606"/>
      <c r="C780" s="607"/>
      <c r="D780" s="607"/>
    </row>
    <row r="781" spans="2:4" x14ac:dyDescent="0.2">
      <c r="B781" s="606"/>
      <c r="C781" s="607"/>
      <c r="D781" s="607"/>
    </row>
    <row r="782" spans="2:4" x14ac:dyDescent="0.2">
      <c r="B782" s="606"/>
      <c r="C782" s="607"/>
      <c r="D782" s="607"/>
    </row>
    <row r="783" spans="2:4" x14ac:dyDescent="0.2">
      <c r="B783" s="606"/>
      <c r="C783" s="607"/>
      <c r="D783" s="607"/>
    </row>
    <row r="784" spans="2:4" x14ac:dyDescent="0.2">
      <c r="B784" s="606"/>
      <c r="C784" s="607"/>
      <c r="D784" s="607"/>
    </row>
    <row r="785" spans="2:4" x14ac:dyDescent="0.2">
      <c r="B785" s="606"/>
      <c r="C785" s="607"/>
      <c r="D785" s="607"/>
    </row>
    <row r="786" spans="2:4" x14ac:dyDescent="0.2">
      <c r="B786" s="606"/>
      <c r="C786" s="607"/>
      <c r="D786" s="607"/>
    </row>
    <row r="787" spans="2:4" x14ac:dyDescent="0.2">
      <c r="B787" s="606"/>
      <c r="C787" s="607"/>
      <c r="D787" s="607"/>
    </row>
    <row r="788" spans="2:4" x14ac:dyDescent="0.2">
      <c r="B788" s="606"/>
      <c r="C788" s="607"/>
      <c r="D788" s="607"/>
    </row>
    <row r="789" spans="2:4" x14ac:dyDescent="0.2">
      <c r="B789" s="606"/>
      <c r="C789" s="607"/>
      <c r="D789" s="607"/>
    </row>
    <row r="790" spans="2:4" x14ac:dyDescent="0.2">
      <c r="B790" s="606"/>
      <c r="C790" s="607"/>
      <c r="D790" s="607"/>
    </row>
    <row r="791" spans="2:4" x14ac:dyDescent="0.2">
      <c r="B791" s="606"/>
      <c r="C791" s="607"/>
      <c r="D791" s="607"/>
    </row>
    <row r="792" spans="2:4" x14ac:dyDescent="0.2">
      <c r="B792" s="606"/>
      <c r="C792" s="607"/>
      <c r="D792" s="607"/>
    </row>
    <row r="793" spans="2:4" x14ac:dyDescent="0.2">
      <c r="B793" s="606"/>
      <c r="C793" s="607"/>
      <c r="D793" s="607"/>
    </row>
    <row r="794" spans="2:4" x14ac:dyDescent="0.2">
      <c r="B794" s="606"/>
      <c r="C794" s="607"/>
      <c r="D794" s="607"/>
    </row>
    <row r="795" spans="2:4" x14ac:dyDescent="0.2">
      <c r="B795" s="606"/>
      <c r="C795" s="607"/>
      <c r="D795" s="607"/>
    </row>
    <row r="796" spans="2:4" x14ac:dyDescent="0.2">
      <c r="B796" s="606"/>
      <c r="C796" s="607"/>
      <c r="D796" s="607"/>
    </row>
    <row r="797" spans="2:4" x14ac:dyDescent="0.2">
      <c r="B797" s="606"/>
      <c r="C797" s="607"/>
      <c r="D797" s="607"/>
    </row>
    <row r="798" spans="2:4" x14ac:dyDescent="0.2">
      <c r="B798" s="606"/>
      <c r="C798" s="607"/>
      <c r="D798" s="607"/>
    </row>
    <row r="799" spans="2:4" x14ac:dyDescent="0.2">
      <c r="B799" s="606"/>
      <c r="C799" s="607"/>
      <c r="D799" s="607"/>
    </row>
    <row r="800" spans="2:4" x14ac:dyDescent="0.2">
      <c r="B800" s="606"/>
      <c r="C800" s="607"/>
      <c r="D800" s="607"/>
    </row>
    <row r="801" spans="2:4" x14ac:dyDescent="0.2">
      <c r="B801" s="606"/>
      <c r="C801" s="607"/>
      <c r="D801" s="607"/>
    </row>
    <row r="802" spans="2:4" x14ac:dyDescent="0.2">
      <c r="B802" s="606"/>
      <c r="C802" s="607"/>
      <c r="D802" s="607"/>
    </row>
    <row r="803" spans="2:4" x14ac:dyDescent="0.2">
      <c r="B803" s="606"/>
      <c r="C803" s="607"/>
      <c r="D803" s="607"/>
    </row>
    <row r="804" spans="2:4" x14ac:dyDescent="0.2">
      <c r="B804" s="606"/>
      <c r="C804" s="607"/>
      <c r="D804" s="607"/>
    </row>
    <row r="805" spans="2:4" x14ac:dyDescent="0.2">
      <c r="B805" s="606"/>
      <c r="C805" s="607"/>
      <c r="D805" s="607"/>
    </row>
    <row r="806" spans="2:4" x14ac:dyDescent="0.2">
      <c r="B806" s="606"/>
      <c r="C806" s="607"/>
      <c r="D806" s="607"/>
    </row>
    <row r="807" spans="2:4" x14ac:dyDescent="0.2">
      <c r="B807" s="606"/>
      <c r="C807" s="607"/>
      <c r="D807" s="607"/>
    </row>
    <row r="808" spans="2:4" x14ac:dyDescent="0.2">
      <c r="B808" s="606"/>
      <c r="C808" s="607"/>
      <c r="D808" s="607"/>
    </row>
    <row r="809" spans="2:4" x14ac:dyDescent="0.2">
      <c r="B809" s="606"/>
      <c r="C809" s="607"/>
      <c r="D809" s="607"/>
    </row>
    <row r="810" spans="2:4" x14ac:dyDescent="0.2">
      <c r="B810" s="606"/>
      <c r="C810" s="607"/>
      <c r="D810" s="607"/>
    </row>
    <row r="811" spans="2:4" x14ac:dyDescent="0.2">
      <c r="B811" s="606"/>
      <c r="C811" s="607"/>
      <c r="D811" s="607"/>
    </row>
    <row r="812" spans="2:4" x14ac:dyDescent="0.2">
      <c r="B812" s="606"/>
      <c r="C812" s="607"/>
      <c r="D812" s="607"/>
    </row>
    <row r="813" spans="2:4" x14ac:dyDescent="0.2">
      <c r="B813" s="606"/>
      <c r="C813" s="607"/>
      <c r="D813" s="607"/>
    </row>
    <row r="814" spans="2:4" x14ac:dyDescent="0.2">
      <c r="B814" s="606"/>
      <c r="C814" s="607"/>
      <c r="D814" s="607"/>
    </row>
    <row r="815" spans="2:4" x14ac:dyDescent="0.2">
      <c r="B815" s="606"/>
      <c r="C815" s="607"/>
      <c r="D815" s="607"/>
    </row>
    <row r="816" spans="2:4" x14ac:dyDescent="0.2">
      <c r="B816" s="606"/>
      <c r="C816" s="607"/>
      <c r="D816" s="607"/>
    </row>
    <row r="817" spans="2:4" x14ac:dyDescent="0.2">
      <c r="B817" s="606"/>
      <c r="C817" s="607"/>
      <c r="D817" s="607"/>
    </row>
    <row r="818" spans="2:4" x14ac:dyDescent="0.2">
      <c r="B818" s="606"/>
      <c r="C818" s="607"/>
      <c r="D818" s="607"/>
    </row>
    <row r="819" spans="2:4" x14ac:dyDescent="0.2">
      <c r="B819" s="606"/>
      <c r="C819" s="607"/>
      <c r="D819" s="607"/>
    </row>
    <row r="820" spans="2:4" x14ac:dyDescent="0.2">
      <c r="B820" s="606"/>
      <c r="C820" s="607"/>
      <c r="D820" s="607"/>
    </row>
    <row r="821" spans="2:4" x14ac:dyDescent="0.2">
      <c r="B821" s="606"/>
      <c r="C821" s="607"/>
      <c r="D821" s="607"/>
    </row>
    <row r="822" spans="2:4" x14ac:dyDescent="0.2">
      <c r="B822" s="606"/>
      <c r="C822" s="607"/>
      <c r="D822" s="607"/>
    </row>
    <row r="823" spans="2:4" x14ac:dyDescent="0.2">
      <c r="B823" s="606"/>
      <c r="C823" s="607"/>
      <c r="D823" s="607"/>
    </row>
    <row r="824" spans="2:4" x14ac:dyDescent="0.2">
      <c r="B824" s="606"/>
      <c r="C824" s="607"/>
      <c r="D824" s="607"/>
    </row>
    <row r="825" spans="2:4" x14ac:dyDescent="0.2">
      <c r="B825" s="606"/>
      <c r="C825" s="607"/>
      <c r="D825" s="607"/>
    </row>
    <row r="826" spans="2:4" x14ac:dyDescent="0.2">
      <c r="B826" s="606"/>
      <c r="C826" s="607"/>
      <c r="D826" s="607"/>
    </row>
    <row r="827" spans="2:4" x14ac:dyDescent="0.2">
      <c r="B827" s="606"/>
      <c r="C827" s="607"/>
      <c r="D827" s="607"/>
    </row>
    <row r="828" spans="2:4" x14ac:dyDescent="0.2">
      <c r="B828" s="606"/>
      <c r="C828" s="607"/>
      <c r="D828" s="607"/>
    </row>
    <row r="829" spans="2:4" x14ac:dyDescent="0.2">
      <c r="B829" s="606"/>
      <c r="C829" s="607"/>
      <c r="D829" s="607"/>
    </row>
    <row r="830" spans="2:4" x14ac:dyDescent="0.2">
      <c r="B830" s="606"/>
      <c r="C830" s="607"/>
      <c r="D830" s="607"/>
    </row>
    <row r="831" spans="2:4" x14ac:dyDescent="0.2">
      <c r="B831" s="606"/>
      <c r="C831" s="607"/>
      <c r="D831" s="607"/>
    </row>
    <row r="832" spans="2:4" x14ac:dyDescent="0.2">
      <c r="B832" s="606"/>
      <c r="C832" s="607"/>
      <c r="D832" s="607"/>
    </row>
    <row r="833" spans="2:4" x14ac:dyDescent="0.2">
      <c r="B833" s="606"/>
      <c r="C833" s="607"/>
      <c r="D833" s="607"/>
    </row>
    <row r="834" spans="2:4" x14ac:dyDescent="0.2">
      <c r="B834" s="606"/>
      <c r="C834" s="607"/>
      <c r="D834" s="607"/>
    </row>
    <row r="835" spans="2:4" x14ac:dyDescent="0.2">
      <c r="B835" s="606"/>
      <c r="C835" s="607"/>
      <c r="D835" s="607"/>
    </row>
    <row r="836" spans="2:4" x14ac:dyDescent="0.2">
      <c r="B836" s="606"/>
      <c r="C836" s="607"/>
      <c r="D836" s="607"/>
    </row>
    <row r="837" spans="2:4" x14ac:dyDescent="0.2">
      <c r="B837" s="606"/>
      <c r="C837" s="607"/>
      <c r="D837" s="607"/>
    </row>
    <row r="838" spans="2:4" x14ac:dyDescent="0.2">
      <c r="B838" s="606"/>
      <c r="C838" s="607"/>
      <c r="D838" s="607"/>
    </row>
    <row r="839" spans="2:4" x14ac:dyDescent="0.2">
      <c r="B839" s="606"/>
      <c r="C839" s="607"/>
      <c r="D839" s="607"/>
    </row>
    <row r="840" spans="2:4" x14ac:dyDescent="0.2">
      <c r="B840" s="606"/>
      <c r="C840" s="607"/>
      <c r="D840" s="607"/>
    </row>
    <row r="841" spans="2:4" x14ac:dyDescent="0.2">
      <c r="B841" s="606"/>
      <c r="C841" s="607"/>
      <c r="D841" s="607"/>
    </row>
    <row r="842" spans="2:4" x14ac:dyDescent="0.2">
      <c r="B842" s="606"/>
      <c r="C842" s="607"/>
      <c r="D842" s="607"/>
    </row>
    <row r="843" spans="2:4" x14ac:dyDescent="0.2">
      <c r="B843" s="606"/>
      <c r="C843" s="607"/>
      <c r="D843" s="607"/>
    </row>
    <row r="844" spans="2:4" x14ac:dyDescent="0.2">
      <c r="B844" s="606"/>
      <c r="C844" s="607"/>
      <c r="D844" s="607"/>
    </row>
    <row r="845" spans="2:4" x14ac:dyDescent="0.2">
      <c r="B845" s="606"/>
      <c r="C845" s="607"/>
      <c r="D845" s="607"/>
    </row>
    <row r="846" spans="2:4" x14ac:dyDescent="0.2">
      <c r="B846" s="606"/>
      <c r="C846" s="607"/>
      <c r="D846" s="607"/>
    </row>
    <row r="847" spans="2:4" x14ac:dyDescent="0.2">
      <c r="B847" s="606"/>
      <c r="C847" s="607"/>
      <c r="D847" s="607"/>
    </row>
    <row r="848" spans="2:4" x14ac:dyDescent="0.2">
      <c r="B848" s="606"/>
      <c r="C848" s="607"/>
      <c r="D848" s="607"/>
    </row>
    <row r="849" spans="2:4" x14ac:dyDescent="0.2">
      <c r="B849" s="606"/>
      <c r="C849" s="607"/>
      <c r="D849" s="607"/>
    </row>
    <row r="850" spans="2:4" x14ac:dyDescent="0.2">
      <c r="B850" s="606"/>
      <c r="C850" s="607"/>
      <c r="D850" s="607"/>
    </row>
    <row r="851" spans="2:4" x14ac:dyDescent="0.2">
      <c r="B851" s="606"/>
      <c r="C851" s="607"/>
      <c r="D851" s="607"/>
    </row>
    <row r="852" spans="2:4" x14ac:dyDescent="0.2">
      <c r="B852" s="606"/>
      <c r="C852" s="607"/>
      <c r="D852" s="607"/>
    </row>
    <row r="853" spans="2:4" x14ac:dyDescent="0.2">
      <c r="B853" s="606"/>
      <c r="C853" s="607"/>
      <c r="D853" s="607"/>
    </row>
    <row r="854" spans="2:4" x14ac:dyDescent="0.2">
      <c r="B854" s="606"/>
      <c r="C854" s="607"/>
      <c r="D854" s="607"/>
    </row>
    <row r="855" spans="2:4" x14ac:dyDescent="0.2">
      <c r="B855" s="606"/>
      <c r="C855" s="607"/>
      <c r="D855" s="607"/>
    </row>
    <row r="856" spans="2:4" x14ac:dyDescent="0.2">
      <c r="B856" s="606"/>
      <c r="C856" s="607"/>
      <c r="D856" s="607"/>
    </row>
    <row r="857" spans="2:4" x14ac:dyDescent="0.2">
      <c r="B857" s="606"/>
      <c r="C857" s="607"/>
      <c r="D857" s="607"/>
    </row>
    <row r="858" spans="2:4" x14ac:dyDescent="0.2">
      <c r="B858" s="606"/>
      <c r="C858" s="607"/>
      <c r="D858" s="607"/>
    </row>
    <row r="859" spans="2:4" x14ac:dyDescent="0.2">
      <c r="B859" s="606"/>
      <c r="C859" s="607"/>
      <c r="D859" s="607"/>
    </row>
    <row r="860" spans="2:4" x14ac:dyDescent="0.2">
      <c r="B860" s="606"/>
      <c r="C860" s="607"/>
      <c r="D860" s="607"/>
    </row>
    <row r="861" spans="2:4" x14ac:dyDescent="0.2">
      <c r="B861" s="606"/>
      <c r="C861" s="607"/>
      <c r="D861" s="607"/>
    </row>
    <row r="862" spans="2:4" x14ac:dyDescent="0.2">
      <c r="B862" s="606"/>
      <c r="C862" s="607"/>
      <c r="D862" s="607"/>
    </row>
    <row r="863" spans="2:4" x14ac:dyDescent="0.2">
      <c r="B863" s="606"/>
      <c r="C863" s="607"/>
      <c r="D863" s="607"/>
    </row>
    <row r="864" spans="2:4" x14ac:dyDescent="0.2">
      <c r="B864" s="606"/>
      <c r="C864" s="607"/>
      <c r="D864" s="607"/>
    </row>
    <row r="865" spans="2:4" x14ac:dyDescent="0.2">
      <c r="B865" s="606"/>
      <c r="C865" s="607"/>
      <c r="D865" s="607"/>
    </row>
    <row r="866" spans="2:4" x14ac:dyDescent="0.2">
      <c r="B866" s="606"/>
      <c r="C866" s="607"/>
      <c r="D866" s="607"/>
    </row>
    <row r="867" spans="2:4" x14ac:dyDescent="0.2">
      <c r="B867" s="606"/>
      <c r="C867" s="607"/>
      <c r="D867" s="607"/>
    </row>
    <row r="868" spans="2:4" x14ac:dyDescent="0.2">
      <c r="B868" s="606"/>
      <c r="C868" s="607"/>
      <c r="D868" s="607"/>
    </row>
    <row r="869" spans="2:4" x14ac:dyDescent="0.2">
      <c r="B869" s="606"/>
      <c r="C869" s="607"/>
      <c r="D869" s="607"/>
    </row>
    <row r="870" spans="2:4" x14ac:dyDescent="0.2">
      <c r="B870" s="606"/>
      <c r="C870" s="607"/>
      <c r="D870" s="607"/>
    </row>
    <row r="871" spans="2:4" x14ac:dyDescent="0.2">
      <c r="B871" s="606"/>
      <c r="C871" s="607"/>
      <c r="D871" s="607"/>
    </row>
    <row r="872" spans="2:4" x14ac:dyDescent="0.2">
      <c r="B872" s="606"/>
      <c r="C872" s="607"/>
      <c r="D872" s="607"/>
    </row>
    <row r="873" spans="2:4" x14ac:dyDescent="0.2">
      <c r="B873" s="606"/>
      <c r="C873" s="607"/>
      <c r="D873" s="607"/>
    </row>
    <row r="874" spans="2:4" x14ac:dyDescent="0.2">
      <c r="B874" s="606"/>
      <c r="C874" s="607"/>
      <c r="D874" s="607"/>
    </row>
    <row r="875" spans="2:4" x14ac:dyDescent="0.2">
      <c r="B875" s="606"/>
      <c r="C875" s="607"/>
      <c r="D875" s="607"/>
    </row>
    <row r="876" spans="2:4" x14ac:dyDescent="0.2">
      <c r="B876" s="606"/>
      <c r="C876" s="607"/>
      <c r="D876" s="607"/>
    </row>
    <row r="877" spans="2:4" x14ac:dyDescent="0.2">
      <c r="B877" s="606"/>
      <c r="C877" s="607"/>
      <c r="D877" s="607"/>
    </row>
    <row r="878" spans="2:4" x14ac:dyDescent="0.2">
      <c r="B878" s="606"/>
      <c r="C878" s="607"/>
      <c r="D878" s="607"/>
    </row>
    <row r="879" spans="2:4" x14ac:dyDescent="0.2">
      <c r="B879" s="606"/>
      <c r="C879" s="607"/>
      <c r="D879" s="607"/>
    </row>
    <row r="880" spans="2:4" x14ac:dyDescent="0.2">
      <c r="B880" s="606"/>
      <c r="C880" s="607"/>
      <c r="D880" s="607"/>
    </row>
    <row r="881" spans="2:4" x14ac:dyDescent="0.2">
      <c r="B881" s="606"/>
      <c r="C881" s="607"/>
      <c r="D881" s="607"/>
    </row>
    <row r="882" spans="2:4" x14ac:dyDescent="0.2">
      <c r="B882" s="606"/>
      <c r="C882" s="607"/>
      <c r="D882" s="607"/>
    </row>
    <row r="883" spans="2:4" x14ac:dyDescent="0.2">
      <c r="B883" s="606"/>
      <c r="C883" s="607"/>
      <c r="D883" s="607"/>
    </row>
    <row r="884" spans="2:4" x14ac:dyDescent="0.2">
      <c r="B884" s="606"/>
      <c r="C884" s="607"/>
      <c r="D884" s="607"/>
    </row>
    <row r="885" spans="2:4" x14ac:dyDescent="0.2">
      <c r="B885" s="606"/>
      <c r="C885" s="607"/>
      <c r="D885" s="607"/>
    </row>
    <row r="886" spans="2:4" x14ac:dyDescent="0.2">
      <c r="B886" s="606"/>
      <c r="C886" s="607"/>
      <c r="D886" s="607"/>
    </row>
    <row r="887" spans="2:4" x14ac:dyDescent="0.2">
      <c r="B887" s="606"/>
      <c r="C887" s="607"/>
      <c r="D887" s="607"/>
    </row>
    <row r="888" spans="2:4" x14ac:dyDescent="0.2">
      <c r="B888" s="606"/>
      <c r="C888" s="607"/>
      <c r="D888" s="607"/>
    </row>
    <row r="889" spans="2:4" x14ac:dyDescent="0.2">
      <c r="B889" s="606"/>
      <c r="C889" s="607"/>
      <c r="D889" s="607"/>
    </row>
    <row r="890" spans="2:4" x14ac:dyDescent="0.2">
      <c r="B890" s="606"/>
      <c r="C890" s="607"/>
      <c r="D890" s="607"/>
    </row>
    <row r="891" spans="2:4" x14ac:dyDescent="0.2">
      <c r="B891" s="606"/>
      <c r="C891" s="607"/>
      <c r="D891" s="607"/>
    </row>
    <row r="892" spans="2:4" x14ac:dyDescent="0.2">
      <c r="B892" s="606"/>
      <c r="C892" s="607"/>
      <c r="D892" s="607"/>
    </row>
    <row r="893" spans="2:4" x14ac:dyDescent="0.2">
      <c r="B893" s="606"/>
      <c r="C893" s="607"/>
      <c r="D893" s="607"/>
    </row>
    <row r="894" spans="2:4" x14ac:dyDescent="0.2">
      <c r="B894" s="606"/>
      <c r="C894" s="607"/>
      <c r="D894" s="607"/>
    </row>
    <row r="895" spans="2:4" x14ac:dyDescent="0.2">
      <c r="B895" s="606"/>
      <c r="C895" s="607"/>
      <c r="D895" s="607"/>
    </row>
    <row r="896" spans="2:4" x14ac:dyDescent="0.2">
      <c r="B896" s="606"/>
      <c r="C896" s="607"/>
      <c r="D896" s="607"/>
    </row>
    <row r="897" spans="2:4" x14ac:dyDescent="0.2">
      <c r="B897" s="606"/>
      <c r="C897" s="607"/>
      <c r="D897" s="607"/>
    </row>
    <row r="898" spans="2:4" x14ac:dyDescent="0.2">
      <c r="B898" s="606"/>
      <c r="C898" s="607"/>
      <c r="D898" s="607"/>
    </row>
    <row r="899" spans="2:4" x14ac:dyDescent="0.2">
      <c r="B899" s="606"/>
      <c r="C899" s="607"/>
      <c r="D899" s="607"/>
    </row>
    <row r="900" spans="2:4" x14ac:dyDescent="0.2">
      <c r="B900" s="606"/>
      <c r="C900" s="607"/>
      <c r="D900" s="607"/>
    </row>
    <row r="901" spans="2:4" x14ac:dyDescent="0.2">
      <c r="B901" s="606"/>
      <c r="C901" s="607"/>
      <c r="D901" s="607"/>
    </row>
    <row r="902" spans="2:4" x14ac:dyDescent="0.2">
      <c r="B902" s="606"/>
      <c r="C902" s="607"/>
      <c r="D902" s="607"/>
    </row>
    <row r="903" spans="2:4" x14ac:dyDescent="0.2">
      <c r="B903" s="606"/>
      <c r="C903" s="607"/>
      <c r="D903" s="607"/>
    </row>
    <row r="904" spans="2:4" x14ac:dyDescent="0.2">
      <c r="B904" s="606"/>
      <c r="C904" s="607"/>
      <c r="D904" s="607"/>
    </row>
    <row r="905" spans="2:4" x14ac:dyDescent="0.2">
      <c r="B905" s="606"/>
      <c r="C905" s="607"/>
      <c r="D905" s="607"/>
    </row>
    <row r="906" spans="2:4" x14ac:dyDescent="0.2">
      <c r="B906" s="606"/>
      <c r="C906" s="607"/>
      <c r="D906" s="607"/>
    </row>
    <row r="907" spans="2:4" x14ac:dyDescent="0.2">
      <c r="B907" s="606"/>
      <c r="C907" s="607"/>
      <c r="D907" s="607"/>
    </row>
    <row r="908" spans="2:4" x14ac:dyDescent="0.2">
      <c r="B908" s="606"/>
      <c r="C908" s="607"/>
      <c r="D908" s="607"/>
    </row>
    <row r="909" spans="2:4" x14ac:dyDescent="0.2">
      <c r="B909" s="606"/>
      <c r="C909" s="607"/>
      <c r="D909" s="607"/>
    </row>
    <row r="910" spans="2:4" x14ac:dyDescent="0.2">
      <c r="B910" s="606"/>
      <c r="C910" s="607"/>
      <c r="D910" s="607"/>
    </row>
    <row r="911" spans="2:4" x14ac:dyDescent="0.2">
      <c r="B911" s="606"/>
      <c r="C911" s="607"/>
      <c r="D911" s="607"/>
    </row>
    <row r="912" spans="2:4" x14ac:dyDescent="0.2">
      <c r="B912" s="606"/>
      <c r="C912" s="607"/>
      <c r="D912" s="607"/>
    </row>
    <row r="913" spans="2:4" x14ac:dyDescent="0.2">
      <c r="B913" s="606"/>
      <c r="C913" s="607"/>
      <c r="D913" s="607"/>
    </row>
    <row r="914" spans="2:4" x14ac:dyDescent="0.2">
      <c r="B914" s="606"/>
      <c r="C914" s="607"/>
      <c r="D914" s="607"/>
    </row>
    <row r="915" spans="2:4" x14ac:dyDescent="0.2">
      <c r="B915" s="606"/>
      <c r="C915" s="607"/>
      <c r="D915" s="607"/>
    </row>
    <row r="916" spans="2:4" x14ac:dyDescent="0.2">
      <c r="B916" s="606"/>
      <c r="C916" s="607"/>
      <c r="D916" s="607"/>
    </row>
    <row r="917" spans="2:4" x14ac:dyDescent="0.2">
      <c r="B917" s="606"/>
      <c r="C917" s="607"/>
      <c r="D917" s="607"/>
    </row>
    <row r="918" spans="2:4" x14ac:dyDescent="0.2">
      <c r="B918" s="606"/>
      <c r="C918" s="607"/>
      <c r="D918" s="607"/>
    </row>
    <row r="919" spans="2:4" x14ac:dyDescent="0.2">
      <c r="B919" s="606"/>
      <c r="C919" s="607"/>
      <c r="D919" s="607"/>
    </row>
    <row r="920" spans="2:4" x14ac:dyDescent="0.2">
      <c r="B920" s="606"/>
      <c r="C920" s="607"/>
      <c r="D920" s="607"/>
    </row>
    <row r="921" spans="2:4" x14ac:dyDescent="0.2">
      <c r="B921" s="606"/>
      <c r="C921" s="607"/>
      <c r="D921" s="607"/>
    </row>
    <row r="922" spans="2:4" x14ac:dyDescent="0.2">
      <c r="B922" s="606"/>
      <c r="C922" s="607"/>
      <c r="D922" s="607"/>
    </row>
    <row r="923" spans="2:4" x14ac:dyDescent="0.2">
      <c r="B923" s="606"/>
      <c r="C923" s="607"/>
      <c r="D923" s="607"/>
    </row>
    <row r="924" spans="2:4" x14ac:dyDescent="0.2">
      <c r="B924" s="606"/>
      <c r="C924" s="607"/>
      <c r="D924" s="607"/>
    </row>
    <row r="925" spans="2:4" x14ac:dyDescent="0.2">
      <c r="B925" s="606"/>
      <c r="C925" s="607"/>
      <c r="D925" s="607"/>
    </row>
    <row r="926" spans="2:4" x14ac:dyDescent="0.2">
      <c r="B926" s="606"/>
      <c r="C926" s="607"/>
      <c r="D926" s="607"/>
    </row>
    <row r="927" spans="2:4" x14ac:dyDescent="0.2">
      <c r="B927" s="606"/>
      <c r="C927" s="607"/>
      <c r="D927" s="607"/>
    </row>
    <row r="928" spans="2:4" x14ac:dyDescent="0.2">
      <c r="B928" s="606"/>
      <c r="C928" s="607"/>
      <c r="D928" s="607"/>
    </row>
    <row r="929" spans="2:4" x14ac:dyDescent="0.2">
      <c r="B929" s="606"/>
      <c r="C929" s="607"/>
      <c r="D929" s="607"/>
    </row>
    <row r="930" spans="2:4" x14ac:dyDescent="0.2">
      <c r="B930" s="606"/>
      <c r="C930" s="607"/>
      <c r="D930" s="607"/>
    </row>
    <row r="931" spans="2:4" x14ac:dyDescent="0.2">
      <c r="B931" s="606"/>
      <c r="C931" s="607"/>
      <c r="D931" s="607"/>
    </row>
    <row r="932" spans="2:4" x14ac:dyDescent="0.2">
      <c r="B932" s="606"/>
      <c r="C932" s="607"/>
      <c r="D932" s="607"/>
    </row>
    <row r="933" spans="2:4" x14ac:dyDescent="0.2">
      <c r="B933" s="606"/>
      <c r="C933" s="607"/>
      <c r="D933" s="607"/>
    </row>
    <row r="934" spans="2:4" x14ac:dyDescent="0.2">
      <c r="B934" s="606"/>
      <c r="C934" s="607"/>
      <c r="D934" s="607"/>
    </row>
    <row r="935" spans="2:4" x14ac:dyDescent="0.2">
      <c r="B935" s="606"/>
      <c r="C935" s="607"/>
      <c r="D935" s="607"/>
    </row>
    <row r="936" spans="2:4" x14ac:dyDescent="0.2">
      <c r="B936" s="606"/>
      <c r="C936" s="607"/>
      <c r="D936" s="607"/>
    </row>
    <row r="937" spans="2:4" x14ac:dyDescent="0.2">
      <c r="B937" s="606"/>
      <c r="C937" s="607"/>
      <c r="D937" s="607"/>
    </row>
    <row r="938" spans="2:4" x14ac:dyDescent="0.2">
      <c r="B938" s="606"/>
      <c r="C938" s="607"/>
      <c r="D938" s="607"/>
    </row>
    <row r="939" spans="2:4" x14ac:dyDescent="0.2">
      <c r="B939" s="606"/>
      <c r="C939" s="607"/>
      <c r="D939" s="607"/>
    </row>
    <row r="940" spans="2:4" x14ac:dyDescent="0.2">
      <c r="B940" s="606"/>
      <c r="C940" s="607"/>
      <c r="D940" s="607"/>
    </row>
    <row r="941" spans="2:4" x14ac:dyDescent="0.2">
      <c r="B941" s="606"/>
      <c r="C941" s="607"/>
      <c r="D941" s="607"/>
    </row>
    <row r="942" spans="2:4" x14ac:dyDescent="0.2">
      <c r="B942" s="606"/>
      <c r="C942" s="607"/>
      <c r="D942" s="607"/>
    </row>
    <row r="943" spans="2:4" x14ac:dyDescent="0.2">
      <c r="B943" s="606"/>
      <c r="C943" s="607"/>
      <c r="D943" s="607"/>
    </row>
    <row r="944" spans="2:4" x14ac:dyDescent="0.2">
      <c r="B944" s="606"/>
      <c r="C944" s="607"/>
      <c r="D944" s="607"/>
    </row>
    <row r="945" spans="2:4" x14ac:dyDescent="0.2">
      <c r="B945" s="606"/>
      <c r="C945" s="607"/>
      <c r="D945" s="607"/>
    </row>
    <row r="946" spans="2:4" x14ac:dyDescent="0.2">
      <c r="B946" s="606"/>
      <c r="C946" s="607"/>
      <c r="D946" s="607"/>
    </row>
    <row r="947" spans="2:4" x14ac:dyDescent="0.2">
      <c r="B947" s="606"/>
      <c r="C947" s="607"/>
      <c r="D947" s="607"/>
    </row>
    <row r="948" spans="2:4" x14ac:dyDescent="0.2">
      <c r="B948" s="606"/>
      <c r="C948" s="607"/>
      <c r="D948" s="607"/>
    </row>
    <row r="949" spans="2:4" x14ac:dyDescent="0.2">
      <c r="B949" s="606"/>
      <c r="C949" s="607"/>
      <c r="D949" s="607"/>
    </row>
    <row r="950" spans="2:4" x14ac:dyDescent="0.2">
      <c r="B950" s="606"/>
      <c r="C950" s="607"/>
      <c r="D950" s="607"/>
    </row>
    <row r="951" spans="2:4" x14ac:dyDescent="0.2">
      <c r="B951" s="606"/>
      <c r="C951" s="607"/>
      <c r="D951" s="607"/>
    </row>
    <row r="952" spans="2:4" x14ac:dyDescent="0.2">
      <c r="B952" s="606"/>
      <c r="C952" s="607"/>
      <c r="D952" s="607"/>
    </row>
    <row r="953" spans="2:4" x14ac:dyDescent="0.2">
      <c r="B953" s="606"/>
      <c r="C953" s="607"/>
      <c r="D953" s="607"/>
    </row>
    <row r="954" spans="2:4" x14ac:dyDescent="0.2">
      <c r="B954" s="606"/>
      <c r="C954" s="607"/>
      <c r="D954" s="607"/>
    </row>
    <row r="955" spans="2:4" x14ac:dyDescent="0.2">
      <c r="B955" s="606"/>
      <c r="C955" s="607"/>
      <c r="D955" s="607"/>
    </row>
    <row r="956" spans="2:4" x14ac:dyDescent="0.2">
      <c r="B956" s="606"/>
      <c r="C956" s="607"/>
      <c r="D956" s="607"/>
    </row>
    <row r="957" spans="2:4" x14ac:dyDescent="0.2">
      <c r="B957" s="606"/>
      <c r="C957" s="607"/>
      <c r="D957" s="607"/>
    </row>
    <row r="958" spans="2:4" x14ac:dyDescent="0.2">
      <c r="B958" s="606"/>
      <c r="C958" s="607"/>
      <c r="D958" s="607"/>
    </row>
    <row r="959" spans="2:4" x14ac:dyDescent="0.2">
      <c r="B959" s="606"/>
      <c r="C959" s="607"/>
      <c r="D959" s="607"/>
    </row>
    <row r="960" spans="2:4" x14ac:dyDescent="0.2">
      <c r="B960" s="606"/>
      <c r="C960" s="607"/>
      <c r="D960" s="607"/>
    </row>
    <row r="961" spans="2:4" x14ac:dyDescent="0.2">
      <c r="B961" s="606"/>
      <c r="C961" s="607"/>
      <c r="D961" s="607"/>
    </row>
    <row r="962" spans="2:4" x14ac:dyDescent="0.2">
      <c r="B962" s="606"/>
      <c r="C962" s="607"/>
      <c r="D962" s="607"/>
    </row>
    <row r="963" spans="2:4" x14ac:dyDescent="0.2">
      <c r="B963" s="606"/>
      <c r="C963" s="607"/>
      <c r="D963" s="607"/>
    </row>
    <row r="964" spans="2:4" x14ac:dyDescent="0.2">
      <c r="B964" s="606"/>
      <c r="C964" s="607"/>
      <c r="D964" s="607"/>
    </row>
    <row r="965" spans="2:4" x14ac:dyDescent="0.2">
      <c r="B965" s="606"/>
      <c r="C965" s="607"/>
      <c r="D965" s="607"/>
    </row>
    <row r="966" spans="2:4" x14ac:dyDescent="0.2">
      <c r="B966" s="606"/>
      <c r="C966" s="607"/>
      <c r="D966" s="607"/>
    </row>
    <row r="967" spans="2:4" x14ac:dyDescent="0.2">
      <c r="B967" s="606"/>
      <c r="C967" s="607"/>
      <c r="D967" s="607"/>
    </row>
    <row r="968" spans="2:4" x14ac:dyDescent="0.2">
      <c r="B968" s="606"/>
      <c r="C968" s="607"/>
      <c r="D968" s="607"/>
    </row>
    <row r="969" spans="2:4" x14ac:dyDescent="0.2">
      <c r="B969" s="606"/>
      <c r="C969" s="607"/>
      <c r="D969" s="607"/>
    </row>
    <row r="970" spans="2:4" x14ac:dyDescent="0.2">
      <c r="B970" s="606"/>
      <c r="C970" s="607"/>
      <c r="D970" s="607"/>
    </row>
    <row r="971" spans="2:4" x14ac:dyDescent="0.2">
      <c r="B971" s="606"/>
      <c r="C971" s="607"/>
      <c r="D971" s="607"/>
    </row>
    <row r="972" spans="2:4" x14ac:dyDescent="0.2">
      <c r="B972" s="606"/>
      <c r="C972" s="607"/>
      <c r="D972" s="607"/>
    </row>
    <row r="973" spans="2:4" x14ac:dyDescent="0.2">
      <c r="B973" s="606"/>
      <c r="C973" s="607"/>
      <c r="D973" s="607"/>
    </row>
    <row r="974" spans="2:4" x14ac:dyDescent="0.2">
      <c r="B974" s="606"/>
      <c r="C974" s="607"/>
      <c r="D974" s="607"/>
    </row>
    <row r="975" spans="2:4" x14ac:dyDescent="0.2">
      <c r="B975" s="606"/>
      <c r="C975" s="607"/>
      <c r="D975" s="607"/>
    </row>
    <row r="976" spans="2:4" x14ac:dyDescent="0.2">
      <c r="B976" s="606"/>
      <c r="C976" s="607"/>
      <c r="D976" s="607"/>
    </row>
    <row r="977" spans="2:4" x14ac:dyDescent="0.2">
      <c r="B977" s="606"/>
      <c r="C977" s="607"/>
      <c r="D977" s="607"/>
    </row>
    <row r="978" spans="2:4" x14ac:dyDescent="0.2">
      <c r="B978" s="606"/>
      <c r="C978" s="607"/>
      <c r="D978" s="607"/>
    </row>
    <row r="979" spans="2:4" x14ac:dyDescent="0.2">
      <c r="B979" s="606"/>
      <c r="C979" s="607"/>
      <c r="D979" s="607"/>
    </row>
    <row r="980" spans="2:4" x14ac:dyDescent="0.2">
      <c r="B980" s="606"/>
      <c r="C980" s="607"/>
      <c r="D980" s="607"/>
    </row>
    <row r="981" spans="2:4" x14ac:dyDescent="0.2">
      <c r="B981" s="606"/>
      <c r="C981" s="607"/>
      <c r="D981" s="607"/>
    </row>
    <row r="982" spans="2:4" x14ac:dyDescent="0.2">
      <c r="B982" s="606"/>
      <c r="C982" s="607"/>
      <c r="D982" s="607"/>
    </row>
    <row r="983" spans="2:4" x14ac:dyDescent="0.2">
      <c r="B983" s="606"/>
      <c r="C983" s="607"/>
      <c r="D983" s="607"/>
    </row>
    <row r="984" spans="2:4" x14ac:dyDescent="0.2">
      <c r="B984" s="606"/>
      <c r="C984" s="607"/>
      <c r="D984" s="607"/>
    </row>
    <row r="985" spans="2:4" x14ac:dyDescent="0.2">
      <c r="B985" s="606"/>
      <c r="C985" s="607"/>
      <c r="D985" s="607"/>
    </row>
    <row r="986" spans="2:4" x14ac:dyDescent="0.2">
      <c r="B986" s="606"/>
      <c r="C986" s="607"/>
      <c r="D986" s="607"/>
    </row>
    <row r="987" spans="2:4" x14ac:dyDescent="0.2">
      <c r="B987" s="606"/>
      <c r="C987" s="607"/>
      <c r="D987" s="607"/>
    </row>
    <row r="988" spans="2:4" x14ac:dyDescent="0.2">
      <c r="B988" s="606"/>
      <c r="C988" s="607"/>
      <c r="D988" s="607"/>
    </row>
    <row r="989" spans="2:4" x14ac:dyDescent="0.2">
      <c r="B989" s="606"/>
      <c r="C989" s="607"/>
      <c r="D989" s="607"/>
    </row>
    <row r="990" spans="2:4" x14ac:dyDescent="0.2">
      <c r="B990" s="606"/>
      <c r="C990" s="607"/>
      <c r="D990" s="607"/>
    </row>
    <row r="991" spans="2:4" x14ac:dyDescent="0.2">
      <c r="B991" s="606"/>
      <c r="C991" s="607"/>
      <c r="D991" s="607"/>
    </row>
    <row r="992" spans="2:4" x14ac:dyDescent="0.2">
      <c r="B992" s="606"/>
      <c r="C992" s="607"/>
      <c r="D992" s="607"/>
    </row>
    <row r="993" spans="2:4" x14ac:dyDescent="0.2">
      <c r="B993" s="606"/>
      <c r="C993" s="607"/>
      <c r="D993" s="607"/>
    </row>
    <row r="994" spans="2:4" x14ac:dyDescent="0.2">
      <c r="B994" s="606"/>
      <c r="C994" s="607"/>
      <c r="D994" s="607"/>
    </row>
    <row r="995" spans="2:4" x14ac:dyDescent="0.2">
      <c r="B995" s="606"/>
      <c r="C995" s="607"/>
      <c r="D995" s="607"/>
    </row>
    <row r="996" spans="2:4" x14ac:dyDescent="0.2">
      <c r="B996" s="606"/>
      <c r="C996" s="607"/>
      <c r="D996" s="607"/>
    </row>
    <row r="997" spans="2:4" x14ac:dyDescent="0.2">
      <c r="B997" s="606"/>
      <c r="C997" s="607"/>
      <c r="D997" s="607"/>
    </row>
    <row r="998" spans="2:4" x14ac:dyDescent="0.2">
      <c r="B998" s="606"/>
      <c r="C998" s="607"/>
      <c r="D998" s="607"/>
    </row>
    <row r="999" spans="2:4" x14ac:dyDescent="0.2">
      <c r="B999" s="606"/>
      <c r="C999" s="607"/>
      <c r="D999" s="607"/>
    </row>
    <row r="1000" spans="2:4" x14ac:dyDescent="0.2">
      <c r="B1000" s="606"/>
      <c r="C1000" s="607"/>
      <c r="D1000" s="607"/>
    </row>
    <row r="1001" spans="2:4" x14ac:dyDescent="0.2">
      <c r="B1001" s="606"/>
      <c r="C1001" s="607"/>
      <c r="D1001" s="607"/>
    </row>
    <row r="1002" spans="2:4" x14ac:dyDescent="0.2">
      <c r="B1002" s="606"/>
      <c r="C1002" s="607"/>
      <c r="D1002" s="607"/>
    </row>
    <row r="1003" spans="2:4" x14ac:dyDescent="0.2">
      <c r="B1003" s="606"/>
      <c r="C1003" s="607"/>
      <c r="D1003" s="607"/>
    </row>
    <row r="1004" spans="2:4" x14ac:dyDescent="0.2">
      <c r="B1004" s="606"/>
      <c r="C1004" s="607"/>
      <c r="D1004" s="607"/>
    </row>
    <row r="1005" spans="2:4" x14ac:dyDescent="0.2">
      <c r="B1005" s="606"/>
      <c r="C1005" s="607"/>
      <c r="D1005" s="607"/>
    </row>
    <row r="1006" spans="2:4" x14ac:dyDescent="0.2">
      <c r="B1006" s="606"/>
      <c r="C1006" s="607"/>
      <c r="D1006" s="607"/>
    </row>
    <row r="1007" spans="2:4" x14ac:dyDescent="0.2">
      <c r="B1007" s="606"/>
      <c r="C1007" s="607"/>
      <c r="D1007" s="607"/>
    </row>
    <row r="1008" spans="2:4" x14ac:dyDescent="0.2">
      <c r="B1008" s="606"/>
      <c r="C1008" s="607"/>
      <c r="D1008" s="607"/>
    </row>
    <row r="1009" spans="2:4" x14ac:dyDescent="0.2">
      <c r="B1009" s="606"/>
      <c r="C1009" s="607"/>
      <c r="D1009" s="607"/>
    </row>
    <row r="1010" spans="2:4" x14ac:dyDescent="0.2">
      <c r="B1010" s="606"/>
      <c r="C1010" s="607"/>
      <c r="D1010" s="607"/>
    </row>
    <row r="1011" spans="2:4" x14ac:dyDescent="0.2">
      <c r="B1011" s="606"/>
      <c r="C1011" s="607"/>
      <c r="D1011" s="607"/>
    </row>
    <row r="1012" spans="2:4" x14ac:dyDescent="0.2">
      <c r="B1012" s="606"/>
      <c r="C1012" s="607"/>
      <c r="D1012" s="607"/>
    </row>
    <row r="1013" spans="2:4" x14ac:dyDescent="0.2">
      <c r="B1013" s="606"/>
      <c r="C1013" s="607"/>
      <c r="D1013" s="607"/>
    </row>
    <row r="1014" spans="2:4" x14ac:dyDescent="0.2">
      <c r="B1014" s="606"/>
      <c r="C1014" s="607"/>
      <c r="D1014" s="607"/>
    </row>
    <row r="1015" spans="2:4" x14ac:dyDescent="0.2">
      <c r="B1015" s="606"/>
      <c r="C1015" s="607"/>
      <c r="D1015" s="607"/>
    </row>
    <row r="1016" spans="2:4" x14ac:dyDescent="0.2">
      <c r="B1016" s="606"/>
      <c r="C1016" s="607"/>
      <c r="D1016" s="607"/>
    </row>
    <row r="1017" spans="2:4" x14ac:dyDescent="0.2">
      <c r="B1017" s="606"/>
      <c r="C1017" s="607"/>
      <c r="D1017" s="607"/>
    </row>
    <row r="1018" spans="2:4" x14ac:dyDescent="0.2">
      <c r="B1018" s="606"/>
      <c r="C1018" s="607"/>
      <c r="D1018" s="607"/>
    </row>
    <row r="1019" spans="2:4" x14ac:dyDescent="0.2">
      <c r="B1019" s="606"/>
      <c r="C1019" s="607"/>
      <c r="D1019" s="607"/>
    </row>
    <row r="1020" spans="2:4" x14ac:dyDescent="0.2">
      <c r="B1020" s="606"/>
      <c r="C1020" s="607"/>
      <c r="D1020" s="607"/>
    </row>
    <row r="1021" spans="2:4" x14ac:dyDescent="0.2">
      <c r="B1021" s="606"/>
      <c r="C1021" s="607"/>
      <c r="D1021" s="607"/>
    </row>
    <row r="1022" spans="2:4" x14ac:dyDescent="0.2">
      <c r="B1022" s="606"/>
      <c r="C1022" s="607"/>
      <c r="D1022" s="607"/>
    </row>
    <row r="1023" spans="2:4" x14ac:dyDescent="0.2">
      <c r="B1023" s="606"/>
      <c r="C1023" s="607"/>
      <c r="D1023" s="607"/>
    </row>
    <row r="1024" spans="2:4" x14ac:dyDescent="0.2">
      <c r="B1024" s="606"/>
      <c r="C1024" s="607"/>
      <c r="D1024" s="607"/>
    </row>
    <row r="1025" spans="2:4" x14ac:dyDescent="0.2">
      <c r="B1025" s="606"/>
      <c r="C1025" s="607"/>
      <c r="D1025" s="607"/>
    </row>
    <row r="1026" spans="2:4" x14ac:dyDescent="0.2">
      <c r="B1026" s="606"/>
      <c r="C1026" s="607"/>
      <c r="D1026" s="607"/>
    </row>
    <row r="1027" spans="2:4" x14ac:dyDescent="0.2">
      <c r="B1027" s="606"/>
      <c r="C1027" s="607"/>
      <c r="D1027" s="607"/>
    </row>
    <row r="1028" spans="2:4" x14ac:dyDescent="0.2">
      <c r="B1028" s="606"/>
      <c r="C1028" s="607"/>
      <c r="D1028" s="607"/>
    </row>
    <row r="1029" spans="2:4" x14ac:dyDescent="0.2">
      <c r="B1029" s="606"/>
      <c r="C1029" s="607"/>
      <c r="D1029" s="607"/>
    </row>
    <row r="1030" spans="2:4" x14ac:dyDescent="0.2">
      <c r="B1030" s="606"/>
      <c r="C1030" s="607"/>
      <c r="D1030" s="607"/>
    </row>
    <row r="1031" spans="2:4" x14ac:dyDescent="0.2">
      <c r="B1031" s="606"/>
      <c r="C1031" s="607"/>
      <c r="D1031" s="607"/>
    </row>
    <row r="1032" spans="2:4" x14ac:dyDescent="0.2">
      <c r="B1032" s="606"/>
      <c r="C1032" s="607"/>
      <c r="D1032" s="607"/>
    </row>
    <row r="1033" spans="2:4" x14ac:dyDescent="0.2">
      <c r="B1033" s="606"/>
      <c r="C1033" s="607"/>
      <c r="D1033" s="607"/>
    </row>
    <row r="1034" spans="2:4" x14ac:dyDescent="0.2">
      <c r="B1034" s="606"/>
      <c r="C1034" s="607"/>
      <c r="D1034" s="607"/>
    </row>
    <row r="1035" spans="2:4" x14ac:dyDescent="0.2">
      <c r="B1035" s="606"/>
      <c r="C1035" s="607"/>
      <c r="D1035" s="607"/>
    </row>
    <row r="1036" spans="2:4" x14ac:dyDescent="0.2">
      <c r="B1036" s="606"/>
      <c r="C1036" s="607"/>
      <c r="D1036" s="607"/>
    </row>
    <row r="1037" spans="2:4" x14ac:dyDescent="0.2">
      <c r="B1037" s="606"/>
      <c r="C1037" s="607"/>
      <c r="D1037" s="607"/>
    </row>
    <row r="1038" spans="2:4" x14ac:dyDescent="0.2">
      <c r="B1038" s="606"/>
      <c r="C1038" s="607"/>
      <c r="D1038" s="607"/>
    </row>
    <row r="1039" spans="2:4" x14ac:dyDescent="0.2">
      <c r="B1039" s="606"/>
      <c r="C1039" s="607"/>
      <c r="D1039" s="607"/>
    </row>
    <row r="1040" spans="2:4" x14ac:dyDescent="0.2">
      <c r="B1040" s="606"/>
      <c r="C1040" s="607"/>
      <c r="D1040" s="607"/>
    </row>
    <row r="1041" spans="2:4" x14ac:dyDescent="0.2">
      <c r="B1041" s="606"/>
      <c r="C1041" s="607"/>
      <c r="D1041" s="607"/>
    </row>
    <row r="1042" spans="2:4" x14ac:dyDescent="0.2">
      <c r="B1042" s="606"/>
      <c r="C1042" s="607"/>
      <c r="D1042" s="607"/>
    </row>
    <row r="1043" spans="2:4" x14ac:dyDescent="0.2">
      <c r="B1043" s="606"/>
      <c r="C1043" s="607"/>
      <c r="D1043" s="607"/>
    </row>
    <row r="1044" spans="2:4" x14ac:dyDescent="0.2">
      <c r="B1044" s="606"/>
      <c r="C1044" s="607"/>
      <c r="D1044" s="607"/>
    </row>
    <row r="1045" spans="2:4" x14ac:dyDescent="0.2">
      <c r="B1045" s="606"/>
      <c r="C1045" s="607"/>
      <c r="D1045" s="607"/>
    </row>
    <row r="1046" spans="2:4" x14ac:dyDescent="0.2">
      <c r="B1046" s="606"/>
      <c r="C1046" s="607"/>
      <c r="D1046" s="607"/>
    </row>
    <row r="1047" spans="2:4" x14ac:dyDescent="0.2">
      <c r="B1047" s="606"/>
      <c r="C1047" s="607"/>
      <c r="D1047" s="607"/>
    </row>
    <row r="1048" spans="2:4" x14ac:dyDescent="0.2">
      <c r="B1048" s="606"/>
      <c r="C1048" s="607"/>
      <c r="D1048" s="607"/>
    </row>
    <row r="1049" spans="2:4" x14ac:dyDescent="0.2">
      <c r="B1049" s="606"/>
      <c r="C1049" s="607"/>
      <c r="D1049" s="607"/>
    </row>
    <row r="1050" spans="2:4" x14ac:dyDescent="0.2">
      <c r="B1050" s="606"/>
      <c r="C1050" s="607"/>
      <c r="D1050" s="607"/>
    </row>
    <row r="1051" spans="2:4" x14ac:dyDescent="0.2">
      <c r="B1051" s="606"/>
      <c r="C1051" s="607"/>
      <c r="D1051" s="607"/>
    </row>
    <row r="1052" spans="2:4" x14ac:dyDescent="0.2">
      <c r="B1052" s="606"/>
      <c r="C1052" s="607"/>
      <c r="D1052" s="607"/>
    </row>
    <row r="1053" spans="2:4" x14ac:dyDescent="0.2">
      <c r="B1053" s="606"/>
      <c r="C1053" s="607"/>
      <c r="D1053" s="607"/>
    </row>
    <row r="1054" spans="2:4" x14ac:dyDescent="0.2">
      <c r="B1054" s="606"/>
      <c r="C1054" s="607"/>
      <c r="D1054" s="607"/>
    </row>
    <row r="1055" spans="2:4" x14ac:dyDescent="0.2">
      <c r="B1055" s="606"/>
      <c r="C1055" s="607"/>
      <c r="D1055" s="607"/>
    </row>
    <row r="1056" spans="2:4" x14ac:dyDescent="0.2">
      <c r="B1056" s="606"/>
      <c r="C1056" s="607"/>
      <c r="D1056" s="607"/>
    </row>
    <row r="1057" spans="2:4" x14ac:dyDescent="0.2">
      <c r="B1057" s="606"/>
      <c r="C1057" s="607"/>
      <c r="D1057" s="607"/>
    </row>
    <row r="1058" spans="2:4" x14ac:dyDescent="0.2">
      <c r="B1058" s="606"/>
      <c r="C1058" s="607"/>
      <c r="D1058" s="607"/>
    </row>
    <row r="1059" spans="2:4" x14ac:dyDescent="0.2">
      <c r="B1059" s="606"/>
      <c r="C1059" s="607"/>
      <c r="D1059" s="607"/>
    </row>
    <row r="1060" spans="2:4" x14ac:dyDescent="0.2">
      <c r="B1060" s="606"/>
      <c r="C1060" s="607"/>
      <c r="D1060" s="607"/>
    </row>
    <row r="1061" spans="2:4" x14ac:dyDescent="0.2">
      <c r="B1061" s="606"/>
      <c r="C1061" s="607"/>
      <c r="D1061" s="607"/>
    </row>
    <row r="1062" spans="2:4" x14ac:dyDescent="0.2">
      <c r="B1062" s="606"/>
      <c r="C1062" s="607"/>
      <c r="D1062" s="607"/>
    </row>
    <row r="1063" spans="2:4" x14ac:dyDescent="0.2">
      <c r="B1063" s="606"/>
      <c r="C1063" s="607"/>
      <c r="D1063" s="607"/>
    </row>
    <row r="1064" spans="2:4" x14ac:dyDescent="0.2">
      <c r="B1064" s="606"/>
      <c r="C1064" s="607"/>
      <c r="D1064" s="607"/>
    </row>
    <row r="1065" spans="2:4" x14ac:dyDescent="0.2">
      <c r="B1065" s="606"/>
      <c r="C1065" s="607"/>
      <c r="D1065" s="607"/>
    </row>
    <row r="1066" spans="2:4" x14ac:dyDescent="0.2">
      <c r="B1066" s="606"/>
      <c r="C1066" s="607"/>
      <c r="D1066" s="607"/>
    </row>
    <row r="1067" spans="2:4" x14ac:dyDescent="0.2">
      <c r="B1067" s="606"/>
      <c r="C1067" s="607"/>
      <c r="D1067" s="607"/>
    </row>
    <row r="1068" spans="2:4" x14ac:dyDescent="0.2">
      <c r="B1068" s="606"/>
      <c r="C1068" s="607"/>
      <c r="D1068" s="607"/>
    </row>
    <row r="1069" spans="2:4" x14ac:dyDescent="0.2">
      <c r="B1069" s="606"/>
      <c r="C1069" s="607"/>
      <c r="D1069" s="607"/>
    </row>
    <row r="1070" spans="2:4" x14ac:dyDescent="0.2">
      <c r="B1070" s="606"/>
      <c r="C1070" s="607"/>
      <c r="D1070" s="607"/>
    </row>
    <row r="1071" spans="2:4" x14ac:dyDescent="0.2">
      <c r="B1071" s="606"/>
      <c r="C1071" s="607"/>
      <c r="D1071" s="607"/>
    </row>
    <row r="1072" spans="2:4" x14ac:dyDescent="0.2">
      <c r="B1072" s="606"/>
      <c r="C1072" s="607"/>
      <c r="D1072" s="607"/>
    </row>
    <row r="1073" spans="2:4" x14ac:dyDescent="0.2">
      <c r="B1073" s="606"/>
      <c r="C1073" s="607"/>
      <c r="D1073" s="607"/>
    </row>
    <row r="1074" spans="2:4" x14ac:dyDescent="0.2">
      <c r="B1074" s="606"/>
      <c r="C1074" s="607"/>
      <c r="D1074" s="607"/>
    </row>
    <row r="1075" spans="2:4" x14ac:dyDescent="0.2">
      <c r="B1075" s="606"/>
      <c r="C1075" s="607"/>
      <c r="D1075" s="607"/>
    </row>
    <row r="1076" spans="2:4" x14ac:dyDescent="0.2">
      <c r="B1076" s="606"/>
      <c r="C1076" s="607"/>
      <c r="D1076" s="607"/>
    </row>
    <row r="1077" spans="2:4" x14ac:dyDescent="0.2">
      <c r="B1077" s="606"/>
      <c r="C1077" s="607"/>
      <c r="D1077" s="607"/>
    </row>
    <row r="1078" spans="2:4" x14ac:dyDescent="0.2">
      <c r="B1078" s="606"/>
      <c r="C1078" s="607"/>
      <c r="D1078" s="607"/>
    </row>
    <row r="1079" spans="2:4" x14ac:dyDescent="0.2">
      <c r="B1079" s="606"/>
      <c r="C1079" s="607"/>
      <c r="D1079" s="607"/>
    </row>
    <row r="1080" spans="2:4" x14ac:dyDescent="0.2">
      <c r="B1080" s="606"/>
      <c r="C1080" s="607"/>
      <c r="D1080" s="607"/>
    </row>
    <row r="1081" spans="2:4" x14ac:dyDescent="0.2">
      <c r="B1081" s="606"/>
      <c r="C1081" s="607"/>
      <c r="D1081" s="607"/>
    </row>
    <row r="1082" spans="2:4" x14ac:dyDescent="0.2">
      <c r="B1082" s="606"/>
      <c r="C1082" s="607"/>
      <c r="D1082" s="607"/>
    </row>
    <row r="1083" spans="2:4" x14ac:dyDescent="0.2">
      <c r="B1083" s="606"/>
      <c r="C1083" s="607"/>
      <c r="D1083" s="607"/>
    </row>
    <row r="1084" spans="2:4" x14ac:dyDescent="0.2">
      <c r="B1084" s="606"/>
      <c r="C1084" s="607"/>
      <c r="D1084" s="607"/>
    </row>
    <row r="1085" spans="2:4" x14ac:dyDescent="0.2">
      <c r="B1085" s="606"/>
      <c r="C1085" s="607"/>
      <c r="D1085" s="607"/>
    </row>
    <row r="1086" spans="2:4" x14ac:dyDescent="0.2">
      <c r="B1086" s="606"/>
      <c r="C1086" s="607"/>
      <c r="D1086" s="607"/>
    </row>
    <row r="1087" spans="2:4" x14ac:dyDescent="0.2">
      <c r="B1087" s="606"/>
      <c r="C1087" s="607"/>
      <c r="D1087" s="607"/>
    </row>
    <row r="1088" spans="2:4" x14ac:dyDescent="0.2">
      <c r="B1088" s="606"/>
      <c r="C1088" s="607"/>
      <c r="D1088" s="607"/>
    </row>
    <row r="1089" spans="2:4" x14ac:dyDescent="0.2">
      <c r="B1089" s="606"/>
      <c r="C1089" s="607"/>
      <c r="D1089" s="607"/>
    </row>
    <row r="1090" spans="2:4" x14ac:dyDescent="0.2">
      <c r="B1090" s="606"/>
      <c r="C1090" s="607"/>
      <c r="D1090" s="607"/>
    </row>
    <row r="1091" spans="2:4" x14ac:dyDescent="0.2">
      <c r="B1091" s="606"/>
      <c r="C1091" s="607"/>
      <c r="D1091" s="607"/>
    </row>
    <row r="1092" spans="2:4" x14ac:dyDescent="0.2">
      <c r="B1092" s="606"/>
      <c r="C1092" s="607"/>
      <c r="D1092" s="607"/>
    </row>
    <row r="1093" spans="2:4" x14ac:dyDescent="0.2">
      <c r="B1093" s="606"/>
      <c r="C1093" s="607"/>
      <c r="D1093" s="607"/>
    </row>
    <row r="1094" spans="2:4" x14ac:dyDescent="0.2">
      <c r="B1094" s="606"/>
      <c r="C1094" s="607"/>
      <c r="D1094" s="607"/>
    </row>
    <row r="1095" spans="2:4" x14ac:dyDescent="0.2">
      <c r="B1095" s="606"/>
      <c r="C1095" s="607"/>
      <c r="D1095" s="607"/>
    </row>
    <row r="1096" spans="2:4" x14ac:dyDescent="0.2">
      <c r="B1096" s="606"/>
      <c r="C1096" s="607"/>
      <c r="D1096" s="607"/>
    </row>
    <row r="1097" spans="2:4" x14ac:dyDescent="0.2">
      <c r="B1097" s="606"/>
      <c r="C1097" s="607"/>
      <c r="D1097" s="607"/>
    </row>
    <row r="1098" spans="2:4" x14ac:dyDescent="0.2">
      <c r="B1098" s="606"/>
      <c r="C1098" s="607"/>
      <c r="D1098" s="607"/>
    </row>
    <row r="1099" spans="2:4" x14ac:dyDescent="0.2">
      <c r="B1099" s="606"/>
      <c r="C1099" s="607"/>
      <c r="D1099" s="607"/>
    </row>
    <row r="1100" spans="2:4" x14ac:dyDescent="0.2">
      <c r="B1100" s="606"/>
      <c r="C1100" s="607"/>
      <c r="D1100" s="607"/>
    </row>
    <row r="1101" spans="2:4" x14ac:dyDescent="0.2">
      <c r="B1101" s="606"/>
      <c r="C1101" s="607"/>
      <c r="D1101" s="607"/>
    </row>
    <row r="1102" spans="2:4" x14ac:dyDescent="0.2">
      <c r="B1102" s="606"/>
      <c r="C1102" s="607"/>
      <c r="D1102" s="607"/>
    </row>
    <row r="1103" spans="2:4" x14ac:dyDescent="0.2">
      <c r="B1103" s="606"/>
      <c r="C1103" s="607"/>
      <c r="D1103" s="607"/>
    </row>
    <row r="1104" spans="2:4" x14ac:dyDescent="0.2">
      <c r="B1104" s="606"/>
      <c r="C1104" s="607"/>
      <c r="D1104" s="607"/>
    </row>
    <row r="1105" spans="2:4" x14ac:dyDescent="0.2">
      <c r="B1105" s="606"/>
      <c r="C1105" s="607"/>
      <c r="D1105" s="607"/>
    </row>
    <row r="1106" spans="2:4" x14ac:dyDescent="0.2">
      <c r="B1106" s="606"/>
      <c r="C1106" s="607"/>
      <c r="D1106" s="607"/>
    </row>
    <row r="1107" spans="2:4" x14ac:dyDescent="0.2">
      <c r="B1107" s="606"/>
      <c r="C1107" s="607"/>
      <c r="D1107" s="607"/>
    </row>
    <row r="1108" spans="2:4" x14ac:dyDescent="0.2">
      <c r="B1108" s="606"/>
      <c r="C1108" s="607"/>
      <c r="D1108" s="607"/>
    </row>
    <row r="1109" spans="2:4" x14ac:dyDescent="0.2">
      <c r="B1109" s="606"/>
      <c r="C1109" s="607"/>
      <c r="D1109" s="607"/>
    </row>
    <row r="1110" spans="2:4" x14ac:dyDescent="0.2">
      <c r="B1110" s="606"/>
      <c r="C1110" s="607"/>
      <c r="D1110" s="607"/>
    </row>
    <row r="1111" spans="2:4" x14ac:dyDescent="0.2">
      <c r="B1111" s="606"/>
      <c r="C1111" s="607"/>
      <c r="D1111" s="607"/>
    </row>
    <row r="1112" spans="2:4" x14ac:dyDescent="0.2">
      <c r="B1112" s="606"/>
      <c r="C1112" s="607"/>
      <c r="D1112" s="607"/>
    </row>
    <row r="1113" spans="2:4" x14ac:dyDescent="0.2">
      <c r="B1113" s="606"/>
      <c r="C1113" s="607"/>
      <c r="D1113" s="607"/>
    </row>
    <row r="1114" spans="2:4" x14ac:dyDescent="0.2">
      <c r="B1114" s="606"/>
      <c r="C1114" s="607"/>
      <c r="D1114" s="607"/>
    </row>
    <row r="1115" spans="2:4" x14ac:dyDescent="0.2">
      <c r="B1115" s="606"/>
      <c r="C1115" s="607"/>
      <c r="D1115" s="607"/>
    </row>
    <row r="1116" spans="2:4" x14ac:dyDescent="0.2">
      <c r="B1116" s="606"/>
      <c r="C1116" s="607"/>
      <c r="D1116" s="607"/>
    </row>
    <row r="1117" spans="2:4" x14ac:dyDescent="0.2">
      <c r="B1117" s="606"/>
      <c r="C1117" s="607"/>
      <c r="D1117" s="607"/>
    </row>
    <row r="1118" spans="2:4" x14ac:dyDescent="0.2">
      <c r="B1118" s="606"/>
      <c r="C1118" s="607"/>
      <c r="D1118" s="607"/>
    </row>
    <row r="1119" spans="2:4" x14ac:dyDescent="0.2">
      <c r="B1119" s="606"/>
      <c r="C1119" s="607"/>
      <c r="D1119" s="607"/>
    </row>
    <row r="1120" spans="2:4" x14ac:dyDescent="0.2">
      <c r="B1120" s="606"/>
      <c r="C1120" s="607"/>
      <c r="D1120" s="607"/>
    </row>
    <row r="1121" spans="2:4" x14ac:dyDescent="0.2">
      <c r="B1121" s="606"/>
      <c r="C1121" s="607"/>
      <c r="D1121" s="607"/>
    </row>
    <row r="1122" spans="2:4" x14ac:dyDescent="0.2">
      <c r="B1122" s="606"/>
      <c r="C1122" s="607"/>
      <c r="D1122" s="607"/>
    </row>
    <row r="1123" spans="2:4" x14ac:dyDescent="0.2">
      <c r="B1123" s="606"/>
      <c r="C1123" s="607"/>
      <c r="D1123" s="607"/>
    </row>
    <row r="1124" spans="2:4" x14ac:dyDescent="0.2">
      <c r="B1124" s="606"/>
      <c r="C1124" s="607"/>
      <c r="D1124" s="607"/>
    </row>
    <row r="1125" spans="2:4" x14ac:dyDescent="0.2">
      <c r="B1125" s="606"/>
      <c r="C1125" s="607"/>
      <c r="D1125" s="607"/>
    </row>
    <row r="1126" spans="2:4" x14ac:dyDescent="0.2">
      <c r="B1126" s="606"/>
      <c r="C1126" s="607"/>
      <c r="D1126" s="607"/>
    </row>
    <row r="1127" spans="2:4" x14ac:dyDescent="0.2">
      <c r="B1127" s="606"/>
      <c r="C1127" s="607"/>
      <c r="D1127" s="607"/>
    </row>
    <row r="1128" spans="2:4" x14ac:dyDescent="0.2">
      <c r="B1128" s="606"/>
      <c r="C1128" s="607"/>
      <c r="D1128" s="607"/>
    </row>
    <row r="1129" spans="2:4" x14ac:dyDescent="0.2">
      <c r="B1129" s="606"/>
      <c r="C1129" s="607"/>
      <c r="D1129" s="607"/>
    </row>
    <row r="1130" spans="2:4" x14ac:dyDescent="0.2">
      <c r="B1130" s="606"/>
      <c r="C1130" s="607"/>
      <c r="D1130" s="607"/>
    </row>
    <row r="1131" spans="2:4" x14ac:dyDescent="0.2">
      <c r="B1131" s="606"/>
      <c r="C1131" s="607"/>
      <c r="D1131" s="607"/>
    </row>
    <row r="1132" spans="2:4" x14ac:dyDescent="0.2">
      <c r="B1132" s="606"/>
      <c r="C1132" s="607"/>
      <c r="D1132" s="607"/>
    </row>
    <row r="1133" spans="2:4" x14ac:dyDescent="0.2">
      <c r="B1133" s="606"/>
      <c r="C1133" s="607"/>
      <c r="D1133" s="607"/>
    </row>
    <row r="1134" spans="2:4" x14ac:dyDescent="0.2">
      <c r="B1134" s="606"/>
      <c r="C1134" s="607"/>
      <c r="D1134" s="607"/>
    </row>
    <row r="1135" spans="2:4" x14ac:dyDescent="0.2">
      <c r="B1135" s="606"/>
      <c r="C1135" s="607"/>
      <c r="D1135" s="607"/>
    </row>
    <row r="1136" spans="2:4" x14ac:dyDescent="0.2">
      <c r="B1136" s="606"/>
      <c r="C1136" s="607"/>
      <c r="D1136" s="607"/>
    </row>
    <row r="1137" spans="2:4" x14ac:dyDescent="0.2">
      <c r="B1137" s="606"/>
      <c r="C1137" s="607"/>
      <c r="D1137" s="607"/>
    </row>
    <row r="1138" spans="2:4" x14ac:dyDescent="0.2">
      <c r="B1138" s="606"/>
      <c r="C1138" s="607"/>
      <c r="D1138" s="607"/>
    </row>
    <row r="1139" spans="2:4" x14ac:dyDescent="0.2">
      <c r="B1139" s="606"/>
      <c r="C1139" s="607"/>
      <c r="D1139" s="607"/>
    </row>
    <row r="1140" spans="2:4" x14ac:dyDescent="0.2">
      <c r="B1140" s="606"/>
      <c r="C1140" s="607"/>
      <c r="D1140" s="607"/>
    </row>
    <row r="1141" spans="2:4" x14ac:dyDescent="0.2">
      <c r="B1141" s="606"/>
      <c r="C1141" s="607"/>
      <c r="D1141" s="607"/>
    </row>
    <row r="1142" spans="2:4" x14ac:dyDescent="0.2">
      <c r="B1142" s="606"/>
      <c r="C1142" s="607"/>
      <c r="D1142" s="607"/>
    </row>
    <row r="1143" spans="2:4" x14ac:dyDescent="0.2">
      <c r="B1143" s="606"/>
      <c r="C1143" s="607"/>
      <c r="D1143" s="607"/>
    </row>
    <row r="1144" spans="2:4" x14ac:dyDescent="0.2">
      <c r="B1144" s="606"/>
      <c r="C1144" s="607"/>
      <c r="D1144" s="607"/>
    </row>
    <row r="1145" spans="2:4" x14ac:dyDescent="0.2">
      <c r="B1145" s="606"/>
      <c r="C1145" s="607"/>
      <c r="D1145" s="607"/>
    </row>
    <row r="1146" spans="2:4" x14ac:dyDescent="0.2">
      <c r="B1146" s="606"/>
      <c r="C1146" s="607"/>
      <c r="D1146" s="607"/>
    </row>
    <row r="1147" spans="2:4" x14ac:dyDescent="0.2">
      <c r="B1147" s="606"/>
      <c r="C1147" s="607"/>
      <c r="D1147" s="607"/>
    </row>
    <row r="1148" spans="2:4" x14ac:dyDescent="0.2">
      <c r="B1148" s="606"/>
      <c r="C1148" s="607"/>
      <c r="D1148" s="607"/>
    </row>
    <row r="1149" spans="2:4" x14ac:dyDescent="0.2">
      <c r="B1149" s="606"/>
      <c r="C1149" s="607"/>
      <c r="D1149" s="607"/>
    </row>
    <row r="1150" spans="2:4" x14ac:dyDescent="0.2">
      <c r="B1150" s="606"/>
      <c r="C1150" s="607"/>
      <c r="D1150" s="607"/>
    </row>
    <row r="1151" spans="2:4" x14ac:dyDescent="0.2">
      <c r="B1151" s="606"/>
      <c r="C1151" s="607"/>
      <c r="D1151" s="607"/>
    </row>
    <row r="1152" spans="2:4" x14ac:dyDescent="0.2">
      <c r="B1152" s="606"/>
      <c r="C1152" s="607"/>
      <c r="D1152" s="607"/>
    </row>
    <row r="1153" spans="2:4" x14ac:dyDescent="0.2">
      <c r="B1153" s="606"/>
      <c r="C1153" s="607"/>
      <c r="D1153" s="607"/>
    </row>
    <row r="1154" spans="2:4" x14ac:dyDescent="0.2">
      <c r="B1154" s="606"/>
      <c r="C1154" s="607"/>
      <c r="D1154" s="607"/>
    </row>
    <row r="1155" spans="2:4" x14ac:dyDescent="0.2">
      <c r="B1155" s="606"/>
      <c r="C1155" s="607"/>
      <c r="D1155" s="607"/>
    </row>
    <row r="1156" spans="2:4" x14ac:dyDescent="0.2">
      <c r="B1156" s="606"/>
      <c r="C1156" s="607"/>
      <c r="D1156" s="607"/>
    </row>
    <row r="1157" spans="2:4" x14ac:dyDescent="0.2">
      <c r="B1157" s="606"/>
      <c r="C1157" s="607"/>
      <c r="D1157" s="607"/>
    </row>
    <row r="1158" spans="2:4" x14ac:dyDescent="0.2">
      <c r="B1158" s="606"/>
      <c r="C1158" s="607"/>
      <c r="D1158" s="607"/>
    </row>
    <row r="1159" spans="2:4" x14ac:dyDescent="0.2">
      <c r="B1159" s="606"/>
      <c r="C1159" s="607"/>
      <c r="D1159" s="607"/>
    </row>
    <row r="1160" spans="2:4" x14ac:dyDescent="0.2">
      <c r="B1160" s="606"/>
      <c r="C1160" s="607"/>
      <c r="D1160" s="607"/>
    </row>
    <row r="1161" spans="2:4" x14ac:dyDescent="0.2">
      <c r="B1161" s="606"/>
      <c r="C1161" s="607"/>
      <c r="D1161" s="607"/>
    </row>
    <row r="1162" spans="2:4" x14ac:dyDescent="0.2">
      <c r="B1162" s="606"/>
      <c r="C1162" s="607"/>
      <c r="D1162" s="607"/>
    </row>
    <row r="1163" spans="2:4" x14ac:dyDescent="0.2">
      <c r="B1163" s="606"/>
      <c r="C1163" s="607"/>
      <c r="D1163" s="607"/>
    </row>
    <row r="1164" spans="2:4" x14ac:dyDescent="0.2">
      <c r="B1164" s="606"/>
      <c r="C1164" s="607"/>
      <c r="D1164" s="607"/>
    </row>
    <row r="1165" spans="2:4" x14ac:dyDescent="0.2">
      <c r="B1165" s="606"/>
      <c r="C1165" s="607"/>
      <c r="D1165" s="607"/>
    </row>
    <row r="1166" spans="2:4" x14ac:dyDescent="0.2">
      <c r="B1166" s="606"/>
      <c r="C1166" s="607"/>
      <c r="D1166" s="607"/>
    </row>
    <row r="1167" spans="2:4" x14ac:dyDescent="0.2">
      <c r="B1167" s="606"/>
      <c r="C1167" s="607"/>
      <c r="D1167" s="607"/>
    </row>
    <row r="1168" spans="2:4" x14ac:dyDescent="0.2">
      <c r="B1168" s="606"/>
      <c r="C1168" s="607"/>
      <c r="D1168" s="607"/>
    </row>
    <row r="1169" spans="2:4" x14ac:dyDescent="0.2">
      <c r="B1169" s="606"/>
      <c r="C1169" s="607"/>
      <c r="D1169" s="607"/>
    </row>
    <row r="1170" spans="2:4" x14ac:dyDescent="0.2">
      <c r="B1170" s="606"/>
      <c r="C1170" s="607"/>
      <c r="D1170" s="607"/>
    </row>
    <row r="1171" spans="2:4" x14ac:dyDescent="0.2">
      <c r="B1171" s="606"/>
      <c r="C1171" s="607"/>
      <c r="D1171" s="607"/>
    </row>
    <row r="1172" spans="2:4" x14ac:dyDescent="0.2">
      <c r="B1172" s="606"/>
      <c r="C1172" s="607"/>
      <c r="D1172" s="607"/>
    </row>
    <row r="1173" spans="2:4" x14ac:dyDescent="0.2">
      <c r="B1173" s="606"/>
      <c r="C1173" s="607"/>
      <c r="D1173" s="607"/>
    </row>
    <row r="1174" spans="2:4" x14ac:dyDescent="0.2">
      <c r="B1174" s="606"/>
      <c r="C1174" s="607"/>
      <c r="D1174" s="607"/>
    </row>
    <row r="1175" spans="2:4" x14ac:dyDescent="0.2">
      <c r="B1175" s="606"/>
      <c r="C1175" s="607"/>
      <c r="D1175" s="607"/>
    </row>
    <row r="1176" spans="2:4" x14ac:dyDescent="0.2">
      <c r="B1176" s="606"/>
      <c r="C1176" s="607"/>
      <c r="D1176" s="607"/>
    </row>
    <row r="1177" spans="2:4" x14ac:dyDescent="0.2">
      <c r="B1177" s="606"/>
      <c r="C1177" s="607"/>
      <c r="D1177" s="607"/>
    </row>
    <row r="1178" spans="2:4" x14ac:dyDescent="0.2">
      <c r="B1178" s="606"/>
      <c r="C1178" s="607"/>
      <c r="D1178" s="607"/>
    </row>
    <row r="1179" spans="2:4" x14ac:dyDescent="0.2">
      <c r="B1179" s="606"/>
      <c r="C1179" s="607"/>
      <c r="D1179" s="607"/>
    </row>
    <row r="1180" spans="2:4" x14ac:dyDescent="0.2">
      <c r="B1180" s="606"/>
      <c r="C1180" s="607"/>
      <c r="D1180" s="607"/>
    </row>
    <row r="1181" spans="2:4" x14ac:dyDescent="0.2">
      <c r="B1181" s="606"/>
      <c r="C1181" s="607"/>
      <c r="D1181" s="607"/>
    </row>
    <row r="1182" spans="2:4" x14ac:dyDescent="0.2">
      <c r="B1182" s="606"/>
      <c r="C1182" s="607"/>
      <c r="D1182" s="607"/>
    </row>
    <row r="1183" spans="2:4" x14ac:dyDescent="0.2">
      <c r="B1183" s="606"/>
      <c r="C1183" s="607"/>
      <c r="D1183" s="607"/>
    </row>
    <row r="1184" spans="2:4" x14ac:dyDescent="0.2">
      <c r="B1184" s="606"/>
      <c r="C1184" s="607"/>
      <c r="D1184" s="607"/>
    </row>
    <row r="1185" spans="2:4" x14ac:dyDescent="0.2">
      <c r="B1185" s="606"/>
      <c r="C1185" s="607"/>
      <c r="D1185" s="607"/>
    </row>
    <row r="1186" spans="2:4" x14ac:dyDescent="0.2">
      <c r="B1186" s="606"/>
      <c r="C1186" s="607"/>
      <c r="D1186" s="607"/>
    </row>
    <row r="1187" spans="2:4" x14ac:dyDescent="0.2">
      <c r="B1187" s="606"/>
      <c r="C1187" s="607"/>
      <c r="D1187" s="607"/>
    </row>
    <row r="1188" spans="2:4" x14ac:dyDescent="0.2">
      <c r="B1188" s="606"/>
      <c r="C1188" s="607"/>
      <c r="D1188" s="607"/>
    </row>
    <row r="1189" spans="2:4" x14ac:dyDescent="0.2">
      <c r="B1189" s="606"/>
      <c r="C1189" s="607"/>
      <c r="D1189" s="607"/>
    </row>
    <row r="1190" spans="2:4" x14ac:dyDescent="0.2">
      <c r="B1190" s="606"/>
      <c r="C1190" s="607"/>
      <c r="D1190" s="607"/>
    </row>
    <row r="1191" spans="2:4" x14ac:dyDescent="0.2">
      <c r="B1191" s="606"/>
      <c r="C1191" s="607"/>
      <c r="D1191" s="607"/>
    </row>
    <row r="1192" spans="2:4" x14ac:dyDescent="0.2">
      <c r="B1192" s="606"/>
      <c r="C1192" s="607"/>
      <c r="D1192" s="607"/>
    </row>
    <row r="1193" spans="2:4" x14ac:dyDescent="0.2">
      <c r="B1193" s="606"/>
      <c r="C1193" s="607"/>
      <c r="D1193" s="607"/>
    </row>
    <row r="1194" spans="2:4" x14ac:dyDescent="0.2">
      <c r="B1194" s="606"/>
      <c r="C1194" s="607"/>
      <c r="D1194" s="607"/>
    </row>
    <row r="1195" spans="2:4" x14ac:dyDescent="0.2">
      <c r="B1195" s="606"/>
      <c r="C1195" s="607"/>
      <c r="D1195" s="607"/>
    </row>
    <row r="1196" spans="2:4" x14ac:dyDescent="0.2">
      <c r="B1196" s="606"/>
      <c r="C1196" s="607"/>
      <c r="D1196" s="607"/>
    </row>
    <row r="1197" spans="2:4" x14ac:dyDescent="0.2">
      <c r="B1197" s="606"/>
      <c r="C1197" s="607"/>
      <c r="D1197" s="607"/>
    </row>
    <row r="1198" spans="2:4" x14ac:dyDescent="0.2">
      <c r="B1198" s="606"/>
      <c r="C1198" s="607"/>
      <c r="D1198" s="607"/>
    </row>
    <row r="1199" spans="2:4" x14ac:dyDescent="0.2">
      <c r="B1199" s="606"/>
      <c r="C1199" s="607"/>
      <c r="D1199" s="607"/>
    </row>
    <row r="1200" spans="2:4" x14ac:dyDescent="0.2">
      <c r="B1200" s="606"/>
      <c r="C1200" s="607"/>
      <c r="D1200" s="607"/>
    </row>
    <row r="1201" spans="2:4" x14ac:dyDescent="0.2">
      <c r="B1201" s="606"/>
      <c r="C1201" s="607"/>
      <c r="D1201" s="607"/>
    </row>
    <row r="1202" spans="2:4" x14ac:dyDescent="0.2">
      <c r="B1202" s="606"/>
      <c r="C1202" s="607"/>
      <c r="D1202" s="607"/>
    </row>
    <row r="1203" spans="2:4" x14ac:dyDescent="0.2">
      <c r="B1203" s="606"/>
      <c r="C1203" s="607"/>
      <c r="D1203" s="607"/>
    </row>
    <row r="1204" spans="2:4" x14ac:dyDescent="0.2">
      <c r="B1204" s="606"/>
      <c r="C1204" s="607"/>
      <c r="D1204" s="607"/>
    </row>
    <row r="1205" spans="2:4" x14ac:dyDescent="0.2">
      <c r="B1205" s="606"/>
      <c r="C1205" s="607"/>
      <c r="D1205" s="607"/>
    </row>
    <row r="1206" spans="2:4" x14ac:dyDescent="0.2">
      <c r="B1206" s="606"/>
      <c r="C1206" s="607"/>
      <c r="D1206" s="607"/>
    </row>
    <row r="1207" spans="2:4" x14ac:dyDescent="0.2">
      <c r="B1207" s="606"/>
      <c r="C1207" s="607"/>
      <c r="D1207" s="607"/>
    </row>
    <row r="1208" spans="2:4" x14ac:dyDescent="0.2">
      <c r="B1208" s="606"/>
      <c r="C1208" s="607"/>
      <c r="D1208" s="607"/>
    </row>
    <row r="1209" spans="2:4" x14ac:dyDescent="0.2">
      <c r="B1209" s="606"/>
      <c r="C1209" s="607"/>
      <c r="D1209" s="607"/>
    </row>
    <row r="1210" spans="2:4" x14ac:dyDescent="0.2">
      <c r="B1210" s="606"/>
      <c r="C1210" s="607"/>
      <c r="D1210" s="607"/>
    </row>
    <row r="1211" spans="2:4" x14ac:dyDescent="0.2">
      <c r="B1211" s="606"/>
      <c r="C1211" s="607"/>
      <c r="D1211" s="607"/>
    </row>
    <row r="1212" spans="2:4" x14ac:dyDescent="0.2">
      <c r="B1212" s="606"/>
      <c r="C1212" s="607"/>
      <c r="D1212" s="607"/>
    </row>
    <row r="1213" spans="2:4" x14ac:dyDescent="0.2">
      <c r="B1213" s="606"/>
      <c r="C1213" s="607"/>
      <c r="D1213" s="607"/>
    </row>
    <row r="1214" spans="2:4" x14ac:dyDescent="0.2">
      <c r="B1214" s="606"/>
      <c r="C1214" s="607"/>
      <c r="D1214" s="607"/>
    </row>
    <row r="1215" spans="2:4" x14ac:dyDescent="0.2">
      <c r="B1215" s="606"/>
      <c r="C1215" s="607"/>
      <c r="D1215" s="607"/>
    </row>
    <row r="1216" spans="2:4" x14ac:dyDescent="0.2">
      <c r="B1216" s="606"/>
      <c r="C1216" s="607"/>
      <c r="D1216" s="607"/>
    </row>
    <row r="1217" spans="2:4" x14ac:dyDescent="0.2">
      <c r="B1217" s="606"/>
      <c r="C1217" s="607"/>
      <c r="D1217" s="607"/>
    </row>
    <row r="1218" spans="2:4" x14ac:dyDescent="0.2">
      <c r="B1218" s="606"/>
      <c r="C1218" s="607"/>
      <c r="D1218" s="607"/>
    </row>
    <row r="1219" spans="2:4" x14ac:dyDescent="0.2">
      <c r="B1219" s="606"/>
      <c r="C1219" s="607"/>
      <c r="D1219" s="607"/>
    </row>
    <row r="1220" spans="2:4" x14ac:dyDescent="0.2">
      <c r="B1220" s="606"/>
      <c r="C1220" s="607"/>
      <c r="D1220" s="607"/>
    </row>
    <row r="1221" spans="2:4" x14ac:dyDescent="0.2">
      <c r="B1221" s="606"/>
      <c r="C1221" s="607"/>
      <c r="D1221" s="607"/>
    </row>
    <row r="1222" spans="2:4" x14ac:dyDescent="0.2">
      <c r="B1222" s="606"/>
      <c r="C1222" s="607"/>
      <c r="D1222" s="607"/>
    </row>
    <row r="1223" spans="2:4" x14ac:dyDescent="0.2">
      <c r="B1223" s="606"/>
      <c r="C1223" s="607"/>
      <c r="D1223" s="607"/>
    </row>
    <row r="1224" spans="2:4" x14ac:dyDescent="0.2">
      <c r="B1224" s="606"/>
      <c r="C1224" s="607"/>
      <c r="D1224" s="607"/>
    </row>
    <row r="1225" spans="2:4" x14ac:dyDescent="0.2">
      <c r="B1225" s="606"/>
      <c r="C1225" s="607"/>
      <c r="D1225" s="607"/>
    </row>
    <row r="1226" spans="2:4" x14ac:dyDescent="0.2">
      <c r="B1226" s="606"/>
      <c r="C1226" s="607"/>
      <c r="D1226" s="607"/>
    </row>
    <row r="1227" spans="2:4" x14ac:dyDescent="0.2">
      <c r="B1227" s="606"/>
      <c r="C1227" s="607"/>
      <c r="D1227" s="607"/>
    </row>
    <row r="1228" spans="2:4" x14ac:dyDescent="0.2">
      <c r="B1228" s="606"/>
      <c r="C1228" s="607"/>
      <c r="D1228" s="607"/>
    </row>
    <row r="1229" spans="2:4" x14ac:dyDescent="0.2">
      <c r="B1229" s="606"/>
      <c r="C1229" s="607"/>
      <c r="D1229" s="607"/>
    </row>
    <row r="1230" spans="2:4" x14ac:dyDescent="0.2">
      <c r="B1230" s="606"/>
      <c r="C1230" s="607"/>
      <c r="D1230" s="607"/>
    </row>
    <row r="1231" spans="2:4" x14ac:dyDescent="0.2">
      <c r="B1231" s="606"/>
      <c r="C1231" s="607"/>
      <c r="D1231" s="607"/>
    </row>
    <row r="1232" spans="2:4" x14ac:dyDescent="0.2">
      <c r="B1232" s="606"/>
      <c r="C1232" s="607"/>
      <c r="D1232" s="607"/>
    </row>
    <row r="1233" spans="2:4" x14ac:dyDescent="0.2">
      <c r="B1233" s="606"/>
      <c r="C1233" s="607"/>
      <c r="D1233" s="607"/>
    </row>
    <row r="1234" spans="2:4" x14ac:dyDescent="0.2">
      <c r="B1234" s="606"/>
      <c r="C1234" s="607"/>
      <c r="D1234" s="607"/>
    </row>
    <row r="1235" spans="2:4" x14ac:dyDescent="0.2">
      <c r="B1235" s="606"/>
      <c r="C1235" s="607"/>
      <c r="D1235" s="607"/>
    </row>
    <row r="1236" spans="2:4" x14ac:dyDescent="0.2">
      <c r="B1236" s="606"/>
      <c r="C1236" s="607"/>
      <c r="D1236" s="607"/>
    </row>
    <row r="1237" spans="2:4" x14ac:dyDescent="0.2">
      <c r="B1237" s="606"/>
      <c r="C1237" s="607"/>
      <c r="D1237" s="607"/>
    </row>
    <row r="1238" spans="2:4" x14ac:dyDescent="0.2">
      <c r="B1238" s="606"/>
      <c r="C1238" s="607"/>
      <c r="D1238" s="607"/>
    </row>
    <row r="1239" spans="2:4" x14ac:dyDescent="0.2">
      <c r="B1239" s="606"/>
      <c r="C1239" s="607"/>
      <c r="D1239" s="607"/>
    </row>
    <row r="1240" spans="2:4" x14ac:dyDescent="0.2">
      <c r="B1240" s="606"/>
      <c r="C1240" s="607"/>
      <c r="D1240" s="607"/>
    </row>
    <row r="1241" spans="2:4" x14ac:dyDescent="0.2">
      <c r="B1241" s="606"/>
      <c r="C1241" s="607"/>
      <c r="D1241" s="607"/>
    </row>
    <row r="1242" spans="2:4" x14ac:dyDescent="0.2">
      <c r="B1242" s="606"/>
      <c r="C1242" s="607"/>
      <c r="D1242" s="607"/>
    </row>
    <row r="1243" spans="2:4" x14ac:dyDescent="0.2">
      <c r="B1243" s="606"/>
      <c r="C1243" s="607"/>
      <c r="D1243" s="607"/>
    </row>
    <row r="1244" spans="2:4" x14ac:dyDescent="0.2">
      <c r="B1244" s="606"/>
      <c r="C1244" s="607"/>
      <c r="D1244" s="607"/>
    </row>
    <row r="1245" spans="2:4" x14ac:dyDescent="0.2">
      <c r="B1245" s="606"/>
      <c r="C1245" s="607"/>
      <c r="D1245" s="607"/>
    </row>
    <row r="1246" spans="2:4" x14ac:dyDescent="0.2">
      <c r="B1246" s="606"/>
      <c r="C1246" s="607"/>
      <c r="D1246" s="607"/>
    </row>
    <row r="1247" spans="2:4" x14ac:dyDescent="0.2">
      <c r="B1247" s="606"/>
      <c r="C1247" s="607"/>
      <c r="D1247" s="607"/>
    </row>
    <row r="1248" spans="2:4" x14ac:dyDescent="0.2">
      <c r="B1248" s="606"/>
      <c r="C1248" s="607"/>
      <c r="D1248" s="607"/>
    </row>
    <row r="1249" spans="2:4" x14ac:dyDescent="0.2">
      <c r="B1249" s="606"/>
      <c r="C1249" s="607"/>
      <c r="D1249" s="607"/>
    </row>
    <row r="1250" spans="2:4" x14ac:dyDescent="0.2">
      <c r="B1250" s="606"/>
      <c r="C1250" s="607"/>
      <c r="D1250" s="607"/>
    </row>
    <row r="1251" spans="2:4" x14ac:dyDescent="0.2">
      <c r="B1251" s="606"/>
      <c r="C1251" s="607"/>
      <c r="D1251" s="607"/>
    </row>
    <row r="1252" spans="2:4" x14ac:dyDescent="0.2">
      <c r="B1252" s="606"/>
      <c r="C1252" s="607"/>
      <c r="D1252" s="607"/>
    </row>
    <row r="1253" spans="2:4" x14ac:dyDescent="0.2">
      <c r="B1253" s="606"/>
      <c r="C1253" s="607"/>
      <c r="D1253" s="607"/>
    </row>
    <row r="1254" spans="2:4" x14ac:dyDescent="0.2">
      <c r="B1254" s="606"/>
      <c r="C1254" s="607"/>
      <c r="D1254" s="607"/>
    </row>
    <row r="1255" spans="2:4" x14ac:dyDescent="0.2">
      <c r="B1255" s="606"/>
      <c r="C1255" s="607"/>
      <c r="D1255" s="607"/>
    </row>
    <row r="1256" spans="2:4" x14ac:dyDescent="0.2">
      <c r="B1256" s="606"/>
      <c r="C1256" s="607"/>
      <c r="D1256" s="607"/>
    </row>
    <row r="1257" spans="2:4" x14ac:dyDescent="0.2">
      <c r="B1257" s="606"/>
      <c r="C1257" s="607"/>
      <c r="D1257" s="607"/>
    </row>
    <row r="1258" spans="2:4" x14ac:dyDescent="0.2">
      <c r="B1258" s="606"/>
      <c r="C1258" s="607"/>
      <c r="D1258" s="607"/>
    </row>
    <row r="1259" spans="2:4" x14ac:dyDescent="0.2">
      <c r="B1259" s="606"/>
      <c r="C1259" s="607"/>
      <c r="D1259" s="607"/>
    </row>
    <row r="1260" spans="2:4" x14ac:dyDescent="0.2">
      <c r="B1260" s="606"/>
      <c r="C1260" s="607"/>
      <c r="D1260" s="607"/>
    </row>
    <row r="1261" spans="2:4" x14ac:dyDescent="0.2">
      <c r="B1261" s="606"/>
      <c r="C1261" s="607"/>
      <c r="D1261" s="607"/>
    </row>
    <row r="1262" spans="2:4" x14ac:dyDescent="0.2">
      <c r="B1262" s="606"/>
      <c r="C1262" s="607"/>
      <c r="D1262" s="607"/>
    </row>
    <row r="1263" spans="2:4" x14ac:dyDescent="0.2">
      <c r="B1263" s="606"/>
      <c r="C1263" s="607"/>
      <c r="D1263" s="607"/>
    </row>
    <row r="1264" spans="2:4" x14ac:dyDescent="0.2">
      <c r="B1264" s="606"/>
      <c r="C1264" s="607"/>
      <c r="D1264" s="607"/>
    </row>
    <row r="1265" spans="2:4" x14ac:dyDescent="0.2">
      <c r="B1265" s="606"/>
      <c r="C1265" s="607"/>
      <c r="D1265" s="607"/>
    </row>
    <row r="1266" spans="2:4" x14ac:dyDescent="0.2">
      <c r="B1266" s="606"/>
      <c r="C1266" s="607"/>
      <c r="D1266" s="607"/>
    </row>
    <row r="1267" spans="2:4" x14ac:dyDescent="0.2">
      <c r="B1267" s="606"/>
      <c r="C1267" s="607"/>
      <c r="D1267" s="607"/>
    </row>
    <row r="1268" spans="2:4" x14ac:dyDescent="0.2">
      <c r="B1268" s="606"/>
      <c r="C1268" s="607"/>
      <c r="D1268" s="607"/>
    </row>
    <row r="1269" spans="2:4" x14ac:dyDescent="0.2">
      <c r="B1269" s="606"/>
      <c r="C1269" s="607"/>
      <c r="D1269" s="607"/>
    </row>
    <row r="1270" spans="2:4" x14ac:dyDescent="0.2">
      <c r="B1270" s="606"/>
      <c r="C1270" s="607"/>
      <c r="D1270" s="607"/>
    </row>
    <row r="1271" spans="2:4" x14ac:dyDescent="0.2">
      <c r="B1271" s="606"/>
      <c r="C1271" s="607"/>
      <c r="D1271" s="607"/>
    </row>
    <row r="1272" spans="2:4" x14ac:dyDescent="0.2">
      <c r="B1272" s="606"/>
      <c r="C1272" s="607"/>
      <c r="D1272" s="607"/>
    </row>
    <row r="1273" spans="2:4" x14ac:dyDescent="0.2">
      <c r="B1273" s="606"/>
      <c r="C1273" s="607"/>
      <c r="D1273" s="607"/>
    </row>
    <row r="1274" spans="2:4" x14ac:dyDescent="0.2">
      <c r="B1274" s="606"/>
      <c r="C1274" s="607"/>
      <c r="D1274" s="607"/>
    </row>
    <row r="1275" spans="2:4" x14ac:dyDescent="0.2">
      <c r="B1275" s="606"/>
      <c r="C1275" s="607"/>
      <c r="D1275" s="607"/>
    </row>
    <row r="1276" spans="2:4" x14ac:dyDescent="0.2">
      <c r="B1276" s="606"/>
      <c r="C1276" s="607"/>
      <c r="D1276" s="607"/>
    </row>
    <row r="1277" spans="2:4" x14ac:dyDescent="0.2">
      <c r="B1277" s="606"/>
      <c r="C1277" s="607"/>
      <c r="D1277" s="607"/>
    </row>
    <row r="1278" spans="2:4" x14ac:dyDescent="0.2">
      <c r="B1278" s="606"/>
      <c r="C1278" s="607"/>
      <c r="D1278" s="607"/>
    </row>
    <row r="1279" spans="2:4" x14ac:dyDescent="0.2">
      <c r="B1279" s="606"/>
      <c r="C1279" s="607"/>
      <c r="D1279" s="607"/>
    </row>
    <row r="1280" spans="2:4" x14ac:dyDescent="0.2">
      <c r="B1280" s="606"/>
      <c r="C1280" s="607"/>
      <c r="D1280" s="607"/>
    </row>
    <row r="1281" spans="2:4" x14ac:dyDescent="0.2">
      <c r="B1281" s="606"/>
      <c r="C1281" s="607"/>
      <c r="D1281" s="607"/>
    </row>
    <row r="1282" spans="2:4" x14ac:dyDescent="0.2">
      <c r="B1282" s="606"/>
      <c r="C1282" s="607"/>
      <c r="D1282" s="607"/>
    </row>
    <row r="1283" spans="2:4" x14ac:dyDescent="0.2">
      <c r="B1283" s="606"/>
      <c r="C1283" s="607"/>
      <c r="D1283" s="607"/>
    </row>
    <row r="1284" spans="2:4" x14ac:dyDescent="0.2">
      <c r="B1284" s="606"/>
      <c r="C1284" s="607"/>
      <c r="D1284" s="607"/>
    </row>
    <row r="1285" spans="2:4" x14ac:dyDescent="0.2">
      <c r="B1285" s="606"/>
      <c r="C1285" s="607"/>
      <c r="D1285" s="607"/>
    </row>
    <row r="1286" spans="2:4" x14ac:dyDescent="0.2">
      <c r="B1286" s="606"/>
      <c r="C1286" s="607"/>
      <c r="D1286" s="607"/>
    </row>
    <row r="1287" spans="2:4" x14ac:dyDescent="0.2">
      <c r="B1287" s="606"/>
      <c r="C1287" s="607"/>
      <c r="D1287" s="607"/>
    </row>
    <row r="1288" spans="2:4" x14ac:dyDescent="0.2">
      <c r="B1288" s="606"/>
      <c r="C1288" s="607"/>
      <c r="D1288" s="607"/>
    </row>
    <row r="1289" spans="2:4" x14ac:dyDescent="0.2">
      <c r="B1289" s="606"/>
      <c r="C1289" s="607"/>
      <c r="D1289" s="607"/>
    </row>
    <row r="1290" spans="2:4" x14ac:dyDescent="0.2">
      <c r="B1290" s="606"/>
      <c r="C1290" s="607"/>
      <c r="D1290" s="607"/>
    </row>
    <row r="1291" spans="2:4" x14ac:dyDescent="0.2">
      <c r="B1291" s="606"/>
      <c r="C1291" s="607"/>
      <c r="D1291" s="607"/>
    </row>
    <row r="1292" spans="2:4" x14ac:dyDescent="0.2">
      <c r="B1292" s="606"/>
      <c r="C1292" s="607"/>
      <c r="D1292" s="607"/>
    </row>
    <row r="1293" spans="2:4" x14ac:dyDescent="0.2">
      <c r="B1293" s="606"/>
      <c r="C1293" s="607"/>
      <c r="D1293" s="607"/>
    </row>
    <row r="1294" spans="2:4" x14ac:dyDescent="0.2">
      <c r="B1294" s="606"/>
      <c r="C1294" s="607"/>
      <c r="D1294" s="607"/>
    </row>
    <row r="1295" spans="2:4" x14ac:dyDescent="0.2">
      <c r="B1295" s="606"/>
      <c r="C1295" s="607"/>
      <c r="D1295" s="607"/>
    </row>
    <row r="1296" spans="2:4" x14ac:dyDescent="0.2">
      <c r="B1296" s="606"/>
      <c r="C1296" s="607"/>
      <c r="D1296" s="607"/>
    </row>
    <row r="1297" spans="2:4" x14ac:dyDescent="0.2">
      <c r="B1297" s="606"/>
      <c r="C1297" s="607"/>
      <c r="D1297" s="607"/>
    </row>
    <row r="1298" spans="2:4" x14ac:dyDescent="0.2">
      <c r="B1298" s="606"/>
      <c r="C1298" s="607"/>
      <c r="D1298" s="607"/>
    </row>
    <row r="1299" spans="2:4" x14ac:dyDescent="0.2">
      <c r="B1299" s="606"/>
      <c r="C1299" s="607"/>
      <c r="D1299" s="607"/>
    </row>
    <row r="1300" spans="2:4" x14ac:dyDescent="0.2">
      <c r="B1300" s="606"/>
      <c r="C1300" s="607"/>
      <c r="D1300" s="607"/>
    </row>
    <row r="1301" spans="2:4" x14ac:dyDescent="0.2">
      <c r="B1301" s="606"/>
      <c r="C1301" s="607"/>
      <c r="D1301" s="607"/>
    </row>
    <row r="1302" spans="2:4" x14ac:dyDescent="0.2">
      <c r="B1302" s="606"/>
      <c r="C1302" s="607"/>
      <c r="D1302" s="607"/>
    </row>
    <row r="1303" spans="2:4" x14ac:dyDescent="0.2">
      <c r="B1303" s="606"/>
      <c r="C1303" s="607"/>
      <c r="D1303" s="607"/>
    </row>
    <row r="1304" spans="2:4" x14ac:dyDescent="0.2">
      <c r="B1304" s="606"/>
      <c r="C1304" s="607"/>
      <c r="D1304" s="607"/>
    </row>
    <row r="1305" spans="2:4" x14ac:dyDescent="0.2">
      <c r="B1305" s="606"/>
      <c r="C1305" s="607"/>
      <c r="D1305" s="607"/>
    </row>
    <row r="1306" spans="2:4" x14ac:dyDescent="0.2">
      <c r="B1306" s="606"/>
      <c r="C1306" s="607"/>
      <c r="D1306" s="607"/>
    </row>
    <row r="1307" spans="2:4" x14ac:dyDescent="0.2">
      <c r="B1307" s="606"/>
      <c r="C1307" s="607"/>
      <c r="D1307" s="607"/>
    </row>
    <row r="1308" spans="2:4" x14ac:dyDescent="0.2">
      <c r="B1308" s="606"/>
      <c r="C1308" s="607"/>
      <c r="D1308" s="607"/>
    </row>
    <row r="1309" spans="2:4" x14ac:dyDescent="0.2">
      <c r="B1309" s="606"/>
      <c r="C1309" s="607"/>
      <c r="D1309" s="607"/>
    </row>
    <row r="1310" spans="2:4" x14ac:dyDescent="0.2">
      <c r="B1310" s="606"/>
      <c r="C1310" s="607"/>
      <c r="D1310" s="607"/>
    </row>
    <row r="1311" spans="2:4" x14ac:dyDescent="0.2">
      <c r="B1311" s="606"/>
      <c r="C1311" s="607"/>
      <c r="D1311" s="607"/>
    </row>
    <row r="1312" spans="2:4" x14ac:dyDescent="0.2">
      <c r="B1312" s="606"/>
      <c r="C1312" s="607"/>
      <c r="D1312" s="607"/>
    </row>
    <row r="1313" spans="2:4" x14ac:dyDescent="0.2">
      <c r="B1313" s="606"/>
      <c r="C1313" s="607"/>
      <c r="D1313" s="607"/>
    </row>
    <row r="1314" spans="2:4" x14ac:dyDescent="0.2">
      <c r="B1314" s="606"/>
      <c r="C1314" s="607"/>
      <c r="D1314" s="607"/>
    </row>
    <row r="1315" spans="2:4" x14ac:dyDescent="0.2">
      <c r="B1315" s="606"/>
      <c r="C1315" s="607"/>
      <c r="D1315" s="607"/>
    </row>
    <row r="1316" spans="2:4" x14ac:dyDescent="0.2">
      <c r="B1316" s="606"/>
      <c r="C1316" s="607"/>
      <c r="D1316" s="607"/>
    </row>
    <row r="1317" spans="2:4" x14ac:dyDescent="0.2">
      <c r="B1317" s="606"/>
      <c r="C1317" s="607"/>
      <c r="D1317" s="607"/>
    </row>
    <row r="1318" spans="2:4" x14ac:dyDescent="0.2">
      <c r="B1318" s="606"/>
      <c r="C1318" s="607"/>
      <c r="D1318" s="607"/>
    </row>
    <row r="1319" spans="2:4" x14ac:dyDescent="0.2">
      <c r="B1319" s="606"/>
      <c r="C1319" s="607"/>
      <c r="D1319" s="607"/>
    </row>
    <row r="1320" spans="2:4" x14ac:dyDescent="0.2">
      <c r="B1320" s="606"/>
      <c r="C1320" s="607"/>
      <c r="D1320" s="607"/>
    </row>
    <row r="1321" spans="2:4" x14ac:dyDescent="0.2">
      <c r="B1321" s="606"/>
      <c r="C1321" s="607"/>
      <c r="D1321" s="607"/>
    </row>
    <row r="1322" spans="2:4" x14ac:dyDescent="0.2">
      <c r="B1322" s="606"/>
      <c r="C1322" s="607"/>
      <c r="D1322" s="607"/>
    </row>
    <row r="1323" spans="2:4" x14ac:dyDescent="0.2">
      <c r="B1323" s="606"/>
      <c r="C1323" s="607"/>
      <c r="D1323" s="607"/>
    </row>
    <row r="1324" spans="2:4" x14ac:dyDescent="0.2">
      <c r="B1324" s="606"/>
      <c r="C1324" s="607"/>
      <c r="D1324" s="607"/>
    </row>
    <row r="1325" spans="2:4" x14ac:dyDescent="0.2">
      <c r="B1325" s="606"/>
      <c r="C1325" s="607"/>
      <c r="D1325" s="607"/>
    </row>
    <row r="1326" spans="2:4" x14ac:dyDescent="0.2">
      <c r="B1326" s="606"/>
      <c r="C1326" s="607"/>
      <c r="D1326" s="607"/>
    </row>
    <row r="1327" spans="2:4" x14ac:dyDescent="0.2">
      <c r="B1327" s="606"/>
      <c r="C1327" s="607"/>
      <c r="D1327" s="607"/>
    </row>
    <row r="1328" spans="2:4" x14ac:dyDescent="0.2">
      <c r="B1328" s="606"/>
      <c r="C1328" s="607"/>
      <c r="D1328" s="607"/>
    </row>
    <row r="1329" spans="2:4" x14ac:dyDescent="0.2">
      <c r="B1329" s="606"/>
      <c r="C1329" s="607"/>
      <c r="D1329" s="607"/>
    </row>
    <row r="1330" spans="2:4" x14ac:dyDescent="0.2">
      <c r="B1330" s="606"/>
      <c r="C1330" s="607"/>
      <c r="D1330" s="607"/>
    </row>
    <row r="1331" spans="2:4" x14ac:dyDescent="0.2">
      <c r="B1331" s="606"/>
      <c r="C1331" s="607"/>
      <c r="D1331" s="607"/>
    </row>
    <row r="1332" spans="2:4" x14ac:dyDescent="0.2">
      <c r="B1332" s="606"/>
      <c r="C1332" s="607"/>
      <c r="D1332" s="607"/>
    </row>
    <row r="1333" spans="2:4" x14ac:dyDescent="0.2">
      <c r="B1333" s="606"/>
      <c r="C1333" s="607"/>
      <c r="D1333" s="607"/>
    </row>
    <row r="1334" spans="2:4" x14ac:dyDescent="0.2">
      <c r="B1334" s="606"/>
      <c r="C1334" s="607"/>
      <c r="D1334" s="607"/>
    </row>
    <row r="1335" spans="2:4" x14ac:dyDescent="0.2">
      <c r="B1335" s="606"/>
      <c r="C1335" s="607"/>
      <c r="D1335" s="607"/>
    </row>
    <row r="1336" spans="2:4" x14ac:dyDescent="0.2">
      <c r="B1336" s="606"/>
      <c r="C1336" s="607"/>
      <c r="D1336" s="607"/>
    </row>
    <row r="1337" spans="2:4" x14ac:dyDescent="0.2">
      <c r="B1337" s="606"/>
      <c r="C1337" s="607"/>
      <c r="D1337" s="607"/>
    </row>
    <row r="1338" spans="2:4" x14ac:dyDescent="0.2">
      <c r="B1338" s="606"/>
      <c r="C1338" s="607"/>
      <c r="D1338" s="607"/>
    </row>
    <row r="1339" spans="2:4" x14ac:dyDescent="0.2">
      <c r="B1339" s="606"/>
      <c r="C1339" s="607"/>
      <c r="D1339" s="607"/>
    </row>
    <row r="1340" spans="2:4" x14ac:dyDescent="0.2">
      <c r="B1340" s="606"/>
      <c r="C1340" s="607"/>
      <c r="D1340" s="607"/>
    </row>
    <row r="1341" spans="2:4" x14ac:dyDescent="0.2">
      <c r="B1341" s="606"/>
      <c r="C1341" s="607"/>
      <c r="D1341" s="607"/>
    </row>
    <row r="1342" spans="2:4" x14ac:dyDescent="0.2">
      <c r="B1342" s="606"/>
      <c r="C1342" s="607"/>
      <c r="D1342" s="607"/>
    </row>
    <row r="1343" spans="2:4" x14ac:dyDescent="0.2">
      <c r="B1343" s="606"/>
      <c r="C1343" s="607"/>
      <c r="D1343" s="607"/>
    </row>
    <row r="1344" spans="2:4" x14ac:dyDescent="0.2">
      <c r="B1344" s="606"/>
      <c r="C1344" s="607"/>
      <c r="D1344" s="607"/>
    </row>
    <row r="1345" spans="2:4" x14ac:dyDescent="0.2">
      <c r="B1345" s="606"/>
      <c r="C1345" s="607"/>
      <c r="D1345" s="607"/>
    </row>
    <row r="1346" spans="2:4" x14ac:dyDescent="0.2">
      <c r="B1346" s="606"/>
      <c r="C1346" s="607"/>
      <c r="D1346" s="607"/>
    </row>
    <row r="1347" spans="2:4" x14ac:dyDescent="0.2">
      <c r="B1347" s="606"/>
      <c r="C1347" s="607"/>
      <c r="D1347" s="607"/>
    </row>
    <row r="1348" spans="2:4" x14ac:dyDescent="0.2">
      <c r="B1348" s="606"/>
      <c r="C1348" s="607"/>
      <c r="D1348" s="607"/>
    </row>
    <row r="1349" spans="2:4" x14ac:dyDescent="0.2">
      <c r="B1349" s="606"/>
      <c r="C1349" s="607"/>
      <c r="D1349" s="607"/>
    </row>
    <row r="1350" spans="2:4" x14ac:dyDescent="0.2">
      <c r="B1350" s="606"/>
      <c r="C1350" s="607"/>
      <c r="D1350" s="607"/>
    </row>
    <row r="1351" spans="2:4" x14ac:dyDescent="0.2">
      <c r="B1351" s="606"/>
      <c r="C1351" s="607"/>
      <c r="D1351" s="607"/>
    </row>
    <row r="1352" spans="2:4" x14ac:dyDescent="0.2">
      <c r="B1352" s="606"/>
      <c r="C1352" s="607"/>
      <c r="D1352" s="607"/>
    </row>
    <row r="1353" spans="2:4" x14ac:dyDescent="0.2">
      <c r="B1353" s="606"/>
      <c r="C1353" s="607"/>
      <c r="D1353" s="607"/>
    </row>
    <row r="1354" spans="2:4" x14ac:dyDescent="0.2">
      <c r="B1354" s="606"/>
      <c r="C1354" s="607"/>
      <c r="D1354" s="607"/>
    </row>
    <row r="1355" spans="2:4" x14ac:dyDescent="0.2">
      <c r="B1355" s="606"/>
      <c r="C1355" s="607"/>
      <c r="D1355" s="607"/>
    </row>
    <row r="1356" spans="2:4" x14ac:dyDescent="0.2">
      <c r="B1356" s="606"/>
      <c r="C1356" s="607"/>
      <c r="D1356" s="607"/>
    </row>
    <row r="1357" spans="2:4" x14ac:dyDescent="0.2">
      <c r="B1357" s="606"/>
      <c r="C1357" s="607"/>
      <c r="D1357" s="607"/>
    </row>
    <row r="1358" spans="2:4" x14ac:dyDescent="0.2">
      <c r="B1358" s="606"/>
      <c r="C1358" s="607"/>
      <c r="D1358" s="607"/>
    </row>
    <row r="1359" spans="2:4" x14ac:dyDescent="0.2">
      <c r="B1359" s="606"/>
      <c r="C1359" s="607"/>
      <c r="D1359" s="607"/>
    </row>
    <row r="1360" spans="2:4" x14ac:dyDescent="0.2">
      <c r="B1360" s="606"/>
      <c r="C1360" s="607"/>
      <c r="D1360" s="607"/>
    </row>
    <row r="1361" spans="2:4" x14ac:dyDescent="0.2">
      <c r="B1361" s="606"/>
      <c r="C1361" s="607"/>
      <c r="D1361" s="607"/>
    </row>
    <row r="1362" spans="2:4" x14ac:dyDescent="0.2">
      <c r="B1362" s="606"/>
      <c r="C1362" s="607"/>
      <c r="D1362" s="607"/>
    </row>
    <row r="1363" spans="2:4" x14ac:dyDescent="0.2">
      <c r="B1363" s="606"/>
      <c r="C1363" s="607"/>
      <c r="D1363" s="607"/>
    </row>
    <row r="1364" spans="2:4" x14ac:dyDescent="0.2">
      <c r="B1364" s="606"/>
      <c r="C1364" s="607"/>
      <c r="D1364" s="607"/>
    </row>
    <row r="1365" spans="2:4" x14ac:dyDescent="0.2">
      <c r="B1365" s="606"/>
      <c r="C1365" s="607"/>
      <c r="D1365" s="607"/>
    </row>
    <row r="1366" spans="2:4" x14ac:dyDescent="0.2">
      <c r="B1366" s="606"/>
      <c r="C1366" s="607"/>
      <c r="D1366" s="607"/>
    </row>
    <row r="1367" spans="2:4" x14ac:dyDescent="0.2">
      <c r="B1367" s="606"/>
      <c r="C1367" s="607"/>
      <c r="D1367" s="607"/>
    </row>
    <row r="1368" spans="2:4" x14ac:dyDescent="0.2">
      <c r="B1368" s="606"/>
      <c r="C1368" s="607"/>
      <c r="D1368" s="607"/>
    </row>
    <row r="1369" spans="2:4" x14ac:dyDescent="0.2">
      <c r="B1369" s="606"/>
      <c r="C1369" s="607"/>
      <c r="D1369" s="607"/>
    </row>
    <row r="1370" spans="2:4" x14ac:dyDescent="0.2">
      <c r="B1370" s="606"/>
      <c r="C1370" s="607"/>
      <c r="D1370" s="607"/>
    </row>
    <row r="1371" spans="2:4" x14ac:dyDescent="0.2">
      <c r="B1371" s="606"/>
      <c r="C1371" s="607"/>
      <c r="D1371" s="607"/>
    </row>
    <row r="1372" spans="2:4" x14ac:dyDescent="0.2">
      <c r="B1372" s="606"/>
      <c r="C1372" s="607"/>
      <c r="D1372" s="607"/>
    </row>
    <row r="1373" spans="2:4" x14ac:dyDescent="0.2">
      <c r="B1373" s="606"/>
      <c r="C1373" s="607"/>
      <c r="D1373" s="607"/>
    </row>
    <row r="1374" spans="2:4" x14ac:dyDescent="0.2">
      <c r="B1374" s="606"/>
      <c r="C1374" s="607"/>
      <c r="D1374" s="607"/>
    </row>
    <row r="1375" spans="2:4" x14ac:dyDescent="0.2">
      <c r="B1375" s="606"/>
      <c r="C1375" s="607"/>
      <c r="D1375" s="607"/>
    </row>
    <row r="1376" spans="2:4" x14ac:dyDescent="0.2">
      <c r="B1376" s="606"/>
      <c r="C1376" s="607"/>
      <c r="D1376" s="607"/>
    </row>
    <row r="1377" spans="2:4" x14ac:dyDescent="0.2">
      <c r="B1377" s="606"/>
      <c r="C1377" s="607"/>
      <c r="D1377" s="607"/>
    </row>
    <row r="1378" spans="2:4" x14ac:dyDescent="0.2">
      <c r="B1378" s="606"/>
      <c r="C1378" s="607"/>
      <c r="D1378" s="607"/>
    </row>
    <row r="1379" spans="2:4" x14ac:dyDescent="0.2">
      <c r="B1379" s="606"/>
      <c r="C1379" s="607"/>
      <c r="D1379" s="607"/>
    </row>
    <row r="1380" spans="2:4" x14ac:dyDescent="0.2">
      <c r="B1380" s="606"/>
      <c r="C1380" s="607"/>
      <c r="D1380" s="607"/>
    </row>
    <row r="1381" spans="2:4" x14ac:dyDescent="0.2">
      <c r="B1381" s="606"/>
      <c r="C1381" s="607"/>
      <c r="D1381" s="607"/>
    </row>
    <row r="1382" spans="2:4" x14ac:dyDescent="0.2">
      <c r="B1382" s="606"/>
      <c r="C1382" s="607"/>
      <c r="D1382" s="607"/>
    </row>
    <row r="1383" spans="2:4" x14ac:dyDescent="0.2">
      <c r="B1383" s="606"/>
      <c r="C1383" s="607"/>
      <c r="D1383" s="607"/>
    </row>
    <row r="1384" spans="2:4" x14ac:dyDescent="0.2">
      <c r="B1384" s="606"/>
      <c r="C1384" s="607"/>
      <c r="D1384" s="607"/>
    </row>
    <row r="1385" spans="2:4" x14ac:dyDescent="0.2">
      <c r="B1385" s="606"/>
      <c r="C1385" s="607"/>
      <c r="D1385" s="607"/>
    </row>
    <row r="1386" spans="2:4" x14ac:dyDescent="0.2">
      <c r="B1386" s="606"/>
      <c r="C1386" s="607"/>
      <c r="D1386" s="607"/>
    </row>
    <row r="1387" spans="2:4" x14ac:dyDescent="0.2">
      <c r="B1387" s="606"/>
      <c r="C1387" s="607"/>
      <c r="D1387" s="607"/>
    </row>
    <row r="1388" spans="2:4" x14ac:dyDescent="0.2">
      <c r="B1388" s="606"/>
      <c r="C1388" s="607"/>
      <c r="D1388" s="607"/>
    </row>
    <row r="1389" spans="2:4" x14ac:dyDescent="0.2">
      <c r="B1389" s="606"/>
      <c r="C1389" s="607"/>
      <c r="D1389" s="607"/>
    </row>
    <row r="1390" spans="2:4" x14ac:dyDescent="0.2">
      <c r="B1390" s="606"/>
      <c r="C1390" s="607"/>
      <c r="D1390" s="607"/>
    </row>
    <row r="1391" spans="2:4" x14ac:dyDescent="0.2">
      <c r="B1391" s="606"/>
      <c r="C1391" s="607"/>
      <c r="D1391" s="607"/>
    </row>
    <row r="1392" spans="2:4" x14ac:dyDescent="0.2">
      <c r="B1392" s="606"/>
      <c r="C1392" s="607"/>
      <c r="D1392" s="607"/>
    </row>
    <row r="1393" spans="2:4" x14ac:dyDescent="0.2">
      <c r="B1393" s="606"/>
      <c r="C1393" s="607"/>
      <c r="D1393" s="607"/>
    </row>
    <row r="1394" spans="2:4" x14ac:dyDescent="0.2">
      <c r="B1394" s="606"/>
      <c r="C1394" s="607"/>
      <c r="D1394" s="607"/>
    </row>
    <row r="1395" spans="2:4" x14ac:dyDescent="0.2">
      <c r="B1395" s="606"/>
      <c r="C1395" s="607"/>
      <c r="D1395" s="607"/>
    </row>
    <row r="1396" spans="2:4" x14ac:dyDescent="0.2">
      <c r="B1396" s="606"/>
      <c r="C1396" s="607"/>
      <c r="D1396" s="607"/>
    </row>
    <row r="1397" spans="2:4" x14ac:dyDescent="0.2">
      <c r="B1397" s="606"/>
      <c r="C1397" s="607"/>
      <c r="D1397" s="607"/>
    </row>
    <row r="1398" spans="2:4" x14ac:dyDescent="0.2">
      <c r="B1398" s="606"/>
      <c r="C1398" s="607"/>
      <c r="D1398" s="607"/>
    </row>
    <row r="1399" spans="2:4" x14ac:dyDescent="0.2">
      <c r="B1399" s="606"/>
      <c r="C1399" s="607"/>
      <c r="D1399" s="607"/>
    </row>
    <row r="1400" spans="2:4" x14ac:dyDescent="0.2">
      <c r="B1400" s="606"/>
      <c r="C1400" s="607"/>
      <c r="D1400" s="607"/>
    </row>
    <row r="1401" spans="2:4" x14ac:dyDescent="0.2">
      <c r="B1401" s="606"/>
      <c r="C1401" s="607"/>
      <c r="D1401" s="607"/>
    </row>
    <row r="1402" spans="2:4" x14ac:dyDescent="0.2">
      <c r="B1402" s="606"/>
      <c r="C1402" s="607"/>
      <c r="D1402" s="607"/>
    </row>
    <row r="1403" spans="2:4" x14ac:dyDescent="0.2">
      <c r="B1403" s="606"/>
      <c r="C1403" s="607"/>
      <c r="D1403" s="607"/>
    </row>
    <row r="1404" spans="2:4" x14ac:dyDescent="0.2">
      <c r="B1404" s="606"/>
      <c r="C1404" s="607"/>
      <c r="D1404" s="607"/>
    </row>
    <row r="1405" spans="2:4" x14ac:dyDescent="0.2">
      <c r="B1405" s="606"/>
      <c r="C1405" s="607"/>
      <c r="D1405" s="607"/>
    </row>
    <row r="1406" spans="2:4" x14ac:dyDescent="0.2">
      <c r="B1406" s="606"/>
      <c r="C1406" s="607"/>
      <c r="D1406" s="607"/>
    </row>
    <row r="1407" spans="2:4" x14ac:dyDescent="0.2">
      <c r="B1407" s="606"/>
      <c r="C1407" s="607"/>
      <c r="D1407" s="607"/>
    </row>
    <row r="1408" spans="2:4" x14ac:dyDescent="0.2">
      <c r="B1408" s="606"/>
      <c r="C1408" s="607"/>
      <c r="D1408" s="607"/>
    </row>
    <row r="1409" spans="2:4" x14ac:dyDescent="0.2">
      <c r="B1409" s="606"/>
      <c r="C1409" s="607"/>
      <c r="D1409" s="607"/>
    </row>
    <row r="1410" spans="2:4" x14ac:dyDescent="0.2">
      <c r="B1410" s="606"/>
      <c r="C1410" s="607"/>
      <c r="D1410" s="607"/>
    </row>
    <row r="1411" spans="2:4" x14ac:dyDescent="0.2">
      <c r="B1411" s="606"/>
      <c r="C1411" s="607"/>
      <c r="D1411" s="607"/>
    </row>
    <row r="1412" spans="2:4" x14ac:dyDescent="0.2">
      <c r="B1412" s="606"/>
      <c r="C1412" s="607"/>
      <c r="D1412" s="607"/>
    </row>
    <row r="1413" spans="2:4" x14ac:dyDescent="0.2">
      <c r="B1413" s="606"/>
      <c r="C1413" s="607"/>
      <c r="D1413" s="607"/>
    </row>
    <row r="1414" spans="2:4" x14ac:dyDescent="0.2">
      <c r="B1414" s="606"/>
      <c r="C1414" s="607"/>
      <c r="D1414" s="607"/>
    </row>
    <row r="1415" spans="2:4" x14ac:dyDescent="0.2">
      <c r="B1415" s="606"/>
      <c r="C1415" s="607"/>
      <c r="D1415" s="607"/>
    </row>
    <row r="1416" spans="2:4" x14ac:dyDescent="0.2">
      <c r="B1416" s="606"/>
      <c r="C1416" s="607"/>
      <c r="D1416" s="607"/>
    </row>
    <row r="1417" spans="2:4" x14ac:dyDescent="0.2">
      <c r="B1417" s="606"/>
      <c r="C1417" s="607"/>
      <c r="D1417" s="607"/>
    </row>
    <row r="1418" spans="2:4" x14ac:dyDescent="0.2">
      <c r="B1418" s="606"/>
      <c r="C1418" s="607"/>
      <c r="D1418" s="607"/>
    </row>
    <row r="1419" spans="2:4" x14ac:dyDescent="0.2">
      <c r="B1419" s="606"/>
      <c r="C1419" s="607"/>
      <c r="D1419" s="607"/>
    </row>
    <row r="1420" spans="2:4" x14ac:dyDescent="0.2">
      <c r="B1420" s="606"/>
      <c r="C1420" s="607"/>
      <c r="D1420" s="607"/>
    </row>
    <row r="1421" spans="2:4" x14ac:dyDescent="0.2">
      <c r="B1421" s="606"/>
      <c r="C1421" s="607"/>
      <c r="D1421" s="607"/>
    </row>
    <row r="1422" spans="2:4" x14ac:dyDescent="0.2">
      <c r="B1422" s="606"/>
      <c r="C1422" s="607"/>
      <c r="D1422" s="607"/>
    </row>
    <row r="1423" spans="2:4" x14ac:dyDescent="0.2">
      <c r="B1423" s="606"/>
      <c r="C1423" s="607"/>
      <c r="D1423" s="607"/>
    </row>
    <row r="1424" spans="2:4" x14ac:dyDescent="0.2">
      <c r="B1424" s="606"/>
      <c r="C1424" s="607"/>
      <c r="D1424" s="607"/>
    </row>
    <row r="1425" spans="2:4" x14ac:dyDescent="0.2">
      <c r="B1425" s="606"/>
      <c r="C1425" s="607"/>
      <c r="D1425" s="607"/>
    </row>
    <row r="1426" spans="2:4" x14ac:dyDescent="0.2">
      <c r="B1426" s="606"/>
      <c r="C1426" s="607"/>
      <c r="D1426" s="607"/>
    </row>
    <row r="1427" spans="2:4" x14ac:dyDescent="0.2">
      <c r="B1427" s="606"/>
      <c r="C1427" s="607"/>
      <c r="D1427" s="607"/>
    </row>
    <row r="1428" spans="2:4" x14ac:dyDescent="0.2">
      <c r="B1428" s="606"/>
      <c r="C1428" s="607"/>
      <c r="D1428" s="607"/>
    </row>
    <row r="1429" spans="2:4" x14ac:dyDescent="0.2">
      <c r="B1429" s="606"/>
      <c r="C1429" s="607"/>
      <c r="D1429" s="607"/>
    </row>
    <row r="1430" spans="2:4" x14ac:dyDescent="0.2">
      <c r="B1430" s="606"/>
      <c r="C1430" s="607"/>
      <c r="D1430" s="607"/>
    </row>
    <row r="1431" spans="2:4" x14ac:dyDescent="0.2">
      <c r="B1431" s="606"/>
      <c r="C1431" s="607"/>
      <c r="D1431" s="607"/>
    </row>
    <row r="1432" spans="2:4" x14ac:dyDescent="0.2">
      <c r="B1432" s="606"/>
      <c r="C1432" s="607"/>
      <c r="D1432" s="607"/>
    </row>
    <row r="1433" spans="2:4" x14ac:dyDescent="0.2">
      <c r="B1433" s="606"/>
      <c r="C1433" s="607"/>
      <c r="D1433" s="607"/>
    </row>
    <row r="1434" spans="2:4" x14ac:dyDescent="0.2">
      <c r="B1434" s="606"/>
      <c r="C1434" s="607"/>
      <c r="D1434" s="607"/>
    </row>
    <row r="1435" spans="2:4" x14ac:dyDescent="0.2">
      <c r="B1435" s="606"/>
      <c r="C1435" s="607"/>
      <c r="D1435" s="607"/>
    </row>
    <row r="1436" spans="2:4" x14ac:dyDescent="0.2">
      <c r="B1436" s="606"/>
      <c r="C1436" s="607"/>
      <c r="D1436" s="607"/>
    </row>
    <row r="1437" spans="2:4" x14ac:dyDescent="0.2">
      <c r="B1437" s="606"/>
      <c r="C1437" s="607"/>
      <c r="D1437" s="607"/>
    </row>
    <row r="1438" spans="2:4" x14ac:dyDescent="0.2">
      <c r="B1438" s="606"/>
      <c r="C1438" s="607"/>
      <c r="D1438" s="607"/>
    </row>
    <row r="1439" spans="2:4" x14ac:dyDescent="0.2">
      <c r="B1439" s="606"/>
      <c r="C1439" s="607"/>
      <c r="D1439" s="607"/>
    </row>
    <row r="1440" spans="2:4" x14ac:dyDescent="0.2">
      <c r="B1440" s="606"/>
      <c r="C1440" s="607"/>
      <c r="D1440" s="607"/>
    </row>
    <row r="1441" spans="2:4" x14ac:dyDescent="0.2">
      <c r="B1441" s="606"/>
      <c r="C1441" s="607"/>
      <c r="D1441" s="607"/>
    </row>
    <row r="1442" spans="2:4" x14ac:dyDescent="0.2">
      <c r="B1442" s="606"/>
      <c r="C1442" s="607"/>
      <c r="D1442" s="607"/>
    </row>
    <row r="1443" spans="2:4" x14ac:dyDescent="0.2">
      <c r="B1443" s="606"/>
      <c r="C1443" s="607"/>
      <c r="D1443" s="607"/>
    </row>
    <row r="1444" spans="2:4" x14ac:dyDescent="0.2">
      <c r="B1444" s="606"/>
      <c r="C1444" s="607"/>
      <c r="D1444" s="607"/>
    </row>
    <row r="1445" spans="2:4" x14ac:dyDescent="0.2">
      <c r="B1445" s="606"/>
      <c r="C1445" s="607"/>
      <c r="D1445" s="607"/>
    </row>
    <row r="1446" spans="2:4" x14ac:dyDescent="0.2">
      <c r="B1446" s="606"/>
      <c r="C1446" s="607"/>
      <c r="D1446" s="607"/>
    </row>
    <row r="1447" spans="2:4" x14ac:dyDescent="0.2">
      <c r="B1447" s="606"/>
      <c r="C1447" s="607"/>
      <c r="D1447" s="607"/>
    </row>
    <row r="1448" spans="2:4" x14ac:dyDescent="0.2">
      <c r="B1448" s="606"/>
      <c r="C1448" s="607"/>
      <c r="D1448" s="607"/>
    </row>
    <row r="1449" spans="2:4" x14ac:dyDescent="0.2">
      <c r="B1449" s="606"/>
      <c r="C1449" s="607"/>
      <c r="D1449" s="607"/>
    </row>
    <row r="1450" spans="2:4" x14ac:dyDescent="0.2">
      <c r="B1450" s="606"/>
      <c r="C1450" s="607"/>
      <c r="D1450" s="607"/>
    </row>
    <row r="1451" spans="2:4" x14ac:dyDescent="0.2">
      <c r="B1451" s="606"/>
      <c r="C1451" s="607"/>
      <c r="D1451" s="607"/>
    </row>
    <row r="1452" spans="2:4" x14ac:dyDescent="0.2">
      <c r="B1452" s="606"/>
      <c r="C1452" s="607"/>
      <c r="D1452" s="607"/>
    </row>
    <row r="1453" spans="2:4" x14ac:dyDescent="0.2">
      <c r="B1453" s="606"/>
      <c r="C1453" s="607"/>
      <c r="D1453" s="607"/>
    </row>
    <row r="1454" spans="2:4" x14ac:dyDescent="0.2">
      <c r="B1454" s="606"/>
      <c r="C1454" s="607"/>
      <c r="D1454" s="607"/>
    </row>
    <row r="1455" spans="2:4" x14ac:dyDescent="0.2">
      <c r="B1455" s="606"/>
      <c r="C1455" s="607"/>
      <c r="D1455" s="607"/>
    </row>
    <row r="1456" spans="2:4" x14ac:dyDescent="0.2">
      <c r="B1456" s="606"/>
      <c r="C1456" s="607"/>
      <c r="D1456" s="607"/>
    </row>
    <row r="1457" spans="2:4" x14ac:dyDescent="0.2">
      <c r="B1457" s="606"/>
      <c r="C1457" s="607"/>
      <c r="D1457" s="607"/>
    </row>
    <row r="1458" spans="2:4" x14ac:dyDescent="0.2">
      <c r="B1458" s="606"/>
      <c r="C1458" s="607"/>
      <c r="D1458" s="607"/>
    </row>
    <row r="1459" spans="2:4" x14ac:dyDescent="0.2">
      <c r="B1459" s="606"/>
      <c r="C1459" s="607"/>
      <c r="D1459" s="607"/>
    </row>
    <row r="1460" spans="2:4" x14ac:dyDescent="0.2">
      <c r="B1460" s="606"/>
      <c r="C1460" s="607"/>
      <c r="D1460" s="607"/>
    </row>
    <row r="1461" spans="2:4" x14ac:dyDescent="0.2">
      <c r="B1461" s="606"/>
      <c r="C1461" s="607"/>
      <c r="D1461" s="607"/>
    </row>
    <row r="1462" spans="2:4" x14ac:dyDescent="0.2">
      <c r="B1462" s="606"/>
      <c r="C1462" s="607"/>
      <c r="D1462" s="607"/>
    </row>
    <row r="1463" spans="2:4" x14ac:dyDescent="0.2">
      <c r="B1463" s="606"/>
      <c r="C1463" s="607"/>
      <c r="D1463" s="607"/>
    </row>
    <row r="1464" spans="2:4" x14ac:dyDescent="0.2">
      <c r="B1464" s="606"/>
      <c r="C1464" s="607"/>
      <c r="D1464" s="607"/>
    </row>
    <row r="1465" spans="2:4" x14ac:dyDescent="0.2">
      <c r="B1465" s="606"/>
      <c r="C1465" s="607"/>
      <c r="D1465" s="607"/>
    </row>
    <row r="1466" spans="2:4" x14ac:dyDescent="0.2">
      <c r="B1466" s="606"/>
      <c r="C1466" s="607"/>
      <c r="D1466" s="607"/>
    </row>
    <row r="1467" spans="2:4" x14ac:dyDescent="0.2">
      <c r="B1467" s="606"/>
      <c r="C1467" s="607"/>
      <c r="D1467" s="607"/>
    </row>
    <row r="1468" spans="2:4" x14ac:dyDescent="0.2">
      <c r="B1468" s="606"/>
      <c r="C1468" s="607"/>
      <c r="D1468" s="607"/>
    </row>
    <row r="1469" spans="2:4" x14ac:dyDescent="0.2">
      <c r="B1469" s="606"/>
      <c r="C1469" s="607"/>
      <c r="D1469" s="607"/>
    </row>
    <row r="1470" spans="2:4" x14ac:dyDescent="0.2">
      <c r="B1470" s="606"/>
      <c r="C1470" s="607"/>
      <c r="D1470" s="607"/>
    </row>
    <row r="1471" spans="2:4" x14ac:dyDescent="0.2">
      <c r="B1471" s="606"/>
      <c r="C1471" s="607"/>
      <c r="D1471" s="607"/>
    </row>
    <row r="1472" spans="2:4" x14ac:dyDescent="0.2">
      <c r="B1472" s="606"/>
      <c r="C1472" s="607"/>
      <c r="D1472" s="607"/>
    </row>
    <row r="1473" spans="2:4" x14ac:dyDescent="0.2">
      <c r="B1473" s="606"/>
      <c r="C1473" s="607"/>
      <c r="D1473" s="607"/>
    </row>
    <row r="1474" spans="2:4" x14ac:dyDescent="0.2">
      <c r="B1474" s="606"/>
      <c r="C1474" s="607"/>
      <c r="D1474" s="607"/>
    </row>
    <row r="1475" spans="2:4" x14ac:dyDescent="0.2">
      <c r="B1475" s="606"/>
      <c r="C1475" s="607"/>
      <c r="D1475" s="607"/>
    </row>
    <row r="1476" spans="2:4" x14ac:dyDescent="0.2">
      <c r="B1476" s="606"/>
      <c r="C1476" s="607"/>
      <c r="D1476" s="607"/>
    </row>
    <row r="1477" spans="2:4" x14ac:dyDescent="0.2">
      <c r="B1477" s="606"/>
      <c r="C1477" s="607"/>
      <c r="D1477" s="607"/>
    </row>
    <row r="1478" spans="2:4" x14ac:dyDescent="0.2">
      <c r="B1478" s="606"/>
      <c r="C1478" s="607"/>
      <c r="D1478" s="607"/>
    </row>
    <row r="1479" spans="2:4" x14ac:dyDescent="0.2">
      <c r="B1479" s="606"/>
      <c r="C1479" s="607"/>
      <c r="D1479" s="607"/>
    </row>
    <row r="1480" spans="2:4" x14ac:dyDescent="0.2">
      <c r="B1480" s="606"/>
      <c r="C1480" s="607"/>
      <c r="D1480" s="607"/>
    </row>
    <row r="1481" spans="2:4" x14ac:dyDescent="0.2">
      <c r="B1481" s="606"/>
      <c r="C1481" s="607"/>
      <c r="D1481" s="607"/>
    </row>
    <row r="1482" spans="2:4" x14ac:dyDescent="0.2">
      <c r="B1482" s="606"/>
      <c r="C1482" s="607"/>
      <c r="D1482" s="607"/>
    </row>
    <row r="1483" spans="2:4" x14ac:dyDescent="0.2">
      <c r="B1483" s="606"/>
      <c r="C1483" s="607"/>
      <c r="D1483" s="607"/>
    </row>
    <row r="1484" spans="2:4" x14ac:dyDescent="0.2">
      <c r="B1484" s="606"/>
      <c r="C1484" s="607"/>
      <c r="D1484" s="607"/>
    </row>
    <row r="1485" spans="2:4" x14ac:dyDescent="0.2">
      <c r="B1485" s="606"/>
      <c r="C1485" s="607"/>
      <c r="D1485" s="607"/>
    </row>
    <row r="1486" spans="2:4" x14ac:dyDescent="0.2">
      <c r="B1486" s="606"/>
      <c r="C1486" s="607"/>
      <c r="D1486" s="607"/>
    </row>
    <row r="1487" spans="2:4" x14ac:dyDescent="0.2">
      <c r="B1487" s="606"/>
      <c r="C1487" s="607"/>
      <c r="D1487" s="607"/>
    </row>
    <row r="1488" spans="2:4" x14ac:dyDescent="0.2">
      <c r="B1488" s="606"/>
      <c r="C1488" s="607"/>
      <c r="D1488" s="607"/>
    </row>
    <row r="1489" spans="2:4" x14ac:dyDescent="0.2">
      <c r="B1489" s="606"/>
      <c r="C1489" s="607"/>
      <c r="D1489" s="607"/>
    </row>
    <row r="1490" spans="2:4" x14ac:dyDescent="0.2">
      <c r="B1490" s="606"/>
      <c r="C1490" s="607"/>
      <c r="D1490" s="607"/>
    </row>
    <row r="1491" spans="2:4" x14ac:dyDescent="0.2">
      <c r="B1491" s="606"/>
      <c r="C1491" s="607"/>
      <c r="D1491" s="607"/>
    </row>
    <row r="1492" spans="2:4" x14ac:dyDescent="0.2">
      <c r="B1492" s="606"/>
      <c r="C1492" s="607"/>
      <c r="D1492" s="607"/>
    </row>
    <row r="1493" spans="2:4" x14ac:dyDescent="0.2">
      <c r="B1493" s="606"/>
      <c r="C1493" s="607"/>
      <c r="D1493" s="607"/>
    </row>
    <row r="1494" spans="2:4" x14ac:dyDescent="0.2">
      <c r="B1494" s="606"/>
      <c r="C1494" s="607"/>
      <c r="D1494" s="607"/>
    </row>
    <row r="1495" spans="2:4" x14ac:dyDescent="0.2">
      <c r="B1495" s="606"/>
      <c r="C1495" s="607"/>
      <c r="D1495" s="607"/>
    </row>
    <row r="1496" spans="2:4" x14ac:dyDescent="0.2">
      <c r="B1496" s="606"/>
      <c r="C1496" s="607"/>
      <c r="D1496" s="607"/>
    </row>
    <row r="1497" spans="2:4" x14ac:dyDescent="0.2">
      <c r="B1497" s="606"/>
      <c r="C1497" s="607"/>
      <c r="D1497" s="607"/>
    </row>
    <row r="1498" spans="2:4" x14ac:dyDescent="0.2">
      <c r="B1498" s="606"/>
      <c r="C1498" s="607"/>
      <c r="D1498" s="607"/>
    </row>
    <row r="1499" spans="2:4" x14ac:dyDescent="0.2">
      <c r="B1499" s="606"/>
      <c r="C1499" s="607"/>
      <c r="D1499" s="607"/>
    </row>
    <row r="1500" spans="2:4" x14ac:dyDescent="0.2">
      <c r="B1500" s="606"/>
      <c r="C1500" s="607"/>
      <c r="D1500" s="607"/>
    </row>
    <row r="1501" spans="2:4" x14ac:dyDescent="0.2">
      <c r="B1501" s="606"/>
      <c r="C1501" s="607"/>
      <c r="D1501" s="607"/>
    </row>
    <row r="1502" spans="2:4" x14ac:dyDescent="0.2">
      <c r="B1502" s="606"/>
      <c r="C1502" s="607"/>
      <c r="D1502" s="607"/>
    </row>
    <row r="1503" spans="2:4" x14ac:dyDescent="0.2">
      <c r="B1503" s="606"/>
      <c r="C1503" s="607"/>
      <c r="D1503" s="607"/>
    </row>
    <row r="1504" spans="2:4" x14ac:dyDescent="0.2">
      <c r="B1504" s="606"/>
      <c r="C1504" s="607"/>
      <c r="D1504" s="607"/>
    </row>
    <row r="1505" spans="2:4" x14ac:dyDescent="0.2">
      <c r="B1505" s="606"/>
      <c r="C1505" s="607"/>
      <c r="D1505" s="607"/>
    </row>
    <row r="1506" spans="2:4" x14ac:dyDescent="0.2">
      <c r="B1506" s="606"/>
      <c r="C1506" s="607"/>
      <c r="D1506" s="607"/>
    </row>
    <row r="1507" spans="2:4" x14ac:dyDescent="0.2">
      <c r="B1507" s="606"/>
      <c r="C1507" s="607"/>
      <c r="D1507" s="607"/>
    </row>
    <row r="1508" spans="2:4" x14ac:dyDescent="0.2">
      <c r="B1508" s="606"/>
      <c r="C1508" s="607"/>
      <c r="D1508" s="607"/>
    </row>
    <row r="1509" spans="2:4" x14ac:dyDescent="0.2">
      <c r="B1509" s="606"/>
      <c r="C1509" s="607"/>
      <c r="D1509" s="607"/>
    </row>
    <row r="1510" spans="2:4" x14ac:dyDescent="0.2">
      <c r="B1510" s="606"/>
      <c r="C1510" s="607"/>
      <c r="D1510" s="607"/>
    </row>
    <row r="1511" spans="2:4" x14ac:dyDescent="0.2">
      <c r="B1511" s="606"/>
      <c r="C1511" s="607"/>
      <c r="D1511" s="607"/>
    </row>
    <row r="1512" spans="2:4" x14ac:dyDescent="0.2">
      <c r="B1512" s="606"/>
      <c r="C1512" s="607"/>
      <c r="D1512" s="607"/>
    </row>
    <row r="1513" spans="2:4" x14ac:dyDescent="0.2">
      <c r="B1513" s="606"/>
      <c r="C1513" s="607"/>
      <c r="D1513" s="607"/>
    </row>
    <row r="1514" spans="2:4" x14ac:dyDescent="0.2">
      <c r="B1514" s="606"/>
      <c r="C1514" s="607"/>
      <c r="D1514" s="607"/>
    </row>
    <row r="1515" spans="2:4" x14ac:dyDescent="0.2">
      <c r="B1515" s="606"/>
      <c r="C1515" s="607"/>
      <c r="D1515" s="607"/>
    </row>
    <row r="1516" spans="2:4" x14ac:dyDescent="0.2">
      <c r="B1516" s="606"/>
      <c r="C1516" s="607"/>
      <c r="D1516" s="607"/>
    </row>
    <row r="1517" spans="2:4" x14ac:dyDescent="0.2">
      <c r="B1517" s="606"/>
      <c r="C1517" s="607"/>
      <c r="D1517" s="607"/>
    </row>
    <row r="1518" spans="2:4" x14ac:dyDescent="0.2">
      <c r="B1518" s="606"/>
      <c r="C1518" s="607"/>
      <c r="D1518" s="607"/>
    </row>
    <row r="1519" spans="2:4" x14ac:dyDescent="0.2">
      <c r="B1519" s="606"/>
      <c r="C1519" s="607"/>
      <c r="D1519" s="607"/>
    </row>
    <row r="1520" spans="2:4" x14ac:dyDescent="0.2">
      <c r="B1520" s="606"/>
      <c r="C1520" s="607"/>
      <c r="D1520" s="607"/>
    </row>
    <row r="1521" spans="2:4" x14ac:dyDescent="0.2">
      <c r="B1521" s="606"/>
      <c r="C1521" s="607"/>
      <c r="D1521" s="607"/>
    </row>
    <row r="1522" spans="2:4" x14ac:dyDescent="0.2">
      <c r="B1522" s="606"/>
      <c r="C1522" s="607"/>
      <c r="D1522" s="607"/>
    </row>
    <row r="1523" spans="2:4" x14ac:dyDescent="0.2">
      <c r="B1523" s="606"/>
      <c r="C1523" s="607"/>
      <c r="D1523" s="607"/>
    </row>
    <row r="1524" spans="2:4" x14ac:dyDescent="0.2">
      <c r="B1524" s="606"/>
      <c r="C1524" s="607"/>
      <c r="D1524" s="607"/>
    </row>
    <row r="1525" spans="2:4" x14ac:dyDescent="0.2">
      <c r="B1525" s="606"/>
      <c r="C1525" s="607"/>
      <c r="D1525" s="607"/>
    </row>
    <row r="1526" spans="2:4" x14ac:dyDescent="0.2">
      <c r="B1526" s="606"/>
      <c r="C1526" s="607"/>
      <c r="D1526" s="607"/>
    </row>
    <row r="1527" spans="2:4" x14ac:dyDescent="0.2">
      <c r="B1527" s="606"/>
      <c r="C1527" s="607"/>
      <c r="D1527" s="607"/>
    </row>
    <row r="1528" spans="2:4" x14ac:dyDescent="0.2">
      <c r="B1528" s="606"/>
      <c r="C1528" s="607"/>
      <c r="D1528" s="607"/>
    </row>
    <row r="1529" spans="2:4" x14ac:dyDescent="0.2">
      <c r="B1529" s="606"/>
      <c r="C1529" s="607"/>
      <c r="D1529" s="607"/>
    </row>
    <row r="1530" spans="2:4" x14ac:dyDescent="0.2">
      <c r="B1530" s="606"/>
      <c r="C1530" s="607"/>
      <c r="D1530" s="607"/>
    </row>
    <row r="1531" spans="2:4" x14ac:dyDescent="0.2">
      <c r="B1531" s="606"/>
      <c r="C1531" s="607"/>
      <c r="D1531" s="607"/>
    </row>
    <row r="1532" spans="2:4" x14ac:dyDescent="0.2">
      <c r="B1532" s="606"/>
      <c r="C1532" s="607"/>
      <c r="D1532" s="607"/>
    </row>
    <row r="1533" spans="2:4" x14ac:dyDescent="0.2">
      <c r="B1533" s="606"/>
      <c r="C1533" s="607"/>
      <c r="D1533" s="607"/>
    </row>
    <row r="1534" spans="2:4" x14ac:dyDescent="0.2">
      <c r="B1534" s="606"/>
      <c r="C1534" s="607"/>
      <c r="D1534" s="607"/>
    </row>
    <row r="1535" spans="2:4" x14ac:dyDescent="0.2">
      <c r="B1535" s="606"/>
      <c r="C1535" s="607"/>
      <c r="D1535" s="607"/>
    </row>
    <row r="1536" spans="2:4" x14ac:dyDescent="0.2">
      <c r="B1536" s="606"/>
      <c r="C1536" s="607"/>
      <c r="D1536" s="607"/>
    </row>
    <row r="1537" spans="2:4" x14ac:dyDescent="0.2">
      <c r="B1537" s="606"/>
      <c r="C1537" s="607"/>
      <c r="D1537" s="607"/>
    </row>
    <row r="1538" spans="2:4" x14ac:dyDescent="0.2">
      <c r="B1538" s="606"/>
      <c r="C1538" s="607"/>
      <c r="D1538" s="607"/>
    </row>
    <row r="1539" spans="2:4" x14ac:dyDescent="0.2">
      <c r="B1539" s="606"/>
      <c r="C1539" s="607"/>
      <c r="D1539" s="607"/>
    </row>
    <row r="1540" spans="2:4" x14ac:dyDescent="0.2">
      <c r="B1540" s="606"/>
      <c r="C1540" s="607"/>
      <c r="D1540" s="607"/>
    </row>
    <row r="1541" spans="2:4" x14ac:dyDescent="0.2">
      <c r="B1541" s="606"/>
      <c r="C1541" s="607"/>
      <c r="D1541" s="607"/>
    </row>
    <row r="1542" spans="2:4" x14ac:dyDescent="0.2">
      <c r="B1542" s="606"/>
      <c r="C1542" s="607"/>
      <c r="D1542" s="607"/>
    </row>
    <row r="1543" spans="2:4" x14ac:dyDescent="0.2">
      <c r="B1543" s="606"/>
      <c r="C1543" s="607"/>
      <c r="D1543" s="607"/>
    </row>
    <row r="1544" spans="2:4" x14ac:dyDescent="0.2">
      <c r="B1544" s="606"/>
      <c r="C1544" s="607"/>
      <c r="D1544" s="607"/>
    </row>
    <row r="1545" spans="2:4" x14ac:dyDescent="0.2">
      <c r="B1545" s="606"/>
      <c r="C1545" s="607"/>
      <c r="D1545" s="607"/>
    </row>
    <row r="1546" spans="2:4" x14ac:dyDescent="0.2">
      <c r="B1546" s="606"/>
      <c r="C1546" s="607"/>
      <c r="D1546" s="607"/>
    </row>
    <row r="1547" spans="2:4" x14ac:dyDescent="0.2">
      <c r="B1547" s="606"/>
      <c r="C1547" s="607"/>
      <c r="D1547" s="607"/>
    </row>
    <row r="1548" spans="2:4" x14ac:dyDescent="0.2">
      <c r="B1548" s="606"/>
      <c r="C1548" s="607"/>
      <c r="D1548" s="607"/>
    </row>
    <row r="1549" spans="2:4" x14ac:dyDescent="0.2">
      <c r="B1549" s="606"/>
      <c r="C1549" s="607"/>
      <c r="D1549" s="607"/>
    </row>
    <row r="1550" spans="2:4" x14ac:dyDescent="0.2">
      <c r="B1550" s="606"/>
      <c r="C1550" s="607"/>
      <c r="D1550" s="607"/>
    </row>
    <row r="1551" spans="2:4" x14ac:dyDescent="0.2">
      <c r="B1551" s="606"/>
      <c r="C1551" s="607"/>
      <c r="D1551" s="607"/>
    </row>
    <row r="1552" spans="2:4" x14ac:dyDescent="0.2">
      <c r="B1552" s="606"/>
      <c r="C1552" s="607"/>
      <c r="D1552" s="607"/>
    </row>
    <row r="1553" spans="2:4" x14ac:dyDescent="0.2">
      <c r="B1553" s="606"/>
      <c r="C1553" s="607"/>
      <c r="D1553" s="607"/>
    </row>
    <row r="1554" spans="2:4" x14ac:dyDescent="0.2">
      <c r="B1554" s="606"/>
      <c r="C1554" s="607"/>
      <c r="D1554" s="607"/>
    </row>
    <row r="1555" spans="2:4" x14ac:dyDescent="0.2">
      <c r="B1555" s="606"/>
      <c r="C1555" s="607"/>
      <c r="D1555" s="607"/>
    </row>
    <row r="1556" spans="2:4" x14ac:dyDescent="0.2">
      <c r="B1556" s="606"/>
      <c r="C1556" s="607"/>
      <c r="D1556" s="607"/>
    </row>
    <row r="1557" spans="2:4" x14ac:dyDescent="0.2">
      <c r="B1557" s="606"/>
      <c r="C1557" s="607"/>
      <c r="D1557" s="607"/>
    </row>
    <row r="1558" spans="2:4" x14ac:dyDescent="0.2">
      <c r="B1558" s="606"/>
      <c r="C1558" s="607"/>
      <c r="D1558" s="607"/>
    </row>
    <row r="1559" spans="2:4" x14ac:dyDescent="0.2">
      <c r="B1559" s="606"/>
      <c r="C1559" s="607"/>
      <c r="D1559" s="607"/>
    </row>
    <row r="1560" spans="2:4" x14ac:dyDescent="0.2">
      <c r="B1560" s="606"/>
      <c r="C1560" s="607"/>
      <c r="D1560" s="607"/>
    </row>
    <row r="1561" spans="2:4" x14ac:dyDescent="0.2">
      <c r="B1561" s="606"/>
      <c r="C1561" s="607"/>
      <c r="D1561" s="607"/>
    </row>
    <row r="1562" spans="2:4" x14ac:dyDescent="0.2">
      <c r="B1562" s="606"/>
      <c r="C1562" s="607"/>
      <c r="D1562" s="607"/>
    </row>
    <row r="1563" spans="2:4" x14ac:dyDescent="0.2">
      <c r="B1563" s="606"/>
      <c r="C1563" s="607"/>
      <c r="D1563" s="607"/>
    </row>
    <row r="1564" spans="2:4" x14ac:dyDescent="0.2">
      <c r="B1564" s="606"/>
      <c r="C1564" s="607"/>
      <c r="D1564" s="607"/>
    </row>
    <row r="1565" spans="2:4" x14ac:dyDescent="0.2">
      <c r="B1565" s="606"/>
      <c r="C1565" s="607"/>
      <c r="D1565" s="607"/>
    </row>
    <row r="1566" spans="2:4" x14ac:dyDescent="0.2">
      <c r="B1566" s="606"/>
      <c r="C1566" s="607"/>
      <c r="D1566" s="607"/>
    </row>
    <row r="1567" spans="2:4" x14ac:dyDescent="0.2">
      <c r="B1567" s="606"/>
      <c r="C1567" s="607"/>
      <c r="D1567" s="607"/>
    </row>
    <row r="1568" spans="2:4" x14ac:dyDescent="0.2">
      <c r="B1568" s="606"/>
      <c r="C1568" s="607"/>
      <c r="D1568" s="607"/>
    </row>
    <row r="1569" spans="2:4" x14ac:dyDescent="0.2">
      <c r="B1569" s="606"/>
      <c r="C1569" s="607"/>
      <c r="D1569" s="607"/>
    </row>
    <row r="1570" spans="2:4" x14ac:dyDescent="0.2">
      <c r="B1570" s="606"/>
      <c r="C1570" s="607"/>
      <c r="D1570" s="607"/>
    </row>
    <row r="1571" spans="2:4" x14ac:dyDescent="0.2">
      <c r="B1571" s="606"/>
      <c r="C1571" s="607"/>
      <c r="D1571" s="607"/>
    </row>
    <row r="1572" spans="2:4" x14ac:dyDescent="0.2">
      <c r="B1572" s="606"/>
      <c r="C1572" s="607"/>
      <c r="D1572" s="607"/>
    </row>
    <row r="1573" spans="2:4" x14ac:dyDescent="0.2">
      <c r="B1573" s="606"/>
      <c r="C1573" s="607"/>
      <c r="D1573" s="607"/>
    </row>
    <row r="1574" spans="2:4" x14ac:dyDescent="0.2">
      <c r="B1574" s="606"/>
      <c r="C1574" s="607"/>
      <c r="D1574" s="607"/>
    </row>
    <row r="1575" spans="2:4" x14ac:dyDescent="0.2">
      <c r="B1575" s="606"/>
      <c r="C1575" s="607"/>
      <c r="D1575" s="607"/>
    </row>
    <row r="1576" spans="2:4" x14ac:dyDescent="0.2">
      <c r="B1576" s="606"/>
      <c r="C1576" s="607"/>
      <c r="D1576" s="607"/>
    </row>
    <row r="1577" spans="2:4" x14ac:dyDescent="0.2">
      <c r="B1577" s="606"/>
      <c r="C1577" s="607"/>
      <c r="D1577" s="607"/>
    </row>
    <row r="1578" spans="2:4" x14ac:dyDescent="0.2">
      <c r="B1578" s="606"/>
      <c r="C1578" s="607"/>
      <c r="D1578" s="607"/>
    </row>
    <row r="1579" spans="2:4" x14ac:dyDescent="0.2">
      <c r="B1579" s="606"/>
      <c r="C1579" s="607"/>
      <c r="D1579" s="607"/>
    </row>
    <row r="1580" spans="2:4" x14ac:dyDescent="0.2">
      <c r="B1580" s="606"/>
      <c r="C1580" s="607"/>
      <c r="D1580" s="607"/>
    </row>
    <row r="1581" spans="2:4" x14ac:dyDescent="0.2">
      <c r="B1581" s="606"/>
      <c r="C1581" s="607"/>
      <c r="D1581" s="607"/>
    </row>
    <row r="1582" spans="2:4" x14ac:dyDescent="0.2">
      <c r="B1582" s="606"/>
      <c r="C1582" s="607"/>
      <c r="D1582" s="607"/>
    </row>
    <row r="1583" spans="2:4" x14ac:dyDescent="0.2">
      <c r="B1583" s="606"/>
      <c r="C1583" s="607"/>
      <c r="D1583" s="607"/>
    </row>
    <row r="1584" spans="2:4" x14ac:dyDescent="0.2">
      <c r="B1584" s="606"/>
      <c r="C1584" s="607"/>
      <c r="D1584" s="607"/>
    </row>
    <row r="1585" spans="2:4" x14ac:dyDescent="0.2">
      <c r="B1585" s="606"/>
      <c r="C1585" s="607"/>
      <c r="D1585" s="607"/>
    </row>
    <row r="1586" spans="2:4" x14ac:dyDescent="0.2">
      <c r="B1586" s="606"/>
      <c r="C1586" s="607"/>
      <c r="D1586" s="607"/>
    </row>
    <row r="1587" spans="2:4" x14ac:dyDescent="0.2">
      <c r="B1587" s="606"/>
      <c r="C1587" s="607"/>
      <c r="D1587" s="607"/>
    </row>
    <row r="1588" spans="2:4" x14ac:dyDescent="0.2">
      <c r="B1588" s="606"/>
      <c r="C1588" s="607"/>
      <c r="D1588" s="607"/>
    </row>
    <row r="1589" spans="2:4" x14ac:dyDescent="0.2">
      <c r="B1589" s="606"/>
      <c r="C1589" s="607"/>
      <c r="D1589" s="607"/>
    </row>
    <row r="1590" spans="2:4" x14ac:dyDescent="0.2">
      <c r="B1590" s="606"/>
      <c r="C1590" s="607"/>
      <c r="D1590" s="607"/>
    </row>
    <row r="1591" spans="2:4" x14ac:dyDescent="0.2">
      <c r="B1591" s="606"/>
      <c r="C1591" s="607"/>
      <c r="D1591" s="607"/>
    </row>
    <row r="1592" spans="2:4" x14ac:dyDescent="0.2">
      <c r="B1592" s="606"/>
      <c r="C1592" s="607"/>
      <c r="D1592" s="607"/>
    </row>
    <row r="1593" spans="2:4" x14ac:dyDescent="0.2">
      <c r="B1593" s="606"/>
      <c r="C1593" s="607"/>
      <c r="D1593" s="607"/>
    </row>
    <row r="1594" spans="2:4" x14ac:dyDescent="0.2">
      <c r="B1594" s="606"/>
      <c r="C1594" s="607"/>
      <c r="D1594" s="607"/>
    </row>
    <row r="1595" spans="2:4" x14ac:dyDescent="0.2">
      <c r="B1595" s="606"/>
      <c r="C1595" s="607"/>
      <c r="D1595" s="607"/>
    </row>
    <row r="1596" spans="2:4" x14ac:dyDescent="0.2">
      <c r="B1596" s="606"/>
      <c r="C1596" s="607"/>
      <c r="D1596" s="607"/>
    </row>
    <row r="1597" spans="2:4" x14ac:dyDescent="0.2">
      <c r="B1597" s="606"/>
      <c r="C1597" s="607"/>
      <c r="D1597" s="607"/>
    </row>
    <row r="1598" spans="2:4" x14ac:dyDescent="0.2">
      <c r="B1598" s="606"/>
      <c r="C1598" s="607"/>
      <c r="D1598" s="607"/>
    </row>
    <row r="1599" spans="2:4" x14ac:dyDescent="0.2">
      <c r="B1599" s="606"/>
      <c r="C1599" s="607"/>
      <c r="D1599" s="607"/>
    </row>
    <row r="1600" spans="2:4" x14ac:dyDescent="0.2">
      <c r="B1600" s="606"/>
      <c r="C1600" s="607"/>
      <c r="D1600" s="607"/>
    </row>
    <row r="1601" spans="2:4" x14ac:dyDescent="0.2">
      <c r="B1601" s="606"/>
      <c r="C1601" s="607"/>
      <c r="D1601" s="607"/>
    </row>
    <row r="1602" spans="2:4" x14ac:dyDescent="0.2">
      <c r="B1602" s="606"/>
      <c r="C1602" s="607"/>
      <c r="D1602" s="607"/>
    </row>
    <row r="1603" spans="2:4" x14ac:dyDescent="0.2">
      <c r="B1603" s="606"/>
      <c r="C1603" s="607"/>
      <c r="D1603" s="607"/>
    </row>
    <row r="1604" spans="2:4" x14ac:dyDescent="0.2">
      <c r="B1604" s="606"/>
      <c r="C1604" s="607"/>
      <c r="D1604" s="607"/>
    </row>
    <row r="1605" spans="2:4" x14ac:dyDescent="0.2">
      <c r="B1605" s="606"/>
      <c r="C1605" s="607"/>
      <c r="D1605" s="607"/>
    </row>
    <row r="1606" spans="2:4" x14ac:dyDescent="0.2">
      <c r="B1606" s="606"/>
      <c r="C1606" s="607"/>
      <c r="D1606" s="607"/>
    </row>
    <row r="1607" spans="2:4" x14ac:dyDescent="0.2">
      <c r="B1607" s="606"/>
      <c r="C1607" s="607"/>
      <c r="D1607" s="607"/>
    </row>
    <row r="1608" spans="2:4" x14ac:dyDescent="0.2">
      <c r="B1608" s="606"/>
      <c r="C1608" s="607"/>
      <c r="D1608" s="607"/>
    </row>
    <row r="1609" spans="2:4" x14ac:dyDescent="0.2">
      <c r="B1609" s="606"/>
      <c r="C1609" s="607"/>
      <c r="D1609" s="607"/>
    </row>
    <row r="1610" spans="2:4" x14ac:dyDescent="0.2">
      <c r="B1610" s="606"/>
      <c r="C1610" s="607"/>
      <c r="D1610" s="607"/>
    </row>
    <row r="1611" spans="2:4" x14ac:dyDescent="0.2">
      <c r="B1611" s="606"/>
      <c r="C1611" s="607"/>
      <c r="D1611" s="607"/>
    </row>
    <row r="1612" spans="2:4" x14ac:dyDescent="0.2">
      <c r="B1612" s="606"/>
      <c r="C1612" s="607"/>
      <c r="D1612" s="607"/>
    </row>
    <row r="1613" spans="2:4" x14ac:dyDescent="0.2">
      <c r="B1613" s="606"/>
      <c r="C1613" s="607"/>
      <c r="D1613" s="607"/>
    </row>
    <row r="1614" spans="2:4" x14ac:dyDescent="0.2">
      <c r="B1614" s="606"/>
      <c r="C1614" s="607"/>
      <c r="D1614" s="607"/>
    </row>
    <row r="1615" spans="2:4" x14ac:dyDescent="0.2">
      <c r="B1615" s="606"/>
      <c r="C1615" s="607"/>
      <c r="D1615" s="607"/>
    </row>
    <row r="1616" spans="2:4" x14ac:dyDescent="0.2">
      <c r="B1616" s="606"/>
      <c r="C1616" s="607"/>
      <c r="D1616" s="607"/>
    </row>
    <row r="1617" spans="2:4" x14ac:dyDescent="0.2">
      <c r="B1617" s="606"/>
      <c r="C1617" s="607"/>
      <c r="D1617" s="607"/>
    </row>
    <row r="1618" spans="2:4" x14ac:dyDescent="0.2">
      <c r="B1618" s="606"/>
      <c r="C1618" s="607"/>
      <c r="D1618" s="607"/>
    </row>
    <row r="1619" spans="2:4" x14ac:dyDescent="0.2">
      <c r="B1619" s="606"/>
      <c r="C1619" s="607"/>
      <c r="D1619" s="607"/>
    </row>
    <row r="1620" spans="2:4" x14ac:dyDescent="0.2">
      <c r="B1620" s="606"/>
      <c r="C1620" s="607"/>
      <c r="D1620" s="607"/>
    </row>
    <row r="1621" spans="2:4" x14ac:dyDescent="0.2">
      <c r="B1621" s="606"/>
      <c r="C1621" s="607"/>
      <c r="D1621" s="607"/>
    </row>
    <row r="1622" spans="2:4" x14ac:dyDescent="0.2">
      <c r="B1622" s="606"/>
      <c r="C1622" s="607"/>
      <c r="D1622" s="607"/>
    </row>
    <row r="1623" spans="2:4" x14ac:dyDescent="0.2">
      <c r="B1623" s="606"/>
      <c r="C1623" s="607"/>
      <c r="D1623" s="607"/>
    </row>
    <row r="1624" spans="2:4" x14ac:dyDescent="0.2">
      <c r="B1624" s="606"/>
      <c r="C1624" s="607"/>
      <c r="D1624" s="607"/>
    </row>
    <row r="1625" spans="2:4" x14ac:dyDescent="0.2">
      <c r="B1625" s="606"/>
      <c r="C1625" s="607"/>
      <c r="D1625" s="607"/>
    </row>
    <row r="1626" spans="2:4" x14ac:dyDescent="0.2">
      <c r="B1626" s="606"/>
      <c r="C1626" s="607"/>
      <c r="D1626" s="607"/>
    </row>
    <row r="1627" spans="2:4" x14ac:dyDescent="0.2">
      <c r="B1627" s="606"/>
      <c r="C1627" s="607"/>
      <c r="D1627" s="607"/>
    </row>
    <row r="1628" spans="2:4" x14ac:dyDescent="0.2">
      <c r="B1628" s="606"/>
      <c r="C1628" s="607"/>
      <c r="D1628" s="607"/>
    </row>
    <row r="1629" spans="2:4" x14ac:dyDescent="0.2">
      <c r="B1629" s="606"/>
      <c r="C1629" s="607"/>
      <c r="D1629" s="607"/>
    </row>
    <row r="1630" spans="2:4" x14ac:dyDescent="0.2">
      <c r="B1630" s="606"/>
      <c r="C1630" s="607"/>
      <c r="D1630" s="607"/>
    </row>
    <row r="1631" spans="2:4" x14ac:dyDescent="0.2">
      <c r="B1631" s="606"/>
      <c r="C1631" s="607"/>
      <c r="D1631" s="607"/>
    </row>
    <row r="1632" spans="2:4" x14ac:dyDescent="0.2">
      <c r="B1632" s="606"/>
      <c r="C1632" s="607"/>
      <c r="D1632" s="607"/>
    </row>
    <row r="1633" spans="2:4" x14ac:dyDescent="0.2">
      <c r="B1633" s="606"/>
      <c r="C1633" s="607"/>
      <c r="D1633" s="607"/>
    </row>
    <row r="1634" spans="2:4" x14ac:dyDescent="0.2">
      <c r="B1634" s="606"/>
      <c r="C1634" s="607"/>
      <c r="D1634" s="607"/>
    </row>
    <row r="1635" spans="2:4" x14ac:dyDescent="0.2">
      <c r="B1635" s="606"/>
      <c r="C1635" s="607"/>
      <c r="D1635" s="607"/>
    </row>
    <row r="1636" spans="2:4" x14ac:dyDescent="0.2">
      <c r="B1636" s="606"/>
      <c r="C1636" s="607"/>
      <c r="D1636" s="607"/>
    </row>
    <row r="1637" spans="2:4" x14ac:dyDescent="0.2">
      <c r="B1637" s="606"/>
      <c r="C1637" s="607"/>
      <c r="D1637" s="607"/>
    </row>
    <row r="1638" spans="2:4" x14ac:dyDescent="0.2">
      <c r="B1638" s="606"/>
      <c r="C1638" s="607"/>
      <c r="D1638" s="607"/>
    </row>
    <row r="1639" spans="2:4" x14ac:dyDescent="0.2">
      <c r="B1639" s="606"/>
      <c r="C1639" s="607"/>
      <c r="D1639" s="607"/>
    </row>
    <row r="1640" spans="2:4" x14ac:dyDescent="0.2">
      <c r="B1640" s="606"/>
      <c r="C1640" s="607"/>
      <c r="D1640" s="607"/>
    </row>
    <row r="1641" spans="2:4" x14ac:dyDescent="0.2">
      <c r="B1641" s="606"/>
      <c r="C1641" s="607"/>
      <c r="D1641" s="607"/>
    </row>
    <row r="1642" spans="2:4" x14ac:dyDescent="0.2">
      <c r="B1642" s="606"/>
      <c r="C1642" s="607"/>
      <c r="D1642" s="607"/>
    </row>
    <row r="1643" spans="2:4" x14ac:dyDescent="0.2">
      <c r="B1643" s="606"/>
      <c r="C1643" s="607"/>
      <c r="D1643" s="607"/>
    </row>
    <row r="1644" spans="2:4" x14ac:dyDescent="0.2">
      <c r="B1644" s="606"/>
      <c r="C1644" s="607"/>
      <c r="D1644" s="607"/>
    </row>
    <row r="1645" spans="2:4" x14ac:dyDescent="0.2">
      <c r="B1645" s="606"/>
      <c r="C1645" s="607"/>
      <c r="D1645" s="607"/>
    </row>
    <row r="1646" spans="2:4" x14ac:dyDescent="0.2">
      <c r="B1646" s="606"/>
      <c r="C1646" s="607"/>
      <c r="D1646" s="607"/>
    </row>
    <row r="1647" spans="2:4" x14ac:dyDescent="0.2">
      <c r="B1647" s="606"/>
      <c r="C1647" s="607"/>
      <c r="D1647" s="607"/>
    </row>
    <row r="1648" spans="2:4" x14ac:dyDescent="0.2">
      <c r="B1648" s="606"/>
      <c r="C1648" s="607"/>
      <c r="D1648" s="607"/>
    </row>
    <row r="1649" spans="2:4" x14ac:dyDescent="0.2">
      <c r="B1649" s="606"/>
      <c r="C1649" s="607"/>
      <c r="D1649" s="607"/>
    </row>
    <row r="1650" spans="2:4" x14ac:dyDescent="0.2">
      <c r="B1650" s="606"/>
      <c r="C1650" s="607"/>
      <c r="D1650" s="607"/>
    </row>
    <row r="1651" spans="2:4" x14ac:dyDescent="0.2">
      <c r="B1651" s="606"/>
      <c r="C1651" s="607"/>
      <c r="D1651" s="607"/>
    </row>
    <row r="1652" spans="2:4" x14ac:dyDescent="0.2">
      <c r="B1652" s="606"/>
      <c r="C1652" s="607"/>
      <c r="D1652" s="607"/>
    </row>
    <row r="1653" spans="2:4" x14ac:dyDescent="0.2">
      <c r="B1653" s="606"/>
      <c r="C1653" s="607"/>
      <c r="D1653" s="607"/>
    </row>
    <row r="1654" spans="2:4" x14ac:dyDescent="0.2">
      <c r="B1654" s="606"/>
      <c r="C1654" s="607"/>
      <c r="D1654" s="607"/>
    </row>
    <row r="1655" spans="2:4" x14ac:dyDescent="0.2">
      <c r="B1655" s="606"/>
      <c r="C1655" s="607"/>
      <c r="D1655" s="607"/>
    </row>
    <row r="1656" spans="2:4" x14ac:dyDescent="0.2">
      <c r="B1656" s="606"/>
      <c r="C1656" s="607"/>
      <c r="D1656" s="607"/>
    </row>
    <row r="1657" spans="2:4" x14ac:dyDescent="0.2">
      <c r="B1657" s="606"/>
      <c r="C1657" s="607"/>
      <c r="D1657" s="607"/>
    </row>
    <row r="1658" spans="2:4" x14ac:dyDescent="0.2">
      <c r="B1658" s="606"/>
      <c r="C1658" s="607"/>
      <c r="D1658" s="607"/>
    </row>
    <row r="1659" spans="2:4" x14ac:dyDescent="0.2">
      <c r="B1659" s="606"/>
      <c r="C1659" s="607"/>
      <c r="D1659" s="607"/>
    </row>
    <row r="1660" spans="2:4" x14ac:dyDescent="0.2">
      <c r="B1660" s="606"/>
      <c r="C1660" s="607"/>
      <c r="D1660" s="607"/>
    </row>
    <row r="1661" spans="2:4" x14ac:dyDescent="0.2">
      <c r="B1661" s="606"/>
      <c r="C1661" s="607"/>
      <c r="D1661" s="607"/>
    </row>
    <row r="1662" spans="2:4" x14ac:dyDescent="0.2">
      <c r="B1662" s="606"/>
      <c r="C1662" s="607"/>
      <c r="D1662" s="607"/>
    </row>
    <row r="1663" spans="2:4" x14ac:dyDescent="0.2">
      <c r="B1663" s="606"/>
      <c r="C1663" s="607"/>
      <c r="D1663" s="607"/>
    </row>
    <row r="1664" spans="2:4" x14ac:dyDescent="0.2">
      <c r="B1664" s="606"/>
      <c r="C1664" s="607"/>
      <c r="D1664" s="607"/>
    </row>
    <row r="1665" spans="2:4" x14ac:dyDescent="0.2">
      <c r="B1665" s="606"/>
      <c r="C1665" s="607"/>
      <c r="D1665" s="607"/>
    </row>
    <row r="1666" spans="2:4" x14ac:dyDescent="0.2">
      <c r="B1666" s="606"/>
      <c r="C1666" s="607"/>
      <c r="D1666" s="607"/>
    </row>
    <row r="1667" spans="2:4" x14ac:dyDescent="0.2">
      <c r="B1667" s="606"/>
      <c r="C1667" s="607"/>
      <c r="D1667" s="607"/>
    </row>
    <row r="1668" spans="2:4" x14ac:dyDescent="0.2">
      <c r="B1668" s="606"/>
      <c r="C1668" s="607"/>
      <c r="D1668" s="607"/>
    </row>
    <row r="1669" spans="2:4" x14ac:dyDescent="0.2">
      <c r="B1669" s="606"/>
      <c r="C1669" s="607"/>
      <c r="D1669" s="607"/>
    </row>
    <row r="1670" spans="2:4" x14ac:dyDescent="0.2">
      <c r="B1670" s="606"/>
      <c r="C1670" s="607"/>
      <c r="D1670" s="607"/>
    </row>
    <row r="1671" spans="2:4" x14ac:dyDescent="0.2">
      <c r="B1671" s="606"/>
      <c r="C1671" s="607"/>
      <c r="D1671" s="607"/>
    </row>
    <row r="1672" spans="2:4" x14ac:dyDescent="0.2">
      <c r="B1672" s="606"/>
      <c r="C1672" s="607"/>
      <c r="D1672" s="607"/>
    </row>
    <row r="1673" spans="2:4" x14ac:dyDescent="0.2">
      <c r="B1673" s="606"/>
      <c r="C1673" s="607"/>
      <c r="D1673" s="607"/>
    </row>
    <row r="1674" spans="2:4" x14ac:dyDescent="0.2">
      <c r="B1674" s="606"/>
      <c r="C1674" s="607"/>
      <c r="D1674" s="607"/>
    </row>
    <row r="1675" spans="2:4" x14ac:dyDescent="0.2">
      <c r="B1675" s="606"/>
      <c r="C1675" s="607"/>
      <c r="D1675" s="607"/>
    </row>
    <row r="1676" spans="2:4" x14ac:dyDescent="0.2">
      <c r="B1676" s="606"/>
      <c r="C1676" s="607"/>
      <c r="D1676" s="607"/>
    </row>
    <row r="1677" spans="2:4" x14ac:dyDescent="0.2">
      <c r="B1677" s="606"/>
      <c r="C1677" s="607"/>
      <c r="D1677" s="607"/>
    </row>
    <row r="1678" spans="2:4" x14ac:dyDescent="0.2">
      <c r="B1678" s="606"/>
      <c r="C1678" s="607"/>
      <c r="D1678" s="607"/>
    </row>
    <row r="1679" spans="2:4" x14ac:dyDescent="0.2">
      <c r="B1679" s="606"/>
      <c r="C1679" s="607"/>
      <c r="D1679" s="607"/>
    </row>
    <row r="1680" spans="2:4" x14ac:dyDescent="0.2">
      <c r="B1680" s="606"/>
      <c r="C1680" s="607"/>
      <c r="D1680" s="607"/>
    </row>
    <row r="1681" spans="2:4" x14ac:dyDescent="0.2">
      <c r="B1681" s="606"/>
      <c r="C1681" s="607"/>
      <c r="D1681" s="607"/>
    </row>
    <row r="1682" spans="2:4" x14ac:dyDescent="0.2">
      <c r="B1682" s="606"/>
      <c r="C1682" s="607"/>
      <c r="D1682" s="607"/>
    </row>
    <row r="1683" spans="2:4" x14ac:dyDescent="0.2">
      <c r="B1683" s="606"/>
      <c r="C1683" s="607"/>
      <c r="D1683" s="607"/>
    </row>
    <row r="1684" spans="2:4" x14ac:dyDescent="0.2">
      <c r="B1684" s="606"/>
      <c r="C1684" s="607"/>
      <c r="D1684" s="607"/>
    </row>
    <row r="1685" spans="2:4" x14ac:dyDescent="0.2">
      <c r="B1685" s="606"/>
      <c r="C1685" s="607"/>
      <c r="D1685" s="607"/>
    </row>
    <row r="1686" spans="2:4" x14ac:dyDescent="0.2">
      <c r="B1686" s="606"/>
      <c r="C1686" s="607"/>
      <c r="D1686" s="607"/>
    </row>
    <row r="1687" spans="2:4" x14ac:dyDescent="0.2">
      <c r="B1687" s="606"/>
      <c r="C1687" s="607"/>
      <c r="D1687" s="607"/>
    </row>
    <row r="1688" spans="2:4" x14ac:dyDescent="0.2">
      <c r="B1688" s="606"/>
      <c r="C1688" s="607"/>
      <c r="D1688" s="607"/>
    </row>
    <row r="1689" spans="2:4" x14ac:dyDescent="0.2">
      <c r="B1689" s="606"/>
      <c r="C1689" s="607"/>
      <c r="D1689" s="607"/>
    </row>
    <row r="1690" spans="2:4" x14ac:dyDescent="0.2">
      <c r="B1690" s="606"/>
      <c r="C1690" s="607"/>
      <c r="D1690" s="607"/>
    </row>
    <row r="1691" spans="2:4" x14ac:dyDescent="0.2">
      <c r="B1691" s="606"/>
      <c r="C1691" s="607"/>
      <c r="D1691" s="607"/>
    </row>
    <row r="1692" spans="2:4" x14ac:dyDescent="0.2">
      <c r="B1692" s="606"/>
      <c r="C1692" s="607"/>
      <c r="D1692" s="607"/>
    </row>
    <row r="1693" spans="2:4" x14ac:dyDescent="0.2">
      <c r="B1693" s="606"/>
      <c r="C1693" s="607"/>
      <c r="D1693" s="607"/>
    </row>
    <row r="1694" spans="2:4" x14ac:dyDescent="0.2">
      <c r="B1694" s="606"/>
      <c r="C1694" s="607"/>
      <c r="D1694" s="607"/>
    </row>
    <row r="1695" spans="2:4" x14ac:dyDescent="0.2">
      <c r="B1695" s="606"/>
      <c r="C1695" s="607"/>
      <c r="D1695" s="607"/>
    </row>
    <row r="1696" spans="2:4" x14ac:dyDescent="0.2">
      <c r="B1696" s="606"/>
      <c r="C1696" s="607"/>
      <c r="D1696" s="607"/>
    </row>
    <row r="1697" spans="2:4" x14ac:dyDescent="0.2">
      <c r="B1697" s="606"/>
      <c r="C1697" s="607"/>
      <c r="D1697" s="607"/>
    </row>
    <row r="1698" spans="2:4" x14ac:dyDescent="0.2">
      <c r="B1698" s="606"/>
      <c r="C1698" s="607"/>
      <c r="D1698" s="607"/>
    </row>
    <row r="1699" spans="2:4" x14ac:dyDescent="0.2">
      <c r="B1699" s="606"/>
      <c r="C1699" s="607"/>
      <c r="D1699" s="607"/>
    </row>
    <row r="1700" spans="2:4" x14ac:dyDescent="0.2">
      <c r="B1700" s="606"/>
      <c r="C1700" s="607"/>
      <c r="D1700" s="607"/>
    </row>
    <row r="1701" spans="2:4" x14ac:dyDescent="0.2">
      <c r="B1701" s="606"/>
      <c r="C1701" s="607"/>
      <c r="D1701" s="607"/>
    </row>
    <row r="1702" spans="2:4" x14ac:dyDescent="0.2">
      <c r="B1702" s="606"/>
      <c r="C1702" s="607"/>
      <c r="D1702" s="607"/>
    </row>
    <row r="1703" spans="2:4" x14ac:dyDescent="0.2">
      <c r="B1703" s="606"/>
      <c r="C1703" s="607"/>
      <c r="D1703" s="607"/>
    </row>
    <row r="1704" spans="2:4" x14ac:dyDescent="0.2">
      <c r="B1704" s="606"/>
      <c r="C1704" s="607"/>
      <c r="D1704" s="607"/>
    </row>
    <row r="1705" spans="2:4" x14ac:dyDescent="0.2">
      <c r="B1705" s="606"/>
      <c r="C1705" s="607"/>
      <c r="D1705" s="607"/>
    </row>
    <row r="1706" spans="2:4" x14ac:dyDescent="0.2">
      <c r="B1706" s="606"/>
      <c r="C1706" s="607"/>
      <c r="D1706" s="607"/>
    </row>
    <row r="1707" spans="2:4" x14ac:dyDescent="0.2">
      <c r="B1707" s="606"/>
      <c r="C1707" s="607"/>
      <c r="D1707" s="607"/>
    </row>
    <row r="1708" spans="2:4" x14ac:dyDescent="0.2">
      <c r="B1708" s="606"/>
      <c r="C1708" s="607"/>
      <c r="D1708" s="607"/>
    </row>
    <row r="1709" spans="2:4" x14ac:dyDescent="0.2">
      <c r="B1709" s="606"/>
      <c r="C1709" s="607"/>
      <c r="D1709" s="607"/>
    </row>
    <row r="1710" spans="2:4" x14ac:dyDescent="0.2">
      <c r="B1710" s="606"/>
      <c r="C1710" s="607"/>
      <c r="D1710" s="607"/>
    </row>
    <row r="1711" spans="2:4" x14ac:dyDescent="0.2">
      <c r="B1711" s="606"/>
      <c r="C1711" s="607"/>
      <c r="D1711" s="607"/>
    </row>
    <row r="1712" spans="2:4" x14ac:dyDescent="0.2">
      <c r="B1712" s="606"/>
      <c r="C1712" s="607"/>
      <c r="D1712" s="607"/>
    </row>
    <row r="1713" spans="2:4" x14ac:dyDescent="0.2">
      <c r="B1713" s="606"/>
      <c r="C1713" s="607"/>
      <c r="D1713" s="607"/>
    </row>
    <row r="1714" spans="2:4" x14ac:dyDescent="0.2">
      <c r="B1714" s="606"/>
      <c r="C1714" s="607"/>
      <c r="D1714" s="607"/>
    </row>
    <row r="1715" spans="2:4" x14ac:dyDescent="0.2">
      <c r="B1715" s="606"/>
      <c r="C1715" s="607"/>
      <c r="D1715" s="607"/>
    </row>
    <row r="1716" spans="2:4" x14ac:dyDescent="0.2">
      <c r="B1716" s="606"/>
      <c r="C1716" s="607"/>
      <c r="D1716" s="607"/>
    </row>
    <row r="1717" spans="2:4" x14ac:dyDescent="0.2">
      <c r="B1717" s="606"/>
      <c r="C1717" s="607"/>
      <c r="D1717" s="607"/>
    </row>
    <row r="1718" spans="2:4" x14ac:dyDescent="0.2">
      <c r="B1718" s="606"/>
      <c r="C1718" s="607"/>
      <c r="D1718" s="607"/>
    </row>
    <row r="1719" spans="2:4" x14ac:dyDescent="0.2">
      <c r="B1719" s="606"/>
      <c r="C1719" s="607"/>
      <c r="D1719" s="607"/>
    </row>
    <row r="1720" spans="2:4" x14ac:dyDescent="0.2">
      <c r="B1720" s="606"/>
      <c r="C1720" s="607"/>
      <c r="D1720" s="607"/>
    </row>
    <row r="1721" spans="2:4" x14ac:dyDescent="0.2">
      <c r="B1721" s="606"/>
      <c r="C1721" s="607"/>
      <c r="D1721" s="607"/>
    </row>
    <row r="1722" spans="2:4" x14ac:dyDescent="0.2">
      <c r="B1722" s="606"/>
      <c r="C1722" s="607"/>
      <c r="D1722" s="607"/>
    </row>
    <row r="1723" spans="2:4" x14ac:dyDescent="0.2">
      <c r="B1723" s="606"/>
      <c r="C1723" s="607"/>
      <c r="D1723" s="607"/>
    </row>
    <row r="1724" spans="2:4" x14ac:dyDescent="0.2">
      <c r="B1724" s="606"/>
      <c r="C1724" s="607"/>
      <c r="D1724" s="607"/>
    </row>
    <row r="1725" spans="2:4" x14ac:dyDescent="0.2">
      <c r="B1725" s="606"/>
      <c r="C1725" s="607"/>
      <c r="D1725" s="607"/>
    </row>
    <row r="1726" spans="2:4" x14ac:dyDescent="0.2">
      <c r="B1726" s="606"/>
      <c r="C1726" s="607"/>
      <c r="D1726" s="607"/>
    </row>
    <row r="1727" spans="2:4" x14ac:dyDescent="0.2">
      <c r="B1727" s="606"/>
      <c r="C1727" s="607"/>
      <c r="D1727" s="607"/>
    </row>
    <row r="1728" spans="2:4" x14ac:dyDescent="0.2">
      <c r="B1728" s="606"/>
      <c r="C1728" s="607"/>
      <c r="D1728" s="607"/>
    </row>
    <row r="1729" spans="2:4" x14ac:dyDescent="0.2">
      <c r="B1729" s="606"/>
      <c r="C1729" s="607"/>
      <c r="D1729" s="607"/>
    </row>
    <row r="1730" spans="2:4" x14ac:dyDescent="0.2">
      <c r="B1730" s="606"/>
      <c r="C1730" s="607"/>
      <c r="D1730" s="607"/>
    </row>
    <row r="1731" spans="2:4" x14ac:dyDescent="0.2">
      <c r="B1731" s="606"/>
      <c r="C1731" s="607"/>
      <c r="D1731" s="607"/>
    </row>
    <row r="1732" spans="2:4" x14ac:dyDescent="0.2">
      <c r="B1732" s="606"/>
      <c r="C1732" s="607"/>
      <c r="D1732" s="607"/>
    </row>
    <row r="1733" spans="2:4" x14ac:dyDescent="0.2">
      <c r="B1733" s="606"/>
      <c r="C1733" s="607"/>
      <c r="D1733" s="607"/>
    </row>
    <row r="1734" spans="2:4" x14ac:dyDescent="0.2">
      <c r="B1734" s="606"/>
      <c r="C1734" s="607"/>
      <c r="D1734" s="607"/>
    </row>
    <row r="1735" spans="2:4" x14ac:dyDescent="0.2">
      <c r="B1735" s="606"/>
      <c r="C1735" s="607"/>
      <c r="D1735" s="607"/>
    </row>
    <row r="1736" spans="2:4" x14ac:dyDescent="0.2">
      <c r="B1736" s="606"/>
      <c r="C1736" s="607"/>
      <c r="D1736" s="607"/>
    </row>
    <row r="1737" spans="2:4" x14ac:dyDescent="0.2">
      <c r="B1737" s="606"/>
      <c r="C1737" s="607"/>
      <c r="D1737" s="607"/>
    </row>
    <row r="1738" spans="2:4" x14ac:dyDescent="0.2">
      <c r="B1738" s="606"/>
      <c r="C1738" s="607"/>
      <c r="D1738" s="607"/>
    </row>
    <row r="1739" spans="2:4" x14ac:dyDescent="0.2">
      <c r="B1739" s="606"/>
      <c r="C1739" s="607"/>
      <c r="D1739" s="607"/>
    </row>
    <row r="1740" spans="2:4" x14ac:dyDescent="0.2">
      <c r="B1740" s="606"/>
      <c r="C1740" s="607"/>
      <c r="D1740" s="607"/>
    </row>
    <row r="1741" spans="2:4" x14ac:dyDescent="0.2">
      <c r="B1741" s="606"/>
      <c r="C1741" s="607"/>
      <c r="D1741" s="607"/>
    </row>
    <row r="1742" spans="2:4" x14ac:dyDescent="0.2">
      <c r="B1742" s="606"/>
      <c r="C1742" s="607"/>
      <c r="D1742" s="607"/>
    </row>
    <row r="1743" spans="2:4" x14ac:dyDescent="0.2">
      <c r="B1743" s="606"/>
      <c r="C1743" s="607"/>
      <c r="D1743" s="607"/>
    </row>
    <row r="1744" spans="2:4" x14ac:dyDescent="0.2">
      <c r="B1744" s="606"/>
      <c r="C1744" s="607"/>
      <c r="D1744" s="607"/>
    </row>
    <row r="1745" spans="2:4" x14ac:dyDescent="0.2">
      <c r="B1745" s="606"/>
      <c r="C1745" s="607"/>
      <c r="D1745" s="607"/>
    </row>
    <row r="1746" spans="2:4" x14ac:dyDescent="0.2">
      <c r="B1746" s="606"/>
      <c r="C1746" s="607"/>
      <c r="D1746" s="607"/>
    </row>
    <row r="1747" spans="2:4" x14ac:dyDescent="0.2">
      <c r="B1747" s="606"/>
      <c r="C1747" s="607"/>
      <c r="D1747" s="607"/>
    </row>
    <row r="1748" spans="2:4" x14ac:dyDescent="0.2">
      <c r="B1748" s="606"/>
      <c r="C1748" s="607"/>
      <c r="D1748" s="607"/>
    </row>
    <row r="1749" spans="2:4" x14ac:dyDescent="0.2">
      <c r="B1749" s="606"/>
      <c r="C1749" s="607"/>
      <c r="D1749" s="607"/>
    </row>
    <row r="1750" spans="2:4" x14ac:dyDescent="0.2">
      <c r="B1750" s="606"/>
      <c r="C1750" s="607"/>
      <c r="D1750" s="607"/>
    </row>
    <row r="1751" spans="2:4" x14ac:dyDescent="0.2">
      <c r="B1751" s="606"/>
      <c r="C1751" s="607"/>
      <c r="D1751" s="607"/>
    </row>
    <row r="1752" spans="2:4" x14ac:dyDescent="0.2">
      <c r="B1752" s="606"/>
      <c r="C1752" s="607"/>
      <c r="D1752" s="607"/>
    </row>
    <row r="1753" spans="2:4" x14ac:dyDescent="0.2">
      <c r="B1753" s="606"/>
      <c r="C1753" s="607"/>
      <c r="D1753" s="607"/>
    </row>
    <row r="1754" spans="2:4" x14ac:dyDescent="0.2">
      <c r="B1754" s="606"/>
      <c r="C1754" s="607"/>
      <c r="D1754" s="607"/>
    </row>
    <row r="1755" spans="2:4" x14ac:dyDescent="0.2">
      <c r="B1755" s="606"/>
      <c r="C1755" s="607"/>
      <c r="D1755" s="607"/>
    </row>
    <row r="1756" spans="2:4" x14ac:dyDescent="0.2">
      <c r="B1756" s="606"/>
      <c r="C1756" s="607"/>
      <c r="D1756" s="607"/>
    </row>
    <row r="1757" spans="2:4" x14ac:dyDescent="0.2">
      <c r="B1757" s="606"/>
      <c r="C1757" s="607"/>
      <c r="D1757" s="607"/>
    </row>
    <row r="1758" spans="2:4" x14ac:dyDescent="0.2">
      <c r="B1758" s="606"/>
      <c r="C1758" s="607"/>
      <c r="D1758" s="607"/>
    </row>
    <row r="1759" spans="2:4" x14ac:dyDescent="0.2">
      <c r="B1759" s="606"/>
      <c r="C1759" s="607"/>
      <c r="D1759" s="607"/>
    </row>
    <row r="1760" spans="2:4" x14ac:dyDescent="0.2">
      <c r="B1760" s="606"/>
      <c r="C1760" s="607"/>
      <c r="D1760" s="607"/>
    </row>
    <row r="1761" spans="2:4" x14ac:dyDescent="0.2">
      <c r="B1761" s="606"/>
      <c r="C1761" s="607"/>
      <c r="D1761" s="607"/>
    </row>
    <row r="1762" spans="2:4" x14ac:dyDescent="0.2">
      <c r="B1762" s="606"/>
      <c r="C1762" s="607"/>
      <c r="D1762" s="607"/>
    </row>
    <row r="1763" spans="2:4" x14ac:dyDescent="0.2">
      <c r="B1763" s="606"/>
      <c r="C1763" s="607"/>
      <c r="D1763" s="607"/>
    </row>
    <row r="1764" spans="2:4" x14ac:dyDescent="0.2">
      <c r="B1764" s="606"/>
      <c r="C1764" s="607"/>
      <c r="D1764" s="607"/>
    </row>
    <row r="1765" spans="2:4" x14ac:dyDescent="0.2">
      <c r="B1765" s="606"/>
      <c r="C1765" s="607"/>
      <c r="D1765" s="607"/>
    </row>
    <row r="1766" spans="2:4" x14ac:dyDescent="0.2">
      <c r="B1766" s="606"/>
      <c r="C1766" s="607"/>
      <c r="D1766" s="607"/>
    </row>
    <row r="1767" spans="2:4" x14ac:dyDescent="0.2">
      <c r="B1767" s="606"/>
      <c r="C1767" s="607"/>
      <c r="D1767" s="607"/>
    </row>
    <row r="1768" spans="2:4" x14ac:dyDescent="0.2">
      <c r="B1768" s="606"/>
      <c r="C1768" s="607"/>
      <c r="D1768" s="607"/>
    </row>
    <row r="1769" spans="2:4" x14ac:dyDescent="0.2">
      <c r="B1769" s="606"/>
      <c r="C1769" s="607"/>
      <c r="D1769" s="607"/>
    </row>
    <row r="1770" spans="2:4" x14ac:dyDescent="0.2">
      <c r="B1770" s="606"/>
      <c r="C1770" s="607"/>
      <c r="D1770" s="607"/>
    </row>
    <row r="1771" spans="2:4" x14ac:dyDescent="0.2">
      <c r="B1771" s="606"/>
      <c r="C1771" s="607"/>
      <c r="D1771" s="607"/>
    </row>
    <row r="1772" spans="2:4" x14ac:dyDescent="0.2">
      <c r="B1772" s="606"/>
      <c r="C1772" s="607"/>
      <c r="D1772" s="607"/>
    </row>
    <row r="1773" spans="2:4" x14ac:dyDescent="0.2">
      <c r="B1773" s="606"/>
      <c r="C1773" s="607"/>
      <c r="D1773" s="607"/>
    </row>
    <row r="1774" spans="2:4" x14ac:dyDescent="0.2">
      <c r="B1774" s="606"/>
      <c r="C1774" s="607"/>
      <c r="D1774" s="607"/>
    </row>
    <row r="1775" spans="2:4" x14ac:dyDescent="0.2">
      <c r="B1775" s="606"/>
      <c r="C1775" s="607"/>
      <c r="D1775" s="607"/>
    </row>
    <row r="1776" spans="2:4" x14ac:dyDescent="0.2">
      <c r="B1776" s="606"/>
      <c r="C1776" s="607"/>
      <c r="D1776" s="607"/>
    </row>
    <row r="1777" spans="2:4" x14ac:dyDescent="0.2">
      <c r="B1777" s="606"/>
      <c r="C1777" s="607"/>
      <c r="D1777" s="607"/>
    </row>
    <row r="1778" spans="2:4" x14ac:dyDescent="0.2">
      <c r="B1778" s="606"/>
      <c r="C1778" s="607"/>
      <c r="D1778" s="607"/>
    </row>
    <row r="1779" spans="2:4" x14ac:dyDescent="0.2">
      <c r="B1779" s="606"/>
      <c r="C1779" s="607"/>
      <c r="D1779" s="607"/>
    </row>
    <row r="1780" spans="2:4" x14ac:dyDescent="0.2">
      <c r="B1780" s="606"/>
      <c r="C1780" s="607"/>
      <c r="D1780" s="607"/>
    </row>
    <row r="1781" spans="2:4" x14ac:dyDescent="0.2">
      <c r="B1781" s="606"/>
      <c r="C1781" s="607"/>
      <c r="D1781" s="607"/>
    </row>
    <row r="1782" spans="2:4" x14ac:dyDescent="0.2">
      <c r="B1782" s="606"/>
      <c r="C1782" s="607"/>
      <c r="D1782" s="607"/>
    </row>
    <row r="1783" spans="2:4" x14ac:dyDescent="0.2">
      <c r="B1783" s="606"/>
      <c r="C1783" s="607"/>
      <c r="D1783" s="607"/>
    </row>
    <row r="1784" spans="2:4" x14ac:dyDescent="0.2">
      <c r="B1784" s="606"/>
      <c r="C1784" s="607"/>
      <c r="D1784" s="607"/>
    </row>
    <row r="1785" spans="2:4" x14ac:dyDescent="0.2">
      <c r="B1785" s="606"/>
      <c r="C1785" s="607"/>
      <c r="D1785" s="607"/>
    </row>
    <row r="1786" spans="2:4" x14ac:dyDescent="0.2">
      <c r="B1786" s="606"/>
      <c r="C1786" s="607"/>
      <c r="D1786" s="607"/>
    </row>
    <row r="1787" spans="2:4" x14ac:dyDescent="0.2">
      <c r="B1787" s="606"/>
      <c r="C1787" s="607"/>
      <c r="D1787" s="607"/>
    </row>
    <row r="1788" spans="2:4" x14ac:dyDescent="0.2">
      <c r="B1788" s="606"/>
      <c r="C1788" s="607"/>
      <c r="D1788" s="607"/>
    </row>
    <row r="1789" spans="2:4" x14ac:dyDescent="0.2">
      <c r="B1789" s="606"/>
      <c r="C1789" s="607"/>
      <c r="D1789" s="607"/>
    </row>
    <row r="1790" spans="2:4" x14ac:dyDescent="0.2">
      <c r="B1790" s="606"/>
      <c r="C1790" s="607"/>
      <c r="D1790" s="607"/>
    </row>
    <row r="1791" spans="2:4" x14ac:dyDescent="0.2">
      <c r="B1791" s="606"/>
      <c r="C1791" s="607"/>
      <c r="D1791" s="607"/>
    </row>
    <row r="1792" spans="2:4" x14ac:dyDescent="0.2">
      <c r="B1792" s="606"/>
      <c r="C1792" s="607"/>
      <c r="D1792" s="607"/>
    </row>
    <row r="1793" spans="2:4" x14ac:dyDescent="0.2">
      <c r="B1793" s="606"/>
      <c r="C1793" s="607"/>
      <c r="D1793" s="607"/>
    </row>
    <row r="1794" spans="2:4" x14ac:dyDescent="0.2">
      <c r="B1794" s="606"/>
      <c r="C1794" s="607"/>
      <c r="D1794" s="607"/>
    </row>
    <row r="1795" spans="2:4" x14ac:dyDescent="0.2">
      <c r="B1795" s="606"/>
      <c r="C1795" s="607"/>
      <c r="D1795" s="607"/>
    </row>
    <row r="1796" spans="2:4" x14ac:dyDescent="0.2">
      <c r="B1796" s="606"/>
      <c r="C1796" s="607"/>
      <c r="D1796" s="607"/>
    </row>
    <row r="1797" spans="2:4" x14ac:dyDescent="0.2">
      <c r="B1797" s="606"/>
      <c r="C1797" s="607"/>
      <c r="D1797" s="607"/>
    </row>
    <row r="1798" spans="2:4" x14ac:dyDescent="0.2">
      <c r="B1798" s="606"/>
      <c r="C1798" s="607"/>
      <c r="D1798" s="607"/>
    </row>
    <row r="1799" spans="2:4" x14ac:dyDescent="0.2">
      <c r="B1799" s="606"/>
      <c r="C1799" s="607"/>
      <c r="D1799" s="607"/>
    </row>
    <row r="1800" spans="2:4" x14ac:dyDescent="0.2">
      <c r="B1800" s="606"/>
      <c r="C1800" s="607"/>
      <c r="D1800" s="607"/>
    </row>
    <row r="1801" spans="2:4" x14ac:dyDescent="0.2">
      <c r="B1801" s="606"/>
      <c r="C1801" s="607"/>
      <c r="D1801" s="607"/>
    </row>
    <row r="1802" spans="2:4" x14ac:dyDescent="0.2">
      <c r="B1802" s="606"/>
      <c r="C1802" s="607"/>
      <c r="D1802" s="607"/>
    </row>
    <row r="1803" spans="2:4" x14ac:dyDescent="0.2">
      <c r="B1803" s="606"/>
      <c r="C1803" s="607"/>
      <c r="D1803" s="607"/>
    </row>
    <row r="1804" spans="2:4" x14ac:dyDescent="0.2">
      <c r="B1804" s="606"/>
      <c r="C1804" s="607"/>
      <c r="D1804" s="607"/>
    </row>
    <row r="1805" spans="2:4" x14ac:dyDescent="0.2">
      <c r="B1805" s="606"/>
      <c r="C1805" s="607"/>
      <c r="D1805" s="607"/>
    </row>
    <row r="1806" spans="2:4" x14ac:dyDescent="0.2">
      <c r="B1806" s="606"/>
      <c r="C1806" s="607"/>
      <c r="D1806" s="607"/>
    </row>
    <row r="1807" spans="2:4" x14ac:dyDescent="0.2">
      <c r="B1807" s="606"/>
      <c r="C1807" s="607"/>
      <c r="D1807" s="607"/>
    </row>
    <row r="1808" spans="2:4" x14ac:dyDescent="0.2">
      <c r="B1808" s="606"/>
      <c r="C1808" s="607"/>
      <c r="D1808" s="607"/>
    </row>
    <row r="1809" spans="2:4" x14ac:dyDescent="0.2">
      <c r="B1809" s="606"/>
      <c r="C1809" s="607"/>
      <c r="D1809" s="607"/>
    </row>
    <row r="1810" spans="2:4" x14ac:dyDescent="0.2">
      <c r="B1810" s="606"/>
      <c r="C1810" s="607"/>
      <c r="D1810" s="607"/>
    </row>
    <row r="1811" spans="2:4" x14ac:dyDescent="0.2">
      <c r="B1811" s="606"/>
      <c r="C1811" s="607"/>
      <c r="D1811" s="607"/>
    </row>
    <row r="1812" spans="2:4" x14ac:dyDescent="0.2">
      <c r="B1812" s="606"/>
      <c r="C1812" s="607"/>
      <c r="D1812" s="607"/>
    </row>
    <row r="1813" spans="2:4" x14ac:dyDescent="0.2">
      <c r="B1813" s="606"/>
      <c r="C1813" s="607"/>
      <c r="D1813" s="607"/>
    </row>
    <row r="1814" spans="2:4" x14ac:dyDescent="0.2">
      <c r="B1814" s="606"/>
      <c r="C1814" s="607"/>
      <c r="D1814" s="607"/>
    </row>
    <row r="1815" spans="2:4" x14ac:dyDescent="0.2">
      <c r="B1815" s="606"/>
      <c r="C1815" s="607"/>
      <c r="D1815" s="607"/>
    </row>
    <row r="1816" spans="2:4" x14ac:dyDescent="0.2">
      <c r="B1816" s="606"/>
      <c r="C1816" s="607"/>
      <c r="D1816" s="607"/>
    </row>
    <row r="1817" spans="2:4" x14ac:dyDescent="0.2">
      <c r="B1817" s="606"/>
      <c r="C1817" s="607"/>
      <c r="D1817" s="607"/>
    </row>
    <row r="1818" spans="2:4" x14ac:dyDescent="0.2">
      <c r="B1818" s="606"/>
      <c r="C1818" s="607"/>
      <c r="D1818" s="607"/>
    </row>
    <row r="1819" spans="2:4" x14ac:dyDescent="0.2">
      <c r="B1819" s="606"/>
      <c r="C1819" s="607"/>
      <c r="D1819" s="607"/>
    </row>
    <row r="1820" spans="2:4" x14ac:dyDescent="0.2">
      <c r="B1820" s="606"/>
      <c r="C1820" s="607"/>
      <c r="D1820" s="607"/>
    </row>
    <row r="1821" spans="2:4" x14ac:dyDescent="0.2">
      <c r="B1821" s="606"/>
      <c r="C1821" s="607"/>
      <c r="D1821" s="607"/>
    </row>
    <row r="1822" spans="2:4" x14ac:dyDescent="0.2">
      <c r="B1822" s="606"/>
      <c r="C1822" s="607"/>
      <c r="D1822" s="607"/>
    </row>
    <row r="1823" spans="2:4" x14ac:dyDescent="0.2">
      <c r="B1823" s="606"/>
      <c r="C1823" s="607"/>
      <c r="D1823" s="607"/>
    </row>
    <row r="1824" spans="2:4" x14ac:dyDescent="0.2">
      <c r="B1824" s="606"/>
      <c r="C1824" s="607"/>
      <c r="D1824" s="607"/>
    </row>
    <row r="1825" spans="2:4" x14ac:dyDescent="0.2">
      <c r="B1825" s="606"/>
      <c r="C1825" s="607"/>
      <c r="D1825" s="607"/>
    </row>
    <row r="1826" spans="2:4" x14ac:dyDescent="0.2">
      <c r="B1826" s="606"/>
      <c r="C1826" s="607"/>
      <c r="D1826" s="607"/>
    </row>
    <row r="1827" spans="2:4" x14ac:dyDescent="0.2">
      <c r="B1827" s="606"/>
      <c r="C1827" s="607"/>
      <c r="D1827" s="607"/>
    </row>
    <row r="1828" spans="2:4" x14ac:dyDescent="0.2">
      <c r="B1828" s="606"/>
      <c r="C1828" s="607"/>
      <c r="D1828" s="607"/>
    </row>
    <row r="1829" spans="2:4" x14ac:dyDescent="0.2">
      <c r="B1829" s="606"/>
      <c r="C1829" s="607"/>
      <c r="D1829" s="607"/>
    </row>
    <row r="1830" spans="2:4" x14ac:dyDescent="0.2">
      <c r="B1830" s="606"/>
      <c r="C1830" s="607"/>
      <c r="D1830" s="607"/>
    </row>
    <row r="1831" spans="2:4" x14ac:dyDescent="0.2">
      <c r="B1831" s="606"/>
      <c r="C1831" s="607"/>
      <c r="D1831" s="607"/>
    </row>
    <row r="1832" spans="2:4" x14ac:dyDescent="0.2">
      <c r="B1832" s="606"/>
      <c r="C1832" s="607"/>
      <c r="D1832" s="607"/>
    </row>
    <row r="1833" spans="2:4" x14ac:dyDescent="0.2">
      <c r="B1833" s="606"/>
      <c r="C1833" s="607"/>
      <c r="D1833" s="607"/>
    </row>
    <row r="1834" spans="2:4" x14ac:dyDescent="0.2">
      <c r="B1834" s="606"/>
      <c r="C1834" s="607"/>
      <c r="D1834" s="607"/>
    </row>
    <row r="1835" spans="2:4" x14ac:dyDescent="0.2">
      <c r="B1835" s="606"/>
      <c r="C1835" s="607"/>
      <c r="D1835" s="607"/>
    </row>
    <row r="1836" spans="2:4" x14ac:dyDescent="0.2">
      <c r="B1836" s="606"/>
      <c r="C1836" s="607"/>
      <c r="D1836" s="607"/>
    </row>
    <row r="1837" spans="2:4" x14ac:dyDescent="0.2">
      <c r="B1837" s="606"/>
      <c r="C1837" s="607"/>
      <c r="D1837" s="607"/>
    </row>
    <row r="1838" spans="2:4" x14ac:dyDescent="0.2">
      <c r="B1838" s="606"/>
      <c r="C1838" s="607"/>
      <c r="D1838" s="607"/>
    </row>
    <row r="1839" spans="2:4" x14ac:dyDescent="0.2">
      <c r="B1839" s="606"/>
      <c r="C1839" s="607"/>
      <c r="D1839" s="607"/>
    </row>
    <row r="1840" spans="2:4" x14ac:dyDescent="0.2">
      <c r="B1840" s="606"/>
      <c r="C1840" s="607"/>
      <c r="D1840" s="607"/>
    </row>
    <row r="1841" spans="2:4" x14ac:dyDescent="0.2">
      <c r="B1841" s="606"/>
      <c r="C1841" s="607"/>
      <c r="D1841" s="607"/>
    </row>
    <row r="1842" spans="2:4" x14ac:dyDescent="0.2">
      <c r="B1842" s="606"/>
      <c r="C1842" s="607"/>
      <c r="D1842" s="607"/>
    </row>
    <row r="1843" spans="2:4" x14ac:dyDescent="0.2">
      <c r="B1843" s="606"/>
      <c r="C1843" s="607"/>
      <c r="D1843" s="607"/>
    </row>
    <row r="1844" spans="2:4" x14ac:dyDescent="0.2">
      <c r="B1844" s="606"/>
      <c r="C1844" s="607"/>
      <c r="D1844" s="607"/>
    </row>
    <row r="1845" spans="2:4" x14ac:dyDescent="0.2">
      <c r="B1845" s="606"/>
      <c r="C1845" s="607"/>
      <c r="D1845" s="607"/>
    </row>
    <row r="1846" spans="2:4" x14ac:dyDescent="0.2">
      <c r="B1846" s="606"/>
      <c r="C1846" s="607"/>
      <c r="D1846" s="607"/>
    </row>
    <row r="1847" spans="2:4" x14ac:dyDescent="0.2">
      <c r="B1847" s="606"/>
      <c r="C1847" s="607"/>
      <c r="D1847" s="607"/>
    </row>
    <row r="1848" spans="2:4" x14ac:dyDescent="0.2">
      <c r="B1848" s="606"/>
      <c r="C1848" s="607"/>
      <c r="D1848" s="607"/>
    </row>
    <row r="1849" spans="2:4" x14ac:dyDescent="0.2">
      <c r="B1849" s="606"/>
      <c r="C1849" s="607"/>
      <c r="D1849" s="607"/>
    </row>
    <row r="1850" spans="2:4" x14ac:dyDescent="0.2">
      <c r="B1850" s="606"/>
      <c r="C1850" s="607"/>
      <c r="D1850" s="607"/>
    </row>
    <row r="1851" spans="2:4" x14ac:dyDescent="0.2">
      <c r="B1851" s="606"/>
      <c r="C1851" s="607"/>
      <c r="D1851" s="607"/>
    </row>
    <row r="1852" spans="2:4" x14ac:dyDescent="0.2">
      <c r="B1852" s="606"/>
      <c r="C1852" s="607"/>
      <c r="D1852" s="607"/>
    </row>
    <row r="1853" spans="2:4" x14ac:dyDescent="0.2">
      <c r="B1853" s="606"/>
      <c r="C1853" s="607"/>
      <c r="D1853" s="607"/>
    </row>
    <row r="1854" spans="2:4" x14ac:dyDescent="0.2">
      <c r="B1854" s="606"/>
      <c r="C1854" s="607"/>
      <c r="D1854" s="607"/>
    </row>
    <row r="1855" spans="2:4" x14ac:dyDescent="0.2">
      <c r="B1855" s="606"/>
      <c r="C1855" s="607"/>
      <c r="D1855" s="607"/>
    </row>
    <row r="1856" spans="2:4" x14ac:dyDescent="0.2">
      <c r="B1856" s="606"/>
      <c r="C1856" s="607"/>
      <c r="D1856" s="607"/>
    </row>
    <row r="1857" spans="2:4" x14ac:dyDescent="0.2">
      <c r="B1857" s="606"/>
      <c r="C1857" s="607"/>
      <c r="D1857" s="607"/>
    </row>
    <row r="1858" spans="2:4" x14ac:dyDescent="0.2">
      <c r="B1858" s="606"/>
      <c r="C1858" s="607"/>
      <c r="D1858" s="607"/>
    </row>
    <row r="1859" spans="2:4" x14ac:dyDescent="0.2">
      <c r="B1859" s="606"/>
      <c r="C1859" s="607"/>
      <c r="D1859" s="607"/>
    </row>
    <row r="1860" spans="2:4" x14ac:dyDescent="0.2">
      <c r="B1860" s="606"/>
      <c r="C1860" s="607"/>
      <c r="D1860" s="607"/>
    </row>
    <row r="1861" spans="2:4" x14ac:dyDescent="0.2">
      <c r="B1861" s="606"/>
      <c r="C1861" s="607"/>
      <c r="D1861" s="607"/>
    </row>
    <row r="1862" spans="2:4" x14ac:dyDescent="0.2">
      <c r="B1862" s="606"/>
      <c r="C1862" s="607"/>
      <c r="D1862" s="607"/>
    </row>
    <row r="1863" spans="2:4" x14ac:dyDescent="0.2">
      <c r="B1863" s="606"/>
      <c r="C1863" s="607"/>
      <c r="D1863" s="607"/>
    </row>
    <row r="1864" spans="2:4" x14ac:dyDescent="0.2">
      <c r="B1864" s="606"/>
      <c r="C1864" s="607"/>
      <c r="D1864" s="607"/>
    </row>
    <row r="1865" spans="2:4" x14ac:dyDescent="0.2">
      <c r="B1865" s="606"/>
      <c r="C1865" s="607"/>
      <c r="D1865" s="607"/>
    </row>
    <row r="1866" spans="2:4" x14ac:dyDescent="0.2">
      <c r="B1866" s="606"/>
      <c r="C1866" s="607"/>
      <c r="D1866" s="607"/>
    </row>
    <row r="1867" spans="2:4" x14ac:dyDescent="0.2">
      <c r="B1867" s="606"/>
      <c r="C1867" s="607"/>
      <c r="D1867" s="607"/>
    </row>
    <row r="1868" spans="2:4" x14ac:dyDescent="0.2">
      <c r="B1868" s="606"/>
      <c r="C1868" s="607"/>
      <c r="D1868" s="607"/>
    </row>
    <row r="1869" spans="2:4" x14ac:dyDescent="0.2">
      <c r="B1869" s="606"/>
      <c r="C1869" s="607"/>
      <c r="D1869" s="607"/>
    </row>
    <row r="1870" spans="2:4" x14ac:dyDescent="0.2">
      <c r="B1870" s="606"/>
      <c r="C1870" s="607"/>
      <c r="D1870" s="607"/>
    </row>
    <row r="1871" spans="2:4" x14ac:dyDescent="0.2">
      <c r="B1871" s="606"/>
      <c r="C1871" s="607"/>
      <c r="D1871" s="607"/>
    </row>
    <row r="1872" spans="2:4" x14ac:dyDescent="0.2">
      <c r="B1872" s="606"/>
      <c r="C1872" s="607"/>
      <c r="D1872" s="607"/>
    </row>
    <row r="1873" spans="2:4" x14ac:dyDescent="0.2">
      <c r="B1873" s="606"/>
      <c r="C1873" s="607"/>
      <c r="D1873" s="607"/>
    </row>
    <row r="1874" spans="2:4" x14ac:dyDescent="0.2">
      <c r="B1874" s="606"/>
      <c r="C1874" s="607"/>
      <c r="D1874" s="607"/>
    </row>
    <row r="1875" spans="2:4" x14ac:dyDescent="0.2">
      <c r="B1875" s="606"/>
      <c r="C1875" s="607"/>
      <c r="D1875" s="607"/>
    </row>
    <row r="1876" spans="2:4" x14ac:dyDescent="0.2">
      <c r="B1876" s="606"/>
      <c r="C1876" s="607"/>
      <c r="D1876" s="607"/>
    </row>
    <row r="1877" spans="2:4" x14ac:dyDescent="0.2">
      <c r="B1877" s="606"/>
      <c r="C1877" s="607"/>
      <c r="D1877" s="607"/>
    </row>
    <row r="1878" spans="2:4" x14ac:dyDescent="0.2">
      <c r="B1878" s="606"/>
      <c r="C1878" s="607"/>
      <c r="D1878" s="607"/>
    </row>
    <row r="1879" spans="2:4" x14ac:dyDescent="0.2">
      <c r="B1879" s="606"/>
      <c r="C1879" s="607"/>
      <c r="D1879" s="607"/>
    </row>
    <row r="1880" spans="2:4" x14ac:dyDescent="0.2">
      <c r="B1880" s="606"/>
      <c r="C1880" s="607"/>
      <c r="D1880" s="607"/>
    </row>
    <row r="1881" spans="2:4" x14ac:dyDescent="0.2">
      <c r="B1881" s="606"/>
      <c r="C1881" s="607"/>
      <c r="D1881" s="607"/>
    </row>
    <row r="1882" spans="2:4" x14ac:dyDescent="0.2">
      <c r="B1882" s="606"/>
      <c r="C1882" s="607"/>
      <c r="D1882" s="607"/>
    </row>
    <row r="1883" spans="2:4" x14ac:dyDescent="0.2">
      <c r="B1883" s="606"/>
      <c r="C1883" s="607"/>
      <c r="D1883" s="607"/>
    </row>
    <row r="1884" spans="2:4" x14ac:dyDescent="0.2">
      <c r="B1884" s="606"/>
      <c r="C1884" s="607"/>
      <c r="D1884" s="607"/>
    </row>
    <row r="1885" spans="2:4" x14ac:dyDescent="0.2">
      <c r="B1885" s="606"/>
      <c r="C1885" s="607"/>
      <c r="D1885" s="607"/>
    </row>
    <row r="1886" spans="2:4" x14ac:dyDescent="0.2">
      <c r="B1886" s="606"/>
      <c r="C1886" s="607"/>
      <c r="D1886" s="607"/>
    </row>
    <row r="1887" spans="2:4" x14ac:dyDescent="0.2">
      <c r="B1887" s="606"/>
      <c r="C1887" s="607"/>
      <c r="D1887" s="607"/>
    </row>
    <row r="1888" spans="2:4" x14ac:dyDescent="0.2">
      <c r="B1888" s="606"/>
      <c r="C1888" s="607"/>
      <c r="D1888" s="607"/>
    </row>
    <row r="1889" spans="2:4" x14ac:dyDescent="0.2">
      <c r="B1889" s="606"/>
      <c r="C1889" s="607"/>
      <c r="D1889" s="607"/>
    </row>
    <row r="1890" spans="2:4" x14ac:dyDescent="0.2">
      <c r="B1890" s="606"/>
      <c r="C1890" s="607"/>
      <c r="D1890" s="607"/>
    </row>
    <row r="1891" spans="2:4" x14ac:dyDescent="0.2">
      <c r="B1891" s="606"/>
      <c r="C1891" s="607"/>
      <c r="D1891" s="607"/>
    </row>
    <row r="1892" spans="2:4" x14ac:dyDescent="0.2">
      <c r="B1892" s="606"/>
      <c r="C1892" s="607"/>
      <c r="D1892" s="607"/>
    </row>
    <row r="1893" spans="2:4" x14ac:dyDescent="0.2">
      <c r="B1893" s="606"/>
      <c r="C1893" s="607"/>
      <c r="D1893" s="607"/>
    </row>
    <row r="1894" spans="2:4" x14ac:dyDescent="0.2">
      <c r="B1894" s="606"/>
      <c r="C1894" s="607"/>
      <c r="D1894" s="607"/>
    </row>
    <row r="1895" spans="2:4" x14ac:dyDescent="0.2">
      <c r="B1895" s="606"/>
      <c r="C1895" s="607"/>
      <c r="D1895" s="607"/>
    </row>
  </sheetData>
  <pageMargins left="0.7" right="0.7" top="0.75" bottom="0.75" header="0.3" footer="0.3"/>
  <pageSetup scale="41" orientation="landscape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4"/>
  <sheetViews>
    <sheetView zoomScaleNormal="100" workbookViewId="0">
      <selection activeCell="H26" sqref="H26"/>
    </sheetView>
  </sheetViews>
  <sheetFormatPr defaultColWidth="71.5703125" defaultRowHeight="15" x14ac:dyDescent="0.25"/>
  <cols>
    <col min="1" max="1" width="15.42578125" style="1" customWidth="1"/>
    <col min="2" max="2" width="9.7109375" style="16" bestFit="1" customWidth="1"/>
    <col min="3" max="3" width="6.140625" style="1" bestFit="1" customWidth="1"/>
    <col min="4" max="4" width="6.140625" style="1" customWidth="1"/>
    <col min="5" max="5" width="9.7109375" style="1" bestFit="1" customWidth="1"/>
    <col min="6" max="6" width="11.140625" style="1" bestFit="1" customWidth="1"/>
    <col min="7" max="7" width="11" style="122" bestFit="1" customWidth="1"/>
    <col min="8" max="8" width="30.140625" style="1" bestFit="1" customWidth="1"/>
    <col min="9" max="9" width="15.28515625" style="16" bestFit="1" customWidth="1"/>
    <col min="10" max="10" width="19.140625" style="122" customWidth="1"/>
    <col min="11" max="11" width="9.7109375" style="1" bestFit="1" customWidth="1"/>
    <col min="12" max="16384" width="71.5703125" style="1"/>
  </cols>
  <sheetData>
    <row r="1" spans="1:11" x14ac:dyDescent="0.25">
      <c r="A1" s="589" t="str">
        <f ca="1">"Compliance report as of " &amp; MONTH(TODAY())&amp;"/"&amp;DAY(TODAY())&amp;"/"&amp;YEAR(TODAY())</f>
        <v>Compliance report as of 5/16/2015</v>
      </c>
      <c r="B1" s="589"/>
      <c r="C1" s="589"/>
      <c r="D1" s="589"/>
      <c r="E1" s="589"/>
      <c r="F1" s="589"/>
      <c r="G1" s="589"/>
      <c r="H1" s="589"/>
      <c r="I1" s="589"/>
    </row>
    <row r="2" spans="1:11" x14ac:dyDescent="0.25">
      <c r="A2" s="452" t="s">
        <v>486</v>
      </c>
      <c r="B2" s="453" t="s">
        <v>20</v>
      </c>
      <c r="C2" s="452" t="s">
        <v>1183</v>
      </c>
      <c r="D2" s="452" t="s">
        <v>1123</v>
      </c>
      <c r="E2" s="452" t="s">
        <v>483</v>
      </c>
      <c r="F2" s="452" t="s">
        <v>484</v>
      </c>
      <c r="G2" s="454" t="s">
        <v>519</v>
      </c>
      <c r="H2" s="452" t="s">
        <v>1184</v>
      </c>
      <c r="I2" s="453" t="s">
        <v>1653</v>
      </c>
    </row>
    <row r="3" spans="1:11" x14ac:dyDescent="0.25">
      <c r="A3" s="455" t="s">
        <v>1035</v>
      </c>
      <c r="B3" s="286"/>
      <c r="C3" s="137"/>
      <c r="D3" s="137"/>
      <c r="E3" s="137"/>
      <c r="F3" s="137"/>
      <c r="G3" s="456"/>
      <c r="H3" s="137"/>
      <c r="I3" s="286"/>
      <c r="J3" s="122">
        <f>E4/D4</f>
        <v>1</v>
      </c>
    </row>
    <row r="4" spans="1:11" x14ac:dyDescent="0.25">
      <c r="A4" s="137">
        <v>179</v>
      </c>
      <c r="B4" s="286">
        <f>VLOOKUP(Report!A4,Main!CA:CH,2,FALSE)</f>
        <v>42016</v>
      </c>
      <c r="C4" s="137">
        <f ca="1">VLOOKUP(Report!A4,Main!CA:CH,3,FALSE)</f>
        <v>19</v>
      </c>
      <c r="D4" s="137">
        <f>VLOOKUP(Report!A4,Main!CA:CH,4,FALSE)</f>
        <v>3</v>
      </c>
      <c r="E4" s="137">
        <f>VLOOKUP(Report!A4,Main!CA:CH,5,FALSE)</f>
        <v>3</v>
      </c>
      <c r="F4" s="137">
        <f>VLOOKUP(Report!A4,Main!CA:CH,6,FALSE)</f>
        <v>0</v>
      </c>
      <c r="G4" s="456">
        <f>VLOOKUP(Report!A4,Main!CA:CH,7,FALSE)</f>
        <v>1</v>
      </c>
      <c r="H4" s="137" t="str">
        <f>VLOOKUP(Report!A4,Main!CA:CH,8,FALSE)</f>
        <v/>
      </c>
      <c r="I4" s="286" t="str">
        <f>VLOOKUP(Report!B4,Main!CB:CI,8,FALSE)</f>
        <v/>
      </c>
      <c r="J4" s="122">
        <f t="shared" ref="J4:J16" si="0">E5/D5</f>
        <v>1</v>
      </c>
    </row>
    <row r="5" spans="1:11" x14ac:dyDescent="0.25">
      <c r="A5" s="137">
        <v>180</v>
      </c>
      <c r="B5" s="286">
        <f>VLOOKUP(Report!A5,Main!CA:CH,2,FALSE)</f>
        <v>42023</v>
      </c>
      <c r="C5" s="137">
        <f ca="1">VLOOKUP(Report!A5,Main!CA:CH,3,FALSE)</f>
        <v>18</v>
      </c>
      <c r="D5" s="137">
        <f>VLOOKUP(Report!A5,Main!CA:CH,4,FALSE)</f>
        <v>4</v>
      </c>
      <c r="E5" s="137">
        <f>VLOOKUP(Report!A5,Main!CA:CH,5,FALSE)</f>
        <v>4</v>
      </c>
      <c r="F5" s="137">
        <f>VLOOKUP(Report!A5,Main!CA:CH,6,FALSE)</f>
        <v>0</v>
      </c>
      <c r="G5" s="456">
        <f>VLOOKUP(Report!A5,Main!CA:CH,7,FALSE)</f>
        <v>1</v>
      </c>
      <c r="H5" s="137" t="str">
        <f>VLOOKUP(Report!A5,Main!CA:CH,8,FALSE)</f>
        <v/>
      </c>
      <c r="I5" s="286" t="str">
        <f>VLOOKUP(Report!B5,Main!CB:CI,8,FALSE)</f>
        <v/>
      </c>
      <c r="J5" s="122">
        <f t="shared" si="0"/>
        <v>1</v>
      </c>
    </row>
    <row r="6" spans="1:11" x14ac:dyDescent="0.25">
      <c r="A6" s="137">
        <v>181</v>
      </c>
      <c r="B6" s="286">
        <f>VLOOKUP(Report!A6,Main!CA:CH,2,FALSE)</f>
        <v>42030</v>
      </c>
      <c r="C6" s="137">
        <f ca="1">VLOOKUP(Report!A6,Main!CA:CH,3,FALSE)</f>
        <v>17</v>
      </c>
      <c r="D6" s="137">
        <f>VLOOKUP(Report!A6,Main!CA:CH,4,FALSE)</f>
        <v>7</v>
      </c>
      <c r="E6" s="137">
        <f>VLOOKUP(Report!A6,Main!CA:CH,5,FALSE)</f>
        <v>7</v>
      </c>
      <c r="F6" s="137">
        <f>VLOOKUP(Report!A6,Main!CA:CH,6,FALSE)</f>
        <v>0</v>
      </c>
      <c r="G6" s="456">
        <f>VLOOKUP(Report!A6,Main!CA:CH,7,FALSE)</f>
        <v>1</v>
      </c>
      <c r="H6" s="137" t="str">
        <f>VLOOKUP(Report!A6,Main!CA:CH,8,FALSE)</f>
        <v/>
      </c>
      <c r="I6" s="286" t="str">
        <f>VLOOKUP(Report!B6,Main!CB:CI,8,FALSE)</f>
        <v/>
      </c>
      <c r="J6" s="122">
        <f t="shared" si="0"/>
        <v>1</v>
      </c>
    </row>
    <row r="7" spans="1:11" x14ac:dyDescent="0.25">
      <c r="A7" s="137">
        <v>182</v>
      </c>
      <c r="B7" s="286">
        <f>VLOOKUP(Report!A7,Main!CA:CH,2,FALSE)</f>
        <v>42037</v>
      </c>
      <c r="C7" s="137">
        <f ca="1">VLOOKUP(Report!A7,Main!CA:CH,3,FALSE)</f>
        <v>16</v>
      </c>
      <c r="D7" s="137">
        <f>VLOOKUP(Report!A7,Main!CA:CH,4,FALSE)</f>
        <v>4</v>
      </c>
      <c r="E7" s="137">
        <f>VLOOKUP(Report!A7,Main!CA:CH,5,FALSE)</f>
        <v>4</v>
      </c>
      <c r="F7" s="137">
        <f>VLOOKUP(Report!A7,Main!CA:CH,6,FALSE)</f>
        <v>0</v>
      </c>
      <c r="G7" s="456">
        <f>VLOOKUP(Report!A7,Main!CA:CH,7,FALSE)</f>
        <v>1</v>
      </c>
      <c r="H7" s="137" t="str">
        <f>VLOOKUP(Report!A7,Main!CA:CH,8,FALSE)</f>
        <v/>
      </c>
      <c r="I7" s="286" t="str">
        <f>VLOOKUP(Report!B7,Main!CB:CI,8,FALSE)</f>
        <v/>
      </c>
      <c r="J7" s="122">
        <f t="shared" si="0"/>
        <v>1</v>
      </c>
    </row>
    <row r="8" spans="1:11" x14ac:dyDescent="0.25">
      <c r="A8" s="137">
        <v>183</v>
      </c>
      <c r="B8" s="286">
        <f>VLOOKUP(Report!A8,Main!CA:CH,2,FALSE)</f>
        <v>42044</v>
      </c>
      <c r="C8" s="137">
        <f ca="1">VLOOKUP(Report!A8,Main!CA:CH,3,FALSE)</f>
        <v>15</v>
      </c>
      <c r="D8" s="137">
        <f>VLOOKUP(Report!A8,Main!CA:CH,4,FALSE)</f>
        <v>15</v>
      </c>
      <c r="E8" s="137">
        <f>VLOOKUP(Report!A8,Main!CA:CH,5,FALSE)</f>
        <v>15</v>
      </c>
      <c r="F8" s="137">
        <f>VLOOKUP(Report!A8,Main!CA:CH,6,FALSE)</f>
        <v>0</v>
      </c>
      <c r="G8" s="456">
        <f>VLOOKUP(Report!A8,Main!CA:CH,7,FALSE)</f>
        <v>1</v>
      </c>
      <c r="H8" s="137" t="str">
        <f>VLOOKUP(Report!A8,Main!CA:CH,8,FALSE)</f>
        <v/>
      </c>
      <c r="I8" s="286">
        <f>VLOOKUP(Report!B8,Main!CB:CI,8,FALSE)</f>
        <v>42103</v>
      </c>
      <c r="J8" s="122">
        <f t="shared" si="0"/>
        <v>1</v>
      </c>
      <c r="K8" s="7">
        <v>42112</v>
      </c>
    </row>
    <row r="9" spans="1:11" x14ac:dyDescent="0.25">
      <c r="A9" s="137">
        <v>184</v>
      </c>
      <c r="B9" s="286">
        <f>VLOOKUP(Report!A9,Main!CA:CH,2,FALSE)</f>
        <v>42051</v>
      </c>
      <c r="C9" s="137">
        <f ca="1">VLOOKUP(Report!A9,Main!CA:CH,3,FALSE)</f>
        <v>14</v>
      </c>
      <c r="D9" s="137">
        <f>VLOOKUP(Report!A9,Main!CA:CH,4,FALSE)</f>
        <v>6</v>
      </c>
      <c r="E9" s="137">
        <f>VLOOKUP(Report!A9,Main!CA:CH,5,FALSE)</f>
        <v>6</v>
      </c>
      <c r="F9" s="137">
        <f>VLOOKUP(Report!A9,Main!CA:CH,6,FALSE)</f>
        <v>0</v>
      </c>
      <c r="G9" s="456">
        <f>VLOOKUP(Report!A9,Main!CA:CH,7,FALSE)</f>
        <v>1</v>
      </c>
      <c r="H9" s="137" t="str">
        <f>VLOOKUP(Report!A9,Main!CA:CH,8,FALSE)</f>
        <v/>
      </c>
      <c r="I9" s="286">
        <f>VLOOKUP(Report!B9,Main!CB:CI,8,FALSE)</f>
        <v>42090</v>
      </c>
      <c r="J9" s="122">
        <f t="shared" si="0"/>
        <v>1</v>
      </c>
      <c r="K9" s="7"/>
    </row>
    <row r="10" spans="1:11" x14ac:dyDescent="0.25">
      <c r="A10" s="137">
        <v>185</v>
      </c>
      <c r="B10" s="286">
        <f>VLOOKUP(Report!A10,Main!CA:CH,2,FALSE)</f>
        <v>42058</v>
      </c>
      <c r="C10" s="137">
        <f ca="1">VLOOKUP(Report!A10,Main!CA:CH,3,FALSE)</f>
        <v>13</v>
      </c>
      <c r="D10" s="137">
        <f>VLOOKUP(Report!A10,Main!CA:CH,4,FALSE)</f>
        <v>3</v>
      </c>
      <c r="E10" s="137">
        <f>VLOOKUP(Report!A10,Main!CA:CH,5,FALSE)</f>
        <v>3</v>
      </c>
      <c r="F10" s="137">
        <f>VLOOKUP(Report!A10,Main!CA:CH,6,FALSE)</f>
        <v>0</v>
      </c>
      <c r="G10" s="456">
        <f>VLOOKUP(Report!A10,Main!CA:CH,7,FALSE)</f>
        <v>1</v>
      </c>
      <c r="H10" s="137" t="str">
        <f>VLOOKUP(Report!A10,Main!CA:CH,8,FALSE)</f>
        <v/>
      </c>
      <c r="I10" s="286" t="str">
        <f>VLOOKUP(Report!B10,Main!CB:CI,8,FALSE)</f>
        <v/>
      </c>
      <c r="J10" s="122">
        <f t="shared" si="0"/>
        <v>1</v>
      </c>
    </row>
    <row r="11" spans="1:11" x14ac:dyDescent="0.25">
      <c r="A11" s="137">
        <v>186</v>
      </c>
      <c r="B11" s="286">
        <f>VLOOKUP(Report!A11,Main!CA:CH,2,FALSE)</f>
        <v>42065</v>
      </c>
      <c r="C11" s="137">
        <f ca="1">VLOOKUP(Report!A11,Main!CA:CH,3,FALSE)</f>
        <v>12</v>
      </c>
      <c r="D11" s="137">
        <f>VLOOKUP(Report!A11,Main!CA:CH,4,FALSE)</f>
        <v>4</v>
      </c>
      <c r="E11" s="137">
        <f>VLOOKUP(Report!A11,Main!CA:CH,5,FALSE)</f>
        <v>4</v>
      </c>
      <c r="F11" s="137">
        <f>VLOOKUP(Report!A11,Main!CA:CH,6,FALSE)</f>
        <v>0</v>
      </c>
      <c r="G11" s="456">
        <f>VLOOKUP(Report!A11,Main!CA:CH,7,FALSE)</f>
        <v>1</v>
      </c>
      <c r="H11" s="137" t="str">
        <f>VLOOKUP(Report!A11,Main!CA:CH,8,FALSE)</f>
        <v/>
      </c>
      <c r="I11" s="286">
        <f>VLOOKUP(Report!B11,Main!CB:CI,8,FALSE)</f>
        <v>42101</v>
      </c>
      <c r="J11" s="122">
        <f t="shared" si="0"/>
        <v>0.93333333333333335</v>
      </c>
    </row>
    <row r="12" spans="1:11" x14ac:dyDescent="0.25">
      <c r="A12" s="137">
        <v>187</v>
      </c>
      <c r="B12" s="286">
        <f>VLOOKUP(Report!A12,Main!CA:CH,2,FALSE)</f>
        <v>42072</v>
      </c>
      <c r="C12" s="137">
        <f ca="1">VLOOKUP(Report!A12,Main!CA:CH,3,FALSE)</f>
        <v>11</v>
      </c>
      <c r="D12" s="137">
        <f>VLOOKUP(Report!A12,Main!CA:CH,4,FALSE)</f>
        <v>15</v>
      </c>
      <c r="E12" s="137">
        <f>VLOOKUP(Report!A12,Main!CA:CH,5,FALSE)</f>
        <v>14</v>
      </c>
      <c r="F12" s="137">
        <f>VLOOKUP(Report!A12,Main!CA:CH,6,FALSE)</f>
        <v>1</v>
      </c>
      <c r="G12" s="456">
        <f>VLOOKUP(Report!A12,Main!CA:CH,7,FALSE)</f>
        <v>0.9939393939393939</v>
      </c>
      <c r="H12" s="137" t="str">
        <f>VLOOKUP(Report!A12,Main!CA:CH,8,FALSE)</f>
        <v xml:space="preserve">NBI (1) </v>
      </c>
      <c r="I12" s="286">
        <f>VLOOKUP(Report!B12,Main!CB:CI,8,FALSE)</f>
        <v>42104</v>
      </c>
      <c r="J12" s="122">
        <f t="shared" si="0"/>
        <v>0.81818181818181823</v>
      </c>
    </row>
    <row r="13" spans="1:11" x14ac:dyDescent="0.25">
      <c r="A13" s="137">
        <v>188</v>
      </c>
      <c r="B13" s="286">
        <f>VLOOKUP(Report!A13,Main!CA:CH,2,FALSE)</f>
        <v>42079</v>
      </c>
      <c r="C13" s="137">
        <f ca="1">VLOOKUP(Report!A13,Main!CA:CH,3,FALSE)</f>
        <v>10</v>
      </c>
      <c r="D13" s="137">
        <f>VLOOKUP(Report!A13,Main!CA:CH,4,FALSE)</f>
        <v>11</v>
      </c>
      <c r="E13" s="137">
        <f>VLOOKUP(Report!A13,Main!CA:CH,5,FALSE)</f>
        <v>9</v>
      </c>
      <c r="F13" s="137">
        <f>VLOOKUP(Report!A13,Main!CA:CH,6,FALSE)</f>
        <v>2</v>
      </c>
      <c r="G13" s="456">
        <f>VLOOKUP(Report!A13,Main!CA:CH,7,FALSE)</f>
        <v>0.90082644628099173</v>
      </c>
      <c r="H13" s="137" t="str">
        <f>VLOOKUP(Report!A13,Main!CA:CH,8,FALSE)</f>
        <v/>
      </c>
      <c r="I13" s="286" t="str">
        <f>VLOOKUP(Report!B13,Main!CB:CI,8,FALSE)</f>
        <v/>
      </c>
      <c r="J13" s="122">
        <f t="shared" si="0"/>
        <v>1</v>
      </c>
    </row>
    <row r="14" spans="1:11" x14ac:dyDescent="0.25">
      <c r="A14" s="137">
        <v>189</v>
      </c>
      <c r="B14" s="286">
        <f>VLOOKUP(Report!A14,Main!CA:CH,2,FALSE)</f>
        <v>42086</v>
      </c>
      <c r="C14" s="137">
        <f ca="1">VLOOKUP(Report!A14,Main!CA:CH,3,FALSE)</f>
        <v>9</v>
      </c>
      <c r="D14" s="137">
        <f>VLOOKUP(Report!A14,Main!CA:CH,4,FALSE)</f>
        <v>12</v>
      </c>
      <c r="E14" s="137">
        <f>VLOOKUP(Report!A14,Main!CA:CH,5,FALSE)</f>
        <v>12</v>
      </c>
      <c r="F14" s="137">
        <f>VLOOKUP(Report!A14,Main!CA:CH,6,FALSE)</f>
        <v>0</v>
      </c>
      <c r="G14" s="456">
        <f>VLOOKUP(Report!A14,Main!CA:CH,7,FALSE)</f>
        <v>1</v>
      </c>
      <c r="H14" s="137" t="str">
        <f>VLOOKUP(Report!A14,Main!CA:CH,8,FALSE)</f>
        <v/>
      </c>
      <c r="I14" s="286" t="str">
        <f>VLOOKUP(Report!B14,Main!CB:CI,8,FALSE)</f>
        <v/>
      </c>
      <c r="J14" s="122">
        <f t="shared" si="0"/>
        <v>0.5</v>
      </c>
    </row>
    <row r="15" spans="1:11" x14ac:dyDescent="0.25">
      <c r="A15" s="137">
        <v>190</v>
      </c>
      <c r="B15" s="286">
        <f>VLOOKUP(Report!A15,Main!CA:CH,2,FALSE)</f>
        <v>42093</v>
      </c>
      <c r="C15" s="137">
        <f ca="1">VLOOKUP(Report!A15,Main!CA:CH,3,FALSE)</f>
        <v>8</v>
      </c>
      <c r="D15" s="137">
        <f>VLOOKUP(Report!A15,Main!CA:CH,4,FALSE)</f>
        <v>8</v>
      </c>
      <c r="E15" s="137">
        <f>VLOOKUP(Report!A15,Main!CA:CH,5,FALSE)</f>
        <v>4</v>
      </c>
      <c r="F15" s="137">
        <f>VLOOKUP(Report!A15,Main!CA:CH,6,FALSE)</f>
        <v>4</v>
      </c>
      <c r="G15" s="456">
        <f>VLOOKUP(Report!A15,Main!CA:CH,7,FALSE)</f>
        <v>0.72727272727272729</v>
      </c>
      <c r="H15" s="137" t="str">
        <f>VLOOKUP(Report!A15,Main!CA:CH,8,FALSE)</f>
        <v/>
      </c>
      <c r="I15" s="286" t="str">
        <f>VLOOKUP(Report!B15,Main!CB:CI,8,FALSE)</f>
        <v/>
      </c>
      <c r="J15" s="122">
        <f t="shared" si="0"/>
        <v>0.66666666666666663</v>
      </c>
    </row>
    <row r="16" spans="1:11" x14ac:dyDescent="0.25">
      <c r="A16" s="137">
        <v>191</v>
      </c>
      <c r="B16" s="286">
        <f>VLOOKUP(Report!A16,Main!CA:CH,2,FALSE)</f>
        <v>42100</v>
      </c>
      <c r="C16" s="137">
        <f ca="1">VLOOKUP(Report!A16,Main!CA:CH,3,FALSE)</f>
        <v>7</v>
      </c>
      <c r="D16" s="137">
        <f>VLOOKUP(Report!A16,Main!CA:CH,4,FALSE)</f>
        <v>6</v>
      </c>
      <c r="E16" s="137">
        <f>VLOOKUP(Report!A16,Main!CA:CH,5,FALSE)</f>
        <v>4</v>
      </c>
      <c r="F16" s="137">
        <f>VLOOKUP(Report!A16,Main!CA:CH,6,FALSE)</f>
        <v>2</v>
      </c>
      <c r="G16" s="456">
        <f>VLOOKUP(Report!A16,Main!CA:CH,7,FALSE)</f>
        <v>0.90909090909090906</v>
      </c>
      <c r="H16" s="137" t="str">
        <f>VLOOKUP(Report!A16,Main!CA:CH,8,FALSE)</f>
        <v xml:space="preserve">Waiver (2) </v>
      </c>
      <c r="I16" s="286" t="str">
        <f>VLOOKUP(Report!B16,Main!CB:CI,8,FALSE)</f>
        <v/>
      </c>
      <c r="J16" s="122">
        <f t="shared" si="0"/>
        <v>0.70588235294117652</v>
      </c>
    </row>
    <row r="17" spans="1:10" x14ac:dyDescent="0.25">
      <c r="A17" s="137">
        <v>192</v>
      </c>
      <c r="B17" s="286">
        <f>VLOOKUP(Report!A17,Main!CA:CH,2,FALSE)</f>
        <v>42107</v>
      </c>
      <c r="C17" s="137">
        <f ca="1">VLOOKUP(Report!A17,Main!CA:CH,3,FALSE)</f>
        <v>6</v>
      </c>
      <c r="D17" s="137">
        <f>VLOOKUP(Report!A17,Main!CA:CH,4,FALSE)</f>
        <v>17</v>
      </c>
      <c r="E17" s="137">
        <f>VLOOKUP(Report!A17,Main!CA:CH,5,FALSE)</f>
        <v>12</v>
      </c>
      <c r="F17" s="137">
        <f>VLOOKUP(Report!A17,Main!CA:CH,6,FALSE)</f>
        <v>5</v>
      </c>
      <c r="G17" s="456">
        <f>VLOOKUP(Report!A17,Main!CA:CH,7,FALSE)</f>
        <v>0.89839572192513373</v>
      </c>
      <c r="H17" s="137" t="str">
        <f>VLOOKUP(Report!A17,Main!CA:CH,8,FALSE)</f>
        <v xml:space="preserve">HDMF (3) Waiver (3) 1905 (4) </v>
      </c>
      <c r="I17" s="286" t="str">
        <f>VLOOKUP(Report!B17,Main!CB:CI,8,FALSE)</f>
        <v/>
      </c>
    </row>
    <row r="18" spans="1:10" x14ac:dyDescent="0.25">
      <c r="A18" s="137">
        <v>193</v>
      </c>
      <c r="B18" s="286">
        <f>VLOOKUP(Report!A18,Main!CA:CH,2,FALSE)</f>
        <v>42114</v>
      </c>
      <c r="C18" s="137">
        <f ca="1">VLOOKUP(Report!A18,Main!CA:CH,3,FALSE)</f>
        <v>5</v>
      </c>
      <c r="D18" s="137">
        <f>VLOOKUP(Report!A18,Main!CA:CH,4,FALSE)</f>
        <v>16</v>
      </c>
      <c r="E18" s="137">
        <f>VLOOKUP(Report!A18,Main!CA:CH,5,FALSE)</f>
        <v>8</v>
      </c>
      <c r="F18" s="137">
        <f>VLOOKUP(Report!A18,Main!CA:CH,6,FALSE)</f>
        <v>8</v>
      </c>
      <c r="G18" s="456">
        <f>VLOOKUP(Report!A18,Main!CA:CH,7,FALSE)</f>
        <v>0.89772727272727271</v>
      </c>
      <c r="H18" s="137" t="str">
        <f>VLOOKUP(Report!A18,Main!CA:CH,8,FALSE)</f>
        <v xml:space="preserve">NBI (3) Info (3) Waiver (4) </v>
      </c>
      <c r="I18" s="286" t="str">
        <f>VLOOKUP(Report!B18,Main!CB:CI,8,FALSE)</f>
        <v/>
      </c>
    </row>
    <row r="19" spans="1:10" x14ac:dyDescent="0.25">
      <c r="A19" s="137">
        <v>194</v>
      </c>
      <c r="B19" s="286">
        <f>VLOOKUP(Report!A19,Main!CA:CH,2,FALSE)</f>
        <v>42121</v>
      </c>
      <c r="C19" s="137">
        <f ca="1">VLOOKUP(Report!A19,Main!CA:CH,3,FALSE)</f>
        <v>4</v>
      </c>
      <c r="D19" s="137">
        <f>VLOOKUP(Report!A19,Main!CA:CH,4,FALSE)</f>
        <v>9</v>
      </c>
      <c r="E19" s="137">
        <f>VLOOKUP(Report!A19,Main!CA:CH,5,FALSE)</f>
        <v>2</v>
      </c>
      <c r="F19" s="137">
        <f>VLOOKUP(Report!A19,Main!CA:CH,6,FALSE)</f>
        <v>7</v>
      </c>
      <c r="G19" s="456">
        <f>VLOOKUP(Report!A19,Main!CA:CH,7,FALSE)</f>
        <v>0.75757575757575757</v>
      </c>
      <c r="H19" s="137" t="str">
        <f>VLOOKUP(Report!A19,Main!CA:CH,8,FALSE)</f>
        <v xml:space="preserve">NBI (7) AWOL (3) Waiver (6) </v>
      </c>
      <c r="I19" s="286" t="str">
        <f>VLOOKUP(Report!B19,Main!CB:CI,8,FALSE)</f>
        <v/>
      </c>
      <c r="J19" s="122">
        <f>AVERAGE(J3:J14)</f>
        <v>0.9376262626262627</v>
      </c>
    </row>
    <row r="20" spans="1:10" x14ac:dyDescent="0.25">
      <c r="A20" s="137">
        <v>195</v>
      </c>
      <c r="B20" s="286">
        <f>VLOOKUP(Report!A20,Main!CA:CH,2,FALSE)</f>
        <v>42128</v>
      </c>
      <c r="C20" s="137">
        <f ca="1">VLOOKUP(Report!A20,Main!CA:CH,3,FALSE)</f>
        <v>3</v>
      </c>
      <c r="D20" s="137">
        <f>VLOOKUP(Report!A20,Main!CA:CH,4,FALSE)</f>
        <v>26</v>
      </c>
      <c r="E20" s="137">
        <f>VLOOKUP(Report!A20,Main!CA:CH,5,FALSE)</f>
        <v>6</v>
      </c>
      <c r="F20" s="137">
        <f>VLOOKUP(Report!A20,Main!CA:CH,6,FALSE)</f>
        <v>20</v>
      </c>
      <c r="G20" s="456">
        <f>VLOOKUP(Report!A20,Main!CA:CH,7,FALSE)</f>
        <v>0.55944055944055948</v>
      </c>
      <c r="H20" s="137" t="str">
        <f>VLOOKUP(Report!A20,Main!CA:CH,8,FALSE)</f>
        <v xml:space="preserve">Waiver (18) 1905 (15) </v>
      </c>
      <c r="I20" s="286">
        <f>VLOOKUP(Report!B20,Main!CB:CI,8,FALSE)</f>
        <v>42153</v>
      </c>
    </row>
    <row r="21" spans="1:10" x14ac:dyDescent="0.25">
      <c r="A21" s="137">
        <v>196</v>
      </c>
      <c r="B21" s="286">
        <f>VLOOKUP(Report!A21,Main!CA:CH,2,FALSE)</f>
        <v>42135</v>
      </c>
      <c r="C21" s="137">
        <f ca="1">VLOOKUP(Report!A21,Main!CA:CH,3,FALSE)</f>
        <v>2</v>
      </c>
      <c r="D21" s="137">
        <f>VLOOKUP(Report!A21,Main!CA:CH,4,FALSE)</f>
        <v>16</v>
      </c>
      <c r="E21" s="137">
        <f>VLOOKUP(Report!A21,Main!CA:CH,5,FALSE)</f>
        <v>0</v>
      </c>
      <c r="F21" s="137">
        <f>VLOOKUP(Report!A21,Main!CA:CH,6,FALSE)</f>
        <v>16</v>
      </c>
      <c r="G21" s="456">
        <f>VLOOKUP(Report!A21,Main!CA:CH,7,FALSE)</f>
        <v>0.54545454545454541</v>
      </c>
      <c r="H21" s="137" t="str">
        <f>VLOOKUP(Report!A21,Main!CA:CH,8,FALSE)</f>
        <v xml:space="preserve">NBI (14) Info (10) Waiver (16) </v>
      </c>
      <c r="I21" s="286" t="str">
        <f>VLOOKUP(Report!B21,Main!CB:CI,8,FALSE)</f>
        <v/>
      </c>
    </row>
    <row r="22" spans="1:10" x14ac:dyDescent="0.25">
      <c r="A22" s="1" t="s">
        <v>1036</v>
      </c>
    </row>
    <row r="23" spans="1:10" x14ac:dyDescent="0.25">
      <c r="G23" s="122">
        <f>AVERAGE(G4:G15)</f>
        <v>0.96850321395775929</v>
      </c>
    </row>
    <row r="24" spans="1:10" x14ac:dyDescent="0.25">
      <c r="G24" s="122">
        <f>AVERAGE(G4:G17)</f>
        <v>0.95925179989351095</v>
      </c>
    </row>
  </sheetData>
  <mergeCells count="1">
    <mergeCell ref="A1:I1"/>
  </mergeCells>
  <conditionalFormatting sqref="G4:G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E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D104857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{DC42F4B3-35BD-4F19-9D03-1524EC80832F}</x14:id>
        </ext>
      </extLst>
    </cfRule>
  </conditionalFormatting>
  <conditionalFormatting sqref="C4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42F4B3-35BD-4F19-9D03-1524EC808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D4:D1048576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7"/>
  <sheetViews>
    <sheetView zoomScaleNormal="100" workbookViewId="0">
      <selection activeCell="B12" sqref="B12"/>
    </sheetView>
  </sheetViews>
  <sheetFormatPr defaultRowHeight="15" x14ac:dyDescent="0.25"/>
  <cols>
    <col min="1" max="1" width="13.85546875" style="117" bestFit="1" customWidth="1"/>
    <col min="2" max="2" width="13.5703125" style="117" bestFit="1" customWidth="1"/>
    <col min="3" max="3" width="12.5703125" style="117" bestFit="1" customWidth="1"/>
    <col min="4" max="4" width="12.140625" style="117" customWidth="1"/>
    <col min="5" max="7" width="10.7109375" style="117" bestFit="1" customWidth="1"/>
    <col min="8" max="8" width="12" style="117" customWidth="1"/>
    <col min="9" max="11" width="2" style="117" bestFit="1" customWidth="1"/>
    <col min="12" max="16384" width="9.140625" style="117"/>
  </cols>
  <sheetData>
    <row r="1" spans="1:11" x14ac:dyDescent="0.25">
      <c r="A1" s="114" t="s">
        <v>487</v>
      </c>
      <c r="B1" s="115" t="s">
        <v>488</v>
      </c>
      <c r="C1" s="114" t="s">
        <v>489</v>
      </c>
      <c r="D1" s="116"/>
      <c r="E1" s="116"/>
    </row>
    <row r="2" spans="1:11" x14ac:dyDescent="0.25">
      <c r="A2" s="118">
        <v>42009</v>
      </c>
      <c r="B2" s="118">
        <v>41984</v>
      </c>
      <c r="C2" s="118">
        <v>41997</v>
      </c>
      <c r="D2" s="119"/>
      <c r="E2" s="118">
        <f>G2+12</f>
        <v>42009</v>
      </c>
      <c r="F2" s="118">
        <v>41984</v>
      </c>
      <c r="G2" s="118">
        <f>F2+13</f>
        <v>41997</v>
      </c>
      <c r="I2" s="117">
        <f t="shared" ref="I2:I27" si="0">MATCH(E2,A2)</f>
        <v>1</v>
      </c>
      <c r="J2" s="117">
        <f t="shared" ref="J2:J27" si="1">MATCH(F2,B2)</f>
        <v>1</v>
      </c>
      <c r="K2" s="117">
        <f t="shared" ref="K2:K27" si="2">MATCH(G2,C2)</f>
        <v>1</v>
      </c>
    </row>
    <row r="3" spans="1:11" x14ac:dyDescent="0.25">
      <c r="A3" s="118">
        <v>42020</v>
      </c>
      <c r="B3" s="118">
        <v>41998</v>
      </c>
      <c r="C3" s="118">
        <v>42011</v>
      </c>
      <c r="D3" s="119"/>
      <c r="E3" s="118">
        <f>G3+9</f>
        <v>42020</v>
      </c>
      <c r="F3" s="118">
        <v>41998</v>
      </c>
      <c r="G3" s="118">
        <f>F3+13</f>
        <v>42011</v>
      </c>
      <c r="I3" s="117">
        <f t="shared" si="0"/>
        <v>1</v>
      </c>
      <c r="J3" s="117">
        <f t="shared" si="1"/>
        <v>1</v>
      </c>
      <c r="K3" s="117">
        <f t="shared" si="2"/>
        <v>1</v>
      </c>
    </row>
    <row r="4" spans="1:11" x14ac:dyDescent="0.25">
      <c r="A4" s="118">
        <v>42034</v>
      </c>
      <c r="B4" s="118">
        <v>42012</v>
      </c>
      <c r="C4" s="118">
        <v>42025</v>
      </c>
      <c r="D4" s="119"/>
      <c r="E4" s="118">
        <f>G4+9</f>
        <v>42034</v>
      </c>
      <c r="F4" s="118">
        <f>G3+1</f>
        <v>42012</v>
      </c>
      <c r="G4" s="118">
        <f>F4+13</f>
        <v>42025</v>
      </c>
      <c r="I4" s="117">
        <f t="shared" si="0"/>
        <v>1</v>
      </c>
      <c r="J4" s="117">
        <f t="shared" si="1"/>
        <v>1</v>
      </c>
      <c r="K4" s="117">
        <f t="shared" si="2"/>
        <v>1</v>
      </c>
    </row>
    <row r="5" spans="1:11" x14ac:dyDescent="0.25">
      <c r="A5" s="118">
        <v>42048</v>
      </c>
      <c r="B5" s="118">
        <v>42026</v>
      </c>
      <c r="C5" s="118">
        <v>42039</v>
      </c>
      <c r="D5" s="119"/>
      <c r="E5" s="118">
        <f t="shared" ref="E5:E27" si="3">G5+9</f>
        <v>42048</v>
      </c>
      <c r="F5" s="118">
        <f t="shared" ref="F5:F25" si="4">G4+1</f>
        <v>42026</v>
      </c>
      <c r="G5" s="118">
        <f t="shared" ref="G5:G25" si="5">F5+13</f>
        <v>42039</v>
      </c>
      <c r="I5" s="117">
        <f t="shared" si="0"/>
        <v>1</v>
      </c>
      <c r="J5" s="117">
        <f t="shared" si="1"/>
        <v>1</v>
      </c>
      <c r="K5" s="117">
        <f t="shared" si="2"/>
        <v>1</v>
      </c>
    </row>
    <row r="6" spans="1:11" x14ac:dyDescent="0.25">
      <c r="A6" s="118">
        <v>42062</v>
      </c>
      <c r="B6" s="118">
        <v>42040</v>
      </c>
      <c r="C6" s="118">
        <v>42053</v>
      </c>
      <c r="D6" s="119"/>
      <c r="E6" s="118">
        <f t="shared" si="3"/>
        <v>42062</v>
      </c>
      <c r="F6" s="118">
        <f t="shared" si="4"/>
        <v>42040</v>
      </c>
      <c r="G6" s="118">
        <f t="shared" si="5"/>
        <v>42053</v>
      </c>
      <c r="I6" s="117">
        <f t="shared" si="0"/>
        <v>1</v>
      </c>
      <c r="J6" s="117">
        <f t="shared" si="1"/>
        <v>1</v>
      </c>
      <c r="K6" s="117">
        <f t="shared" si="2"/>
        <v>1</v>
      </c>
    </row>
    <row r="7" spans="1:11" x14ac:dyDescent="0.25">
      <c r="A7" s="118">
        <v>42076</v>
      </c>
      <c r="B7" s="118">
        <v>42054</v>
      </c>
      <c r="C7" s="118">
        <v>42067</v>
      </c>
      <c r="D7" s="119"/>
      <c r="E7" s="118">
        <f t="shared" si="3"/>
        <v>42076</v>
      </c>
      <c r="F7" s="118">
        <f t="shared" si="4"/>
        <v>42054</v>
      </c>
      <c r="G7" s="118">
        <f t="shared" si="5"/>
        <v>42067</v>
      </c>
      <c r="I7" s="117">
        <f t="shared" si="0"/>
        <v>1</v>
      </c>
      <c r="J7" s="117">
        <f t="shared" si="1"/>
        <v>1</v>
      </c>
      <c r="K7" s="117">
        <f t="shared" si="2"/>
        <v>1</v>
      </c>
    </row>
    <row r="8" spans="1:11" x14ac:dyDescent="0.25">
      <c r="A8" s="118">
        <v>42090</v>
      </c>
      <c r="B8" s="118">
        <v>42068</v>
      </c>
      <c r="C8" s="118">
        <v>42081</v>
      </c>
      <c r="D8" s="119"/>
      <c r="E8" s="118">
        <f t="shared" si="3"/>
        <v>42090</v>
      </c>
      <c r="F8" s="118">
        <f t="shared" si="4"/>
        <v>42068</v>
      </c>
      <c r="G8" s="118">
        <f t="shared" si="5"/>
        <v>42081</v>
      </c>
      <c r="I8" s="117">
        <f t="shared" si="0"/>
        <v>1</v>
      </c>
      <c r="J8" s="117">
        <f t="shared" si="1"/>
        <v>1</v>
      </c>
      <c r="K8" s="117">
        <f t="shared" si="2"/>
        <v>1</v>
      </c>
    </row>
    <row r="9" spans="1:11" x14ac:dyDescent="0.25">
      <c r="A9" s="118">
        <v>42104</v>
      </c>
      <c r="B9" s="118">
        <v>42082</v>
      </c>
      <c r="C9" s="118">
        <v>42095</v>
      </c>
      <c r="D9" s="119"/>
      <c r="E9" s="118">
        <f t="shared" si="3"/>
        <v>42104</v>
      </c>
      <c r="F9" s="118">
        <f t="shared" si="4"/>
        <v>42082</v>
      </c>
      <c r="G9" s="118">
        <f t="shared" si="5"/>
        <v>42095</v>
      </c>
      <c r="I9" s="117">
        <f t="shared" si="0"/>
        <v>1</v>
      </c>
      <c r="J9" s="117">
        <f t="shared" si="1"/>
        <v>1</v>
      </c>
      <c r="K9" s="117">
        <f t="shared" si="2"/>
        <v>1</v>
      </c>
    </row>
    <row r="10" spans="1:11" x14ac:dyDescent="0.25">
      <c r="A10" s="118">
        <v>42118</v>
      </c>
      <c r="B10" s="118">
        <v>42096</v>
      </c>
      <c r="C10" s="118">
        <v>42109</v>
      </c>
      <c r="D10" s="119"/>
      <c r="E10" s="118">
        <f t="shared" si="3"/>
        <v>42118</v>
      </c>
      <c r="F10" s="118">
        <f t="shared" si="4"/>
        <v>42096</v>
      </c>
      <c r="G10" s="118">
        <f t="shared" si="5"/>
        <v>42109</v>
      </c>
      <c r="I10" s="117">
        <f t="shared" si="0"/>
        <v>1</v>
      </c>
      <c r="J10" s="117">
        <f t="shared" si="1"/>
        <v>1</v>
      </c>
      <c r="K10" s="117">
        <f t="shared" si="2"/>
        <v>1</v>
      </c>
    </row>
    <row r="11" spans="1:11" x14ac:dyDescent="0.25">
      <c r="A11" s="118">
        <v>42132</v>
      </c>
      <c r="B11" s="118">
        <v>42110</v>
      </c>
      <c r="C11" s="118">
        <v>42123</v>
      </c>
      <c r="D11" s="119"/>
      <c r="E11" s="118">
        <f t="shared" si="3"/>
        <v>42132</v>
      </c>
      <c r="F11" s="118">
        <f t="shared" si="4"/>
        <v>42110</v>
      </c>
      <c r="G11" s="118">
        <f t="shared" si="5"/>
        <v>42123</v>
      </c>
      <c r="I11" s="117">
        <f t="shared" si="0"/>
        <v>1</v>
      </c>
      <c r="J11" s="117">
        <f t="shared" si="1"/>
        <v>1</v>
      </c>
      <c r="K11" s="117">
        <f t="shared" si="2"/>
        <v>1</v>
      </c>
    </row>
    <row r="12" spans="1:11" x14ac:dyDescent="0.25">
      <c r="A12" s="118">
        <v>42146</v>
      </c>
      <c r="B12" s="118">
        <v>42124</v>
      </c>
      <c r="C12" s="118">
        <v>42137</v>
      </c>
      <c r="D12" s="119"/>
      <c r="E12" s="118">
        <f t="shared" si="3"/>
        <v>42146</v>
      </c>
      <c r="F12" s="118">
        <f t="shared" si="4"/>
        <v>42124</v>
      </c>
      <c r="G12" s="118">
        <f t="shared" si="5"/>
        <v>42137</v>
      </c>
      <c r="I12" s="117">
        <f t="shared" si="0"/>
        <v>1</v>
      </c>
      <c r="J12" s="117">
        <f t="shared" si="1"/>
        <v>1</v>
      </c>
      <c r="K12" s="117">
        <f t="shared" si="2"/>
        <v>1</v>
      </c>
    </row>
    <row r="13" spans="1:11" x14ac:dyDescent="0.25">
      <c r="A13" s="118">
        <v>42160</v>
      </c>
      <c r="B13" s="118">
        <v>42138</v>
      </c>
      <c r="C13" s="118">
        <v>42151</v>
      </c>
      <c r="D13" s="119"/>
      <c r="E13" s="118">
        <f t="shared" si="3"/>
        <v>42160</v>
      </c>
      <c r="F13" s="118">
        <f t="shared" si="4"/>
        <v>42138</v>
      </c>
      <c r="G13" s="118">
        <f t="shared" si="5"/>
        <v>42151</v>
      </c>
      <c r="I13" s="117">
        <f t="shared" si="0"/>
        <v>1</v>
      </c>
      <c r="J13" s="117">
        <f t="shared" si="1"/>
        <v>1</v>
      </c>
      <c r="K13" s="117">
        <f t="shared" si="2"/>
        <v>1</v>
      </c>
    </row>
    <row r="14" spans="1:11" x14ac:dyDescent="0.25">
      <c r="A14" s="118">
        <v>42174</v>
      </c>
      <c r="B14" s="118">
        <v>42152</v>
      </c>
      <c r="C14" s="118">
        <v>42165</v>
      </c>
      <c r="D14" s="119"/>
      <c r="E14" s="118">
        <f t="shared" si="3"/>
        <v>42174</v>
      </c>
      <c r="F14" s="118">
        <f t="shared" si="4"/>
        <v>42152</v>
      </c>
      <c r="G14" s="118">
        <f t="shared" si="5"/>
        <v>42165</v>
      </c>
      <c r="I14" s="117">
        <f t="shared" si="0"/>
        <v>1</v>
      </c>
      <c r="J14" s="117">
        <f t="shared" si="1"/>
        <v>1</v>
      </c>
      <c r="K14" s="117">
        <f t="shared" si="2"/>
        <v>1</v>
      </c>
    </row>
    <row r="15" spans="1:11" x14ac:dyDescent="0.25">
      <c r="A15" s="118">
        <v>42188</v>
      </c>
      <c r="B15" s="118">
        <v>42166</v>
      </c>
      <c r="C15" s="118">
        <v>42179</v>
      </c>
      <c r="D15" s="119"/>
      <c r="E15" s="118">
        <f t="shared" si="3"/>
        <v>42188</v>
      </c>
      <c r="F15" s="118">
        <f t="shared" si="4"/>
        <v>42166</v>
      </c>
      <c r="G15" s="118">
        <f t="shared" si="5"/>
        <v>42179</v>
      </c>
      <c r="I15" s="117">
        <f t="shared" si="0"/>
        <v>1</v>
      </c>
      <c r="J15" s="117">
        <f t="shared" si="1"/>
        <v>1</v>
      </c>
      <c r="K15" s="117">
        <f t="shared" si="2"/>
        <v>1</v>
      </c>
    </row>
    <row r="16" spans="1:11" x14ac:dyDescent="0.25">
      <c r="A16" s="118">
        <v>42202</v>
      </c>
      <c r="B16" s="118">
        <v>42180</v>
      </c>
      <c r="C16" s="118">
        <v>42193</v>
      </c>
      <c r="D16" s="119"/>
      <c r="E16" s="118">
        <f t="shared" si="3"/>
        <v>42202</v>
      </c>
      <c r="F16" s="118">
        <f t="shared" si="4"/>
        <v>42180</v>
      </c>
      <c r="G16" s="118">
        <f t="shared" si="5"/>
        <v>42193</v>
      </c>
      <c r="I16" s="117">
        <f t="shared" si="0"/>
        <v>1</v>
      </c>
      <c r="J16" s="117">
        <f t="shared" si="1"/>
        <v>1</v>
      </c>
      <c r="K16" s="117">
        <f t="shared" si="2"/>
        <v>1</v>
      </c>
    </row>
    <row r="17" spans="1:11" x14ac:dyDescent="0.25">
      <c r="A17" s="118">
        <v>42216</v>
      </c>
      <c r="B17" s="118">
        <v>42194</v>
      </c>
      <c r="C17" s="118">
        <v>42207</v>
      </c>
      <c r="D17" s="119"/>
      <c r="E17" s="118">
        <f t="shared" si="3"/>
        <v>42216</v>
      </c>
      <c r="F17" s="118">
        <f t="shared" si="4"/>
        <v>42194</v>
      </c>
      <c r="G17" s="118">
        <f t="shared" si="5"/>
        <v>42207</v>
      </c>
      <c r="I17" s="117">
        <f t="shared" si="0"/>
        <v>1</v>
      </c>
      <c r="J17" s="117">
        <f t="shared" si="1"/>
        <v>1</v>
      </c>
      <c r="K17" s="117">
        <f t="shared" si="2"/>
        <v>1</v>
      </c>
    </row>
    <row r="18" spans="1:11" x14ac:dyDescent="0.25">
      <c r="A18" s="118">
        <v>42230</v>
      </c>
      <c r="B18" s="118">
        <v>42208</v>
      </c>
      <c r="C18" s="118">
        <v>42221</v>
      </c>
      <c r="D18" s="119"/>
      <c r="E18" s="118">
        <f t="shared" si="3"/>
        <v>42230</v>
      </c>
      <c r="F18" s="118">
        <f t="shared" si="4"/>
        <v>42208</v>
      </c>
      <c r="G18" s="118">
        <f t="shared" si="5"/>
        <v>42221</v>
      </c>
      <c r="I18" s="117">
        <f t="shared" si="0"/>
        <v>1</v>
      </c>
      <c r="J18" s="117">
        <f t="shared" si="1"/>
        <v>1</v>
      </c>
      <c r="K18" s="117">
        <f t="shared" si="2"/>
        <v>1</v>
      </c>
    </row>
    <row r="19" spans="1:11" x14ac:dyDescent="0.25">
      <c r="A19" s="118">
        <v>42244</v>
      </c>
      <c r="B19" s="118">
        <v>42222</v>
      </c>
      <c r="C19" s="118">
        <v>42235</v>
      </c>
      <c r="D19" s="119"/>
      <c r="E19" s="118">
        <f t="shared" si="3"/>
        <v>42244</v>
      </c>
      <c r="F19" s="118">
        <f t="shared" si="4"/>
        <v>42222</v>
      </c>
      <c r="G19" s="118">
        <f t="shared" si="5"/>
        <v>42235</v>
      </c>
      <c r="I19" s="117">
        <f t="shared" si="0"/>
        <v>1</v>
      </c>
      <c r="J19" s="117">
        <f t="shared" si="1"/>
        <v>1</v>
      </c>
      <c r="K19" s="117">
        <f t="shared" si="2"/>
        <v>1</v>
      </c>
    </row>
    <row r="20" spans="1:11" x14ac:dyDescent="0.25">
      <c r="A20" s="118">
        <v>42258</v>
      </c>
      <c r="B20" s="118">
        <v>42236</v>
      </c>
      <c r="C20" s="118">
        <v>42249</v>
      </c>
      <c r="D20" s="119"/>
      <c r="E20" s="118">
        <f t="shared" si="3"/>
        <v>42258</v>
      </c>
      <c r="F20" s="118">
        <f t="shared" si="4"/>
        <v>42236</v>
      </c>
      <c r="G20" s="118">
        <f t="shared" si="5"/>
        <v>42249</v>
      </c>
      <c r="I20" s="117">
        <f t="shared" si="0"/>
        <v>1</v>
      </c>
      <c r="J20" s="117">
        <f t="shared" si="1"/>
        <v>1</v>
      </c>
      <c r="K20" s="117">
        <f t="shared" si="2"/>
        <v>1</v>
      </c>
    </row>
    <row r="21" spans="1:11" x14ac:dyDescent="0.25">
      <c r="A21" s="118">
        <v>42272</v>
      </c>
      <c r="B21" s="118">
        <v>42250</v>
      </c>
      <c r="C21" s="118">
        <v>42263</v>
      </c>
      <c r="D21" s="119"/>
      <c r="E21" s="118">
        <f t="shared" si="3"/>
        <v>42272</v>
      </c>
      <c r="F21" s="118">
        <f t="shared" si="4"/>
        <v>42250</v>
      </c>
      <c r="G21" s="118">
        <f t="shared" si="5"/>
        <v>42263</v>
      </c>
      <c r="I21" s="117">
        <f t="shared" si="0"/>
        <v>1</v>
      </c>
      <c r="J21" s="117">
        <f t="shared" si="1"/>
        <v>1</v>
      </c>
      <c r="K21" s="117">
        <f t="shared" si="2"/>
        <v>1</v>
      </c>
    </row>
    <row r="22" spans="1:11" x14ac:dyDescent="0.25">
      <c r="A22" s="118">
        <v>42286</v>
      </c>
      <c r="B22" s="118">
        <v>42264</v>
      </c>
      <c r="C22" s="118">
        <v>42277</v>
      </c>
      <c r="D22" s="119"/>
      <c r="E22" s="118">
        <f t="shared" si="3"/>
        <v>42286</v>
      </c>
      <c r="F22" s="118">
        <f t="shared" si="4"/>
        <v>42264</v>
      </c>
      <c r="G22" s="118">
        <f t="shared" si="5"/>
        <v>42277</v>
      </c>
      <c r="I22" s="117">
        <f t="shared" si="0"/>
        <v>1</v>
      </c>
      <c r="J22" s="117">
        <f t="shared" si="1"/>
        <v>1</v>
      </c>
      <c r="K22" s="117">
        <f t="shared" si="2"/>
        <v>1</v>
      </c>
    </row>
    <row r="23" spans="1:11" x14ac:dyDescent="0.25">
      <c r="A23" s="118">
        <v>42300</v>
      </c>
      <c r="B23" s="118">
        <v>42278</v>
      </c>
      <c r="C23" s="118">
        <v>42291</v>
      </c>
      <c r="D23" s="119"/>
      <c r="E23" s="118">
        <f t="shared" si="3"/>
        <v>42300</v>
      </c>
      <c r="F23" s="118">
        <f t="shared" si="4"/>
        <v>42278</v>
      </c>
      <c r="G23" s="118">
        <f t="shared" si="5"/>
        <v>42291</v>
      </c>
      <c r="I23" s="117">
        <f t="shared" si="0"/>
        <v>1</v>
      </c>
      <c r="J23" s="117">
        <f t="shared" si="1"/>
        <v>1</v>
      </c>
      <c r="K23" s="117">
        <f t="shared" si="2"/>
        <v>1</v>
      </c>
    </row>
    <row r="24" spans="1:11" x14ac:dyDescent="0.25">
      <c r="A24" s="118">
        <v>42314</v>
      </c>
      <c r="B24" s="118">
        <v>42292</v>
      </c>
      <c r="C24" s="118">
        <v>42305</v>
      </c>
      <c r="D24" s="119"/>
      <c r="E24" s="118">
        <f t="shared" si="3"/>
        <v>42314</v>
      </c>
      <c r="F24" s="118">
        <f t="shared" si="4"/>
        <v>42292</v>
      </c>
      <c r="G24" s="118">
        <f t="shared" si="5"/>
        <v>42305</v>
      </c>
      <c r="I24" s="117">
        <f t="shared" si="0"/>
        <v>1</v>
      </c>
      <c r="J24" s="117">
        <f t="shared" si="1"/>
        <v>1</v>
      </c>
      <c r="K24" s="117">
        <f t="shared" si="2"/>
        <v>1</v>
      </c>
    </row>
    <row r="25" spans="1:11" x14ac:dyDescent="0.25">
      <c r="A25" s="118">
        <v>42328</v>
      </c>
      <c r="B25" s="118">
        <v>42306</v>
      </c>
      <c r="C25" s="118">
        <v>42319</v>
      </c>
      <c r="D25" s="119"/>
      <c r="E25" s="118">
        <f t="shared" si="3"/>
        <v>42328</v>
      </c>
      <c r="F25" s="118">
        <f t="shared" si="4"/>
        <v>42306</v>
      </c>
      <c r="G25" s="118">
        <f t="shared" si="5"/>
        <v>42319</v>
      </c>
      <c r="I25" s="117">
        <f t="shared" si="0"/>
        <v>1</v>
      </c>
      <c r="J25" s="117">
        <f t="shared" si="1"/>
        <v>1</v>
      </c>
      <c r="K25" s="117">
        <f t="shared" si="2"/>
        <v>1</v>
      </c>
    </row>
    <row r="26" spans="1:11" x14ac:dyDescent="0.25">
      <c r="A26" s="118">
        <v>42342</v>
      </c>
      <c r="B26" s="118">
        <v>42320</v>
      </c>
      <c r="C26" s="118">
        <v>42333</v>
      </c>
      <c r="D26" s="119"/>
      <c r="E26" s="118">
        <f t="shared" si="3"/>
        <v>42342</v>
      </c>
      <c r="F26" s="118">
        <f>G25+1</f>
        <v>42320</v>
      </c>
      <c r="G26" s="118">
        <f>F26+13</f>
        <v>42333</v>
      </c>
      <c r="I26" s="117">
        <f t="shared" si="0"/>
        <v>1</v>
      </c>
      <c r="J26" s="117">
        <f t="shared" si="1"/>
        <v>1</v>
      </c>
      <c r="K26" s="117">
        <f t="shared" si="2"/>
        <v>1</v>
      </c>
    </row>
    <row r="27" spans="1:11" x14ac:dyDescent="0.25">
      <c r="A27" s="118">
        <v>42356</v>
      </c>
      <c r="B27" s="118">
        <v>42334</v>
      </c>
      <c r="C27" s="118">
        <v>42347</v>
      </c>
      <c r="E27" s="118">
        <f t="shared" si="3"/>
        <v>42356</v>
      </c>
      <c r="F27" s="118">
        <f>G26+1</f>
        <v>42334</v>
      </c>
      <c r="G27" s="118">
        <f>F27+13</f>
        <v>42347</v>
      </c>
      <c r="I27" s="117">
        <f t="shared" si="0"/>
        <v>1</v>
      </c>
      <c r="J27" s="117">
        <f t="shared" si="1"/>
        <v>1</v>
      </c>
      <c r="K27" s="117">
        <f t="shared" si="2"/>
        <v>1</v>
      </c>
    </row>
  </sheetData>
  <pageMargins left="0.7" right="0.7" top="0.75" bottom="0.75" header="0.3" footer="0.3"/>
  <pageSetup scale="76" orientation="landscape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Q75"/>
  <sheetViews>
    <sheetView topLeftCell="A21" zoomScale="85" zoomScaleNormal="85" workbookViewId="0">
      <pane xSplit="3" topLeftCell="D1" activePane="topRight" state="frozen"/>
      <selection activeCell="A7" sqref="A7"/>
      <selection pane="topRight" activeCell="C44" sqref="C44"/>
    </sheetView>
  </sheetViews>
  <sheetFormatPr defaultColWidth="14.7109375" defaultRowHeight="12.75" x14ac:dyDescent="0.2"/>
  <cols>
    <col min="1" max="1" width="14.7109375" style="46"/>
    <col min="2" max="2" width="33.85546875" style="46" bestFit="1" customWidth="1"/>
    <col min="3" max="3" width="34.28515625" style="47" bestFit="1" customWidth="1"/>
    <col min="4" max="4" width="34.28515625" style="48" bestFit="1" customWidth="1"/>
    <col min="5" max="5" width="14.7109375" style="48" customWidth="1"/>
    <col min="6" max="6" width="36.28515625" style="48" bestFit="1" customWidth="1"/>
    <col min="7" max="7" width="24.28515625" style="48" customWidth="1"/>
    <col min="8" max="8" width="22" style="49" bestFit="1" customWidth="1"/>
    <col min="9" max="9" width="14.7109375" style="49"/>
    <col min="10" max="10" width="12.5703125" style="48" customWidth="1"/>
    <col min="11" max="11" width="16.42578125" style="48" customWidth="1"/>
    <col min="12" max="12" width="14.7109375" style="50"/>
    <col min="13" max="13" width="16.28515625" style="51" customWidth="1"/>
    <col min="14" max="14" width="15.7109375" style="51" bestFit="1" customWidth="1"/>
    <col min="15" max="16" width="14.7109375" style="411"/>
    <col min="17" max="16384" width="14.7109375" style="46"/>
  </cols>
  <sheetData>
    <row r="2" spans="1:17" x14ac:dyDescent="0.2">
      <c r="A2" s="46" t="s">
        <v>384</v>
      </c>
    </row>
    <row r="4" spans="1:17" s="58" customFormat="1" ht="25.5" x14ac:dyDescent="0.25">
      <c r="A4" s="415" t="s">
        <v>385</v>
      </c>
      <c r="B4" s="52" t="s">
        <v>386</v>
      </c>
      <c r="C4" s="52" t="s">
        <v>387</v>
      </c>
      <c r="D4" s="52" t="s">
        <v>388</v>
      </c>
      <c r="E4" s="52" t="s">
        <v>389</v>
      </c>
      <c r="F4" s="53" t="s">
        <v>390</v>
      </c>
      <c r="G4" s="54" t="s">
        <v>391</v>
      </c>
      <c r="H4" s="55" t="s">
        <v>392</v>
      </c>
      <c r="I4" s="55" t="s">
        <v>393</v>
      </c>
      <c r="J4" s="52" t="s">
        <v>394</v>
      </c>
      <c r="K4" s="56" t="s">
        <v>396</v>
      </c>
      <c r="L4" s="56" t="s">
        <v>395</v>
      </c>
      <c r="M4" s="57" t="s">
        <v>3106</v>
      </c>
      <c r="N4" s="57" t="s">
        <v>3107</v>
      </c>
      <c r="O4" s="412" t="s">
        <v>397</v>
      </c>
      <c r="P4" s="480" t="s">
        <v>2378</v>
      </c>
      <c r="Q4" s="58" t="s">
        <v>2379</v>
      </c>
    </row>
    <row r="5" spans="1:17" s="58" customFormat="1" ht="15" x14ac:dyDescent="0.25">
      <c r="A5" s="284">
        <v>1082464</v>
      </c>
      <c r="B5" s="137" t="s">
        <v>2876</v>
      </c>
      <c r="C5" s="137" t="s">
        <v>2874</v>
      </c>
      <c r="D5" s="137" t="s">
        <v>2875</v>
      </c>
      <c r="E5" s="285">
        <v>42128</v>
      </c>
      <c r="F5" s="610" t="s">
        <v>884</v>
      </c>
      <c r="G5" s="610" t="s">
        <v>128</v>
      </c>
      <c r="H5" s="612" t="s">
        <v>1024</v>
      </c>
      <c r="I5" s="55"/>
      <c r="J5" s="52"/>
      <c r="K5" s="284" t="s">
        <v>3243</v>
      </c>
      <c r="L5" s="284" t="s">
        <v>3242</v>
      </c>
      <c r="M5" s="284" t="s">
        <v>3244</v>
      </c>
      <c r="N5" s="284" t="s">
        <v>3241</v>
      </c>
      <c r="O5" s="285">
        <v>33807</v>
      </c>
      <c r="P5" s="480">
        <v>42130</v>
      </c>
      <c r="Q5" s="58" t="str">
        <f t="shared" ref="Q5:Q46" si="0">IF(AND(P5&lt;&gt;"",K5&lt;&gt;"",L5&lt;&gt;"",M5&lt;&gt;"",N5&lt;&gt;"")=TRUE,"Yes","No")</f>
        <v>Yes</v>
      </c>
    </row>
    <row r="6" spans="1:17" s="58" customFormat="1" ht="15" x14ac:dyDescent="0.25">
      <c r="A6" s="284">
        <v>1082465</v>
      </c>
      <c r="B6" s="137" t="s">
        <v>2880</v>
      </c>
      <c r="C6" s="137" t="s">
        <v>2878</v>
      </c>
      <c r="D6" s="137" t="s">
        <v>2879</v>
      </c>
      <c r="E6" s="285">
        <v>42128</v>
      </c>
      <c r="F6" s="610" t="s">
        <v>3301</v>
      </c>
      <c r="G6" s="610" t="s">
        <v>773</v>
      </c>
      <c r="H6" s="612" t="s">
        <v>1233</v>
      </c>
      <c r="I6" s="55"/>
      <c r="J6" s="52"/>
      <c r="K6" s="284" t="s">
        <v>49</v>
      </c>
      <c r="L6" s="284" t="s">
        <v>49</v>
      </c>
      <c r="M6" s="284" t="s">
        <v>49</v>
      </c>
      <c r="N6" s="284" t="s">
        <v>49</v>
      </c>
      <c r="O6" s="285">
        <v>33375</v>
      </c>
      <c r="P6" s="480">
        <v>42130</v>
      </c>
      <c r="Q6" s="58" t="str">
        <f t="shared" si="0"/>
        <v>No</v>
      </c>
    </row>
    <row r="7" spans="1:17" s="58" customFormat="1" ht="15" x14ac:dyDescent="0.25">
      <c r="A7" s="284">
        <v>1082466</v>
      </c>
      <c r="B7" s="137" t="s">
        <v>2102</v>
      </c>
      <c r="C7" s="137" t="s">
        <v>2882</v>
      </c>
      <c r="D7" s="137" t="s">
        <v>2883</v>
      </c>
      <c r="E7" s="285">
        <v>42128</v>
      </c>
      <c r="F7" s="610" t="s">
        <v>3301</v>
      </c>
      <c r="G7" s="610" t="s">
        <v>773</v>
      </c>
      <c r="H7" s="612" t="s">
        <v>1233</v>
      </c>
      <c r="I7" s="55"/>
      <c r="J7" s="52"/>
      <c r="K7" s="284" t="s">
        <v>3101</v>
      </c>
      <c r="L7" s="284" t="s">
        <v>3103</v>
      </c>
      <c r="M7" s="284" t="s">
        <v>49</v>
      </c>
      <c r="N7" s="284" t="s">
        <v>3102</v>
      </c>
      <c r="O7" s="285">
        <v>33295</v>
      </c>
      <c r="P7" s="480">
        <v>42130</v>
      </c>
      <c r="Q7" s="58" t="str">
        <f t="shared" si="0"/>
        <v>No</v>
      </c>
    </row>
    <row r="8" spans="1:17" s="58" customFormat="1" ht="15" x14ac:dyDescent="0.25">
      <c r="A8" s="284">
        <v>1082467</v>
      </c>
      <c r="B8" s="137" t="s">
        <v>2886</v>
      </c>
      <c r="C8" s="137" t="s">
        <v>2885</v>
      </c>
      <c r="D8" s="137" t="s">
        <v>2443</v>
      </c>
      <c r="E8" s="285">
        <v>42128</v>
      </c>
      <c r="F8" s="610" t="s">
        <v>3301</v>
      </c>
      <c r="G8" s="610" t="s">
        <v>773</v>
      </c>
      <c r="H8" s="612" t="s">
        <v>1233</v>
      </c>
      <c r="I8" s="55"/>
      <c r="J8" s="52"/>
      <c r="K8" s="284" t="s">
        <v>49</v>
      </c>
      <c r="L8" s="284" t="s">
        <v>49</v>
      </c>
      <c r="M8" s="284" t="s">
        <v>49</v>
      </c>
      <c r="N8" s="284" t="s">
        <v>49</v>
      </c>
      <c r="O8" s="285">
        <v>33426</v>
      </c>
      <c r="P8" s="480">
        <v>42130</v>
      </c>
      <c r="Q8" s="58" t="str">
        <f t="shared" si="0"/>
        <v>No</v>
      </c>
    </row>
    <row r="9" spans="1:17" s="58" customFormat="1" ht="15" x14ac:dyDescent="0.25">
      <c r="A9" s="284">
        <v>1082468</v>
      </c>
      <c r="B9" s="137" t="s">
        <v>2889</v>
      </c>
      <c r="C9" s="137" t="s">
        <v>318</v>
      </c>
      <c r="D9" s="137" t="s">
        <v>2888</v>
      </c>
      <c r="E9" s="285">
        <v>42128</v>
      </c>
      <c r="F9" s="610" t="s">
        <v>3301</v>
      </c>
      <c r="G9" s="610" t="s">
        <v>773</v>
      </c>
      <c r="H9" s="612" t="s">
        <v>1233</v>
      </c>
      <c r="I9" s="55"/>
      <c r="J9" s="52"/>
      <c r="K9" s="284" t="s">
        <v>49</v>
      </c>
      <c r="L9" s="284" t="s">
        <v>49</v>
      </c>
      <c r="M9" s="284" t="s">
        <v>3105</v>
      </c>
      <c r="N9" s="284" t="s">
        <v>49</v>
      </c>
      <c r="O9" s="285">
        <v>32440</v>
      </c>
      <c r="P9" s="480">
        <v>42130</v>
      </c>
      <c r="Q9" s="58" t="str">
        <f t="shared" si="0"/>
        <v>No</v>
      </c>
    </row>
    <row r="10" spans="1:17" s="58" customFormat="1" ht="15" x14ac:dyDescent="0.25">
      <c r="A10" s="284">
        <v>1082469</v>
      </c>
      <c r="B10" s="540" t="s">
        <v>256</v>
      </c>
      <c r="C10" s="540" t="s">
        <v>2891</v>
      </c>
      <c r="D10" s="540" t="s">
        <v>2892</v>
      </c>
      <c r="E10" s="285">
        <v>42128</v>
      </c>
      <c r="F10" s="610" t="s">
        <v>3301</v>
      </c>
      <c r="G10" s="610" t="s">
        <v>773</v>
      </c>
      <c r="H10" s="613" t="s">
        <v>1233</v>
      </c>
      <c r="I10" s="55"/>
      <c r="J10" s="52"/>
      <c r="K10" s="284" t="s">
        <v>49</v>
      </c>
      <c r="L10" s="284" t="s">
        <v>49</v>
      </c>
      <c r="M10" s="284" t="s">
        <v>49</v>
      </c>
      <c r="N10" s="284" t="s">
        <v>49</v>
      </c>
      <c r="O10" s="285">
        <v>33541</v>
      </c>
      <c r="P10" s="480">
        <v>42130</v>
      </c>
      <c r="Q10" s="58" t="str">
        <f t="shared" si="0"/>
        <v>No</v>
      </c>
    </row>
    <row r="11" spans="1:17" s="58" customFormat="1" ht="15" x14ac:dyDescent="0.25">
      <c r="A11" s="284">
        <v>1082470</v>
      </c>
      <c r="B11" s="540" t="s">
        <v>2896</v>
      </c>
      <c r="C11" s="540" t="s">
        <v>2894</v>
      </c>
      <c r="D11" s="540" t="s">
        <v>2895</v>
      </c>
      <c r="E11" s="285">
        <v>42128</v>
      </c>
      <c r="F11" s="610" t="s">
        <v>3301</v>
      </c>
      <c r="G11" s="610" t="s">
        <v>773</v>
      </c>
      <c r="H11" s="613" t="s">
        <v>1233</v>
      </c>
      <c r="I11" s="55"/>
      <c r="J11" s="52"/>
      <c r="K11" s="284" t="s">
        <v>49</v>
      </c>
      <c r="L11" s="284" t="s">
        <v>49</v>
      </c>
      <c r="M11" s="284" t="s">
        <v>49</v>
      </c>
      <c r="N11" s="284" t="s">
        <v>49</v>
      </c>
      <c r="O11" s="285">
        <v>32279</v>
      </c>
      <c r="P11" s="480">
        <v>42130</v>
      </c>
      <c r="Q11" s="58" t="str">
        <f t="shared" si="0"/>
        <v>No</v>
      </c>
    </row>
    <row r="12" spans="1:17" s="58" customFormat="1" ht="15" x14ac:dyDescent="0.25">
      <c r="A12" s="284">
        <v>1082471</v>
      </c>
      <c r="B12" s="540" t="s">
        <v>1695</v>
      </c>
      <c r="C12" s="540" t="s">
        <v>2898</v>
      </c>
      <c r="D12" s="540" t="s">
        <v>2899</v>
      </c>
      <c r="E12" s="285">
        <v>42128</v>
      </c>
      <c r="F12" s="610" t="s">
        <v>3301</v>
      </c>
      <c r="G12" s="610" t="s">
        <v>773</v>
      </c>
      <c r="H12" s="613" t="s">
        <v>1233</v>
      </c>
      <c r="I12" s="55"/>
      <c r="J12" s="52"/>
      <c r="K12" s="284" t="s">
        <v>3097</v>
      </c>
      <c r="L12" s="284" t="s">
        <v>3098</v>
      </c>
      <c r="M12" s="284" t="s">
        <v>49</v>
      </c>
      <c r="N12" s="284" t="s">
        <v>49</v>
      </c>
      <c r="O12" s="285">
        <v>33764</v>
      </c>
      <c r="P12" s="480">
        <v>42130</v>
      </c>
      <c r="Q12" s="58" t="str">
        <f t="shared" si="0"/>
        <v>No</v>
      </c>
    </row>
    <row r="13" spans="1:17" s="58" customFormat="1" ht="15" x14ac:dyDescent="0.25">
      <c r="A13" s="284">
        <v>1082472</v>
      </c>
      <c r="B13" s="540" t="s">
        <v>2903</v>
      </c>
      <c r="C13" s="540" t="s">
        <v>2901</v>
      </c>
      <c r="D13" s="540" t="s">
        <v>2902</v>
      </c>
      <c r="E13" s="285">
        <v>42128</v>
      </c>
      <c r="F13" s="610" t="s">
        <v>3301</v>
      </c>
      <c r="G13" s="610" t="s">
        <v>773</v>
      </c>
      <c r="H13" s="613" t="s">
        <v>1233</v>
      </c>
      <c r="I13" s="55"/>
      <c r="J13" s="52"/>
      <c r="K13" s="284" t="s">
        <v>3099</v>
      </c>
      <c r="L13" s="284" t="s">
        <v>49</v>
      </c>
      <c r="M13" s="284" t="s">
        <v>3100</v>
      </c>
      <c r="N13" s="284" t="s">
        <v>49</v>
      </c>
      <c r="O13" s="285">
        <v>33190</v>
      </c>
      <c r="P13" s="480">
        <v>42130</v>
      </c>
      <c r="Q13" s="58" t="str">
        <f t="shared" si="0"/>
        <v>No</v>
      </c>
    </row>
    <row r="14" spans="1:17" ht="15" x14ac:dyDescent="0.25">
      <c r="A14" s="284">
        <v>1082473</v>
      </c>
      <c r="B14" s="137" t="s">
        <v>2907</v>
      </c>
      <c r="C14" s="137" t="s">
        <v>2905</v>
      </c>
      <c r="D14" s="137" t="s">
        <v>2906</v>
      </c>
      <c r="E14" s="285">
        <v>42128</v>
      </c>
      <c r="F14" s="610" t="s">
        <v>1649</v>
      </c>
      <c r="G14" s="610" t="s">
        <v>74</v>
      </c>
      <c r="H14" s="612" t="s">
        <v>1232</v>
      </c>
      <c r="I14" s="61"/>
      <c r="J14" s="62"/>
      <c r="K14" s="284" t="s">
        <v>3054</v>
      </c>
      <c r="L14" s="284" t="s">
        <v>3061</v>
      </c>
      <c r="M14" s="284" t="s">
        <v>3114</v>
      </c>
      <c r="N14" s="284" t="s">
        <v>3055</v>
      </c>
      <c r="O14" s="285">
        <v>30284</v>
      </c>
      <c r="P14" s="411">
        <v>42130</v>
      </c>
      <c r="Q14" s="58" t="str">
        <f t="shared" si="0"/>
        <v>Yes</v>
      </c>
    </row>
    <row r="15" spans="1:17" ht="15" x14ac:dyDescent="0.25">
      <c r="A15" s="284">
        <v>1082474</v>
      </c>
      <c r="B15" s="137" t="s">
        <v>2912</v>
      </c>
      <c r="C15" s="137" t="s">
        <v>2910</v>
      </c>
      <c r="D15" s="137" t="s">
        <v>2911</v>
      </c>
      <c r="E15" s="285">
        <v>42128</v>
      </c>
      <c r="F15" s="610" t="s">
        <v>1650</v>
      </c>
      <c r="G15" s="610" t="s">
        <v>70</v>
      </c>
      <c r="H15" s="612" t="s">
        <v>1233</v>
      </c>
      <c r="I15" s="61"/>
      <c r="J15" s="62"/>
      <c r="K15" s="284" t="s">
        <v>3123</v>
      </c>
      <c r="L15" s="284" t="s">
        <v>3044</v>
      </c>
      <c r="M15" s="284" t="s">
        <v>3043</v>
      </c>
      <c r="N15" s="284" t="s">
        <v>3133</v>
      </c>
      <c r="O15" s="285">
        <v>32877</v>
      </c>
      <c r="P15" s="411">
        <v>42130</v>
      </c>
      <c r="Q15" s="58" t="str">
        <f t="shared" si="0"/>
        <v>Yes</v>
      </c>
    </row>
    <row r="16" spans="1:17" ht="15" x14ac:dyDescent="0.25">
      <c r="A16" s="284">
        <v>1082475</v>
      </c>
      <c r="B16" s="137" t="s">
        <v>2917</v>
      </c>
      <c r="C16" s="137" t="s">
        <v>2915</v>
      </c>
      <c r="D16" s="137" t="s">
        <v>2916</v>
      </c>
      <c r="E16" s="285">
        <v>42128</v>
      </c>
      <c r="F16" s="610" t="s">
        <v>1650</v>
      </c>
      <c r="G16" s="610" t="s">
        <v>70</v>
      </c>
      <c r="H16" s="612" t="s">
        <v>1233</v>
      </c>
      <c r="I16" s="61"/>
      <c r="J16" s="62"/>
      <c r="K16" s="284" t="s">
        <v>3073</v>
      </c>
      <c r="L16" s="284" t="s">
        <v>49</v>
      </c>
      <c r="M16" s="284" t="s">
        <v>49</v>
      </c>
      <c r="N16" s="284" t="s">
        <v>49</v>
      </c>
      <c r="O16" s="285">
        <v>32919</v>
      </c>
      <c r="P16" s="411">
        <v>42130</v>
      </c>
      <c r="Q16" s="58" t="str">
        <f t="shared" si="0"/>
        <v>No</v>
      </c>
    </row>
    <row r="17" spans="1:17" ht="15" x14ac:dyDescent="0.25">
      <c r="A17" s="416">
        <v>1082476</v>
      </c>
      <c r="B17" s="137" t="s">
        <v>2921</v>
      </c>
      <c r="C17" s="137" t="s">
        <v>2919</v>
      </c>
      <c r="D17" s="137" t="s">
        <v>2920</v>
      </c>
      <c r="E17" s="286">
        <v>42128</v>
      </c>
      <c r="F17" s="610" t="s">
        <v>1649</v>
      </c>
      <c r="G17" s="610" t="s">
        <v>74</v>
      </c>
      <c r="H17" s="612" t="s">
        <v>1232</v>
      </c>
      <c r="I17" s="61"/>
      <c r="J17" s="62"/>
      <c r="K17" s="284" t="s">
        <v>3216</v>
      </c>
      <c r="L17" s="284" t="s">
        <v>3215</v>
      </c>
      <c r="M17" s="137" t="s">
        <v>3217</v>
      </c>
      <c r="N17" s="287" t="s">
        <v>3218</v>
      </c>
      <c r="O17" s="286">
        <v>32066</v>
      </c>
      <c r="P17" s="411">
        <v>42130</v>
      </c>
      <c r="Q17" s="58" t="str">
        <f t="shared" si="0"/>
        <v>Yes</v>
      </c>
    </row>
    <row r="18" spans="1:17" ht="15" x14ac:dyDescent="0.25">
      <c r="A18" s="416">
        <v>1082477</v>
      </c>
      <c r="B18" s="137" t="s">
        <v>2926</v>
      </c>
      <c r="C18" s="137" t="s">
        <v>2924</v>
      </c>
      <c r="D18" s="137" t="s">
        <v>2925</v>
      </c>
      <c r="E18" s="286">
        <v>42128</v>
      </c>
      <c r="F18" s="610" t="s">
        <v>1650</v>
      </c>
      <c r="G18" s="610" t="s">
        <v>70</v>
      </c>
      <c r="H18" s="612" t="s">
        <v>1233</v>
      </c>
      <c r="I18" s="61"/>
      <c r="J18" s="62"/>
      <c r="K18" s="284" t="s">
        <v>49</v>
      </c>
      <c r="L18" s="284" t="s">
        <v>49</v>
      </c>
      <c r="M18" s="137" t="s">
        <v>49</v>
      </c>
      <c r="N18" s="284" t="s">
        <v>49</v>
      </c>
      <c r="O18" s="286">
        <v>33717</v>
      </c>
      <c r="P18" s="411">
        <v>42130</v>
      </c>
      <c r="Q18" s="58" t="str">
        <f t="shared" si="0"/>
        <v>No</v>
      </c>
    </row>
    <row r="19" spans="1:17" ht="15" x14ac:dyDescent="0.25">
      <c r="A19" s="416">
        <v>1082478</v>
      </c>
      <c r="B19" s="137" t="s">
        <v>1030</v>
      </c>
      <c r="C19" s="137" t="s">
        <v>558</v>
      </c>
      <c r="D19" s="137" t="s">
        <v>2928</v>
      </c>
      <c r="E19" s="286">
        <v>42128</v>
      </c>
      <c r="F19" s="610" t="s">
        <v>1650</v>
      </c>
      <c r="G19" s="610" t="s">
        <v>70</v>
      </c>
      <c r="H19" s="612" t="s">
        <v>1233</v>
      </c>
      <c r="I19" s="61"/>
      <c r="J19" s="62"/>
      <c r="K19" s="284" t="s">
        <v>3111</v>
      </c>
      <c r="L19" s="284" t="s">
        <v>3112</v>
      </c>
      <c r="M19" s="137" t="s">
        <v>3125</v>
      </c>
      <c r="N19" s="284" t="s">
        <v>3124</v>
      </c>
      <c r="O19" s="286" t="s">
        <v>2929</v>
      </c>
      <c r="P19" s="411">
        <v>42130</v>
      </c>
      <c r="Q19" s="58" t="str">
        <f t="shared" si="0"/>
        <v>Yes</v>
      </c>
    </row>
    <row r="20" spans="1:17" ht="15" x14ac:dyDescent="0.25">
      <c r="A20" s="416">
        <v>1082479</v>
      </c>
      <c r="B20" s="137" t="s">
        <v>2932</v>
      </c>
      <c r="C20" s="137" t="s">
        <v>2931</v>
      </c>
      <c r="D20" s="137" t="s">
        <v>620</v>
      </c>
      <c r="E20" s="286">
        <v>42128</v>
      </c>
      <c r="F20" s="610" t="s">
        <v>1650</v>
      </c>
      <c r="G20" s="610" t="s">
        <v>70</v>
      </c>
      <c r="H20" s="612" t="s">
        <v>1233</v>
      </c>
      <c r="I20" s="61"/>
      <c r="J20" s="62"/>
      <c r="K20" s="284" t="s">
        <v>3041</v>
      </c>
      <c r="L20" s="284" t="s">
        <v>49</v>
      </c>
      <c r="M20" s="137" t="s">
        <v>3040</v>
      </c>
      <c r="N20" s="288" t="s">
        <v>3039</v>
      </c>
      <c r="O20" s="286">
        <v>32206</v>
      </c>
      <c r="P20" s="411">
        <v>42130</v>
      </c>
      <c r="Q20" s="58" t="str">
        <f t="shared" si="0"/>
        <v>No</v>
      </c>
    </row>
    <row r="21" spans="1:17" ht="15" x14ac:dyDescent="0.25">
      <c r="A21" s="416">
        <v>1082480</v>
      </c>
      <c r="B21" s="137" t="s">
        <v>2937</v>
      </c>
      <c r="C21" s="137" t="s">
        <v>2935</v>
      </c>
      <c r="D21" s="137" t="s">
        <v>2936</v>
      </c>
      <c r="E21" s="286">
        <v>42128</v>
      </c>
      <c r="F21" s="610" t="s">
        <v>1649</v>
      </c>
      <c r="G21" s="610" t="s">
        <v>74</v>
      </c>
      <c r="H21" s="612" t="s">
        <v>1232</v>
      </c>
      <c r="I21" s="61"/>
      <c r="J21" s="62"/>
      <c r="K21" s="284" t="s">
        <v>3065</v>
      </c>
      <c r="L21" s="284" t="s">
        <v>3118</v>
      </c>
      <c r="M21" s="137" t="s">
        <v>3067</v>
      </c>
      <c r="N21" s="284" t="s">
        <v>3066</v>
      </c>
      <c r="O21" s="286">
        <v>28779</v>
      </c>
      <c r="P21" s="411">
        <v>42130</v>
      </c>
      <c r="Q21" s="58" t="str">
        <f t="shared" si="0"/>
        <v>Yes</v>
      </c>
    </row>
    <row r="22" spans="1:17" ht="15" x14ac:dyDescent="0.25">
      <c r="A22" s="416">
        <v>1082481</v>
      </c>
      <c r="B22" s="137" t="s">
        <v>2942</v>
      </c>
      <c r="C22" s="137" t="s">
        <v>2940</v>
      </c>
      <c r="D22" s="137" t="s">
        <v>2941</v>
      </c>
      <c r="E22" s="286">
        <v>42128</v>
      </c>
      <c r="F22" s="610" t="s">
        <v>1650</v>
      </c>
      <c r="G22" s="610" t="s">
        <v>70</v>
      </c>
      <c r="H22" s="612" t="s">
        <v>1233</v>
      </c>
      <c r="I22" s="61"/>
      <c r="J22" s="62"/>
      <c r="K22" s="284" t="s">
        <v>49</v>
      </c>
      <c r="L22" s="284" t="s">
        <v>3034</v>
      </c>
      <c r="M22" s="137" t="s">
        <v>49</v>
      </c>
      <c r="N22" s="284" t="s">
        <v>49</v>
      </c>
      <c r="O22" s="286">
        <v>34087</v>
      </c>
      <c r="P22" s="411">
        <v>42130</v>
      </c>
      <c r="Q22" s="58" t="str">
        <f t="shared" si="0"/>
        <v>No</v>
      </c>
    </row>
    <row r="23" spans="1:17" ht="15" x14ac:dyDescent="0.25">
      <c r="A23" s="416">
        <v>1082482</v>
      </c>
      <c r="B23" s="137" t="s">
        <v>2946</v>
      </c>
      <c r="C23" s="137" t="s">
        <v>2944</v>
      </c>
      <c r="D23" s="137" t="s">
        <v>2945</v>
      </c>
      <c r="E23" s="286">
        <v>42128</v>
      </c>
      <c r="F23" s="610" t="s">
        <v>1650</v>
      </c>
      <c r="G23" s="611" t="s">
        <v>70</v>
      </c>
      <c r="H23" s="612" t="s">
        <v>1233</v>
      </c>
      <c r="I23" s="61"/>
      <c r="J23" s="62"/>
      <c r="K23" s="284" t="s">
        <v>3069</v>
      </c>
      <c r="L23" s="284" t="s">
        <v>3246</v>
      </c>
      <c r="M23" s="137" t="s">
        <v>3245</v>
      </c>
      <c r="N23" s="284" t="s">
        <v>49</v>
      </c>
      <c r="O23" s="286" t="s">
        <v>2947</v>
      </c>
      <c r="P23" s="411">
        <v>42130</v>
      </c>
      <c r="Q23" s="58" t="str">
        <f t="shared" si="0"/>
        <v>No</v>
      </c>
    </row>
    <row r="24" spans="1:17" ht="15" x14ac:dyDescent="0.25">
      <c r="A24" s="417">
        <v>1082483</v>
      </c>
      <c r="B24" s="60" t="s">
        <v>2951</v>
      </c>
      <c r="C24" s="60" t="s">
        <v>2950</v>
      </c>
      <c r="D24" s="67" t="s">
        <v>607</v>
      </c>
      <c r="E24" s="283">
        <v>42128</v>
      </c>
      <c r="F24" s="610" t="s">
        <v>1649</v>
      </c>
      <c r="G24" s="60" t="s">
        <v>74</v>
      </c>
      <c r="H24" s="59" t="s">
        <v>1232</v>
      </c>
      <c r="I24" s="61"/>
      <c r="J24" s="62"/>
      <c r="K24" s="282" t="s">
        <v>3063</v>
      </c>
      <c r="L24" s="282" t="s">
        <v>49</v>
      </c>
      <c r="M24" s="282" t="s">
        <v>3022</v>
      </c>
      <c r="N24" s="282" t="s">
        <v>3062</v>
      </c>
      <c r="O24" s="63">
        <v>29611</v>
      </c>
      <c r="P24" s="411">
        <v>42130</v>
      </c>
      <c r="Q24" s="58" t="str">
        <f t="shared" si="0"/>
        <v>No</v>
      </c>
    </row>
    <row r="25" spans="1:17" ht="15" x14ac:dyDescent="0.25">
      <c r="A25" s="417">
        <v>1082484</v>
      </c>
      <c r="B25" s="60" t="s">
        <v>2955</v>
      </c>
      <c r="C25" s="60" t="s">
        <v>2953</v>
      </c>
      <c r="D25" s="67" t="s">
        <v>2954</v>
      </c>
      <c r="E25" s="283">
        <v>42128</v>
      </c>
      <c r="F25" s="610" t="s">
        <v>1650</v>
      </c>
      <c r="G25" s="60" t="s">
        <v>70</v>
      </c>
      <c r="H25" s="59" t="s">
        <v>1233</v>
      </c>
      <c r="I25" s="61"/>
      <c r="J25" s="62"/>
      <c r="K25" s="282" t="s">
        <v>3052</v>
      </c>
      <c r="L25" s="282" t="s">
        <v>3049</v>
      </c>
      <c r="M25" s="282" t="s">
        <v>3117</v>
      </c>
      <c r="N25" s="282" t="s">
        <v>3051</v>
      </c>
      <c r="O25" s="63">
        <v>31328</v>
      </c>
      <c r="P25" s="411">
        <v>42130</v>
      </c>
      <c r="Q25" s="58" t="str">
        <f t="shared" si="0"/>
        <v>Yes</v>
      </c>
    </row>
    <row r="26" spans="1:17" ht="15" x14ac:dyDescent="0.25">
      <c r="A26" s="417">
        <v>1082485</v>
      </c>
      <c r="B26" s="60" t="s">
        <v>2959</v>
      </c>
      <c r="C26" s="60" t="s">
        <v>2957</v>
      </c>
      <c r="D26" s="67" t="s">
        <v>2958</v>
      </c>
      <c r="E26" s="283">
        <v>42128</v>
      </c>
      <c r="F26" s="610" t="s">
        <v>1649</v>
      </c>
      <c r="G26" s="60" t="s">
        <v>74</v>
      </c>
      <c r="H26" s="59" t="s">
        <v>1232</v>
      </c>
      <c r="I26" s="61"/>
      <c r="J26" s="62"/>
      <c r="K26" s="282" t="s">
        <v>3273</v>
      </c>
      <c r="L26" s="282" t="s">
        <v>3057</v>
      </c>
      <c r="M26" s="282" t="s">
        <v>3274</v>
      </c>
      <c r="N26" s="282" t="s">
        <v>3058</v>
      </c>
      <c r="O26" s="63">
        <v>32185</v>
      </c>
      <c r="P26" s="411">
        <v>42130</v>
      </c>
      <c r="Q26" s="58" t="str">
        <f t="shared" si="0"/>
        <v>Yes</v>
      </c>
    </row>
    <row r="27" spans="1:17" ht="15" x14ac:dyDescent="0.25">
      <c r="A27" s="417">
        <v>1082486</v>
      </c>
      <c r="B27" s="64" t="s">
        <v>2964</v>
      </c>
      <c r="C27" s="64" t="s">
        <v>2962</v>
      </c>
      <c r="D27" s="64" t="s">
        <v>2963</v>
      </c>
      <c r="E27" s="283">
        <v>42128</v>
      </c>
      <c r="F27" s="610" t="s">
        <v>1649</v>
      </c>
      <c r="G27" s="66" t="s">
        <v>74</v>
      </c>
      <c r="H27" s="59" t="s">
        <v>1232</v>
      </c>
      <c r="I27" s="61"/>
      <c r="J27" s="62"/>
      <c r="K27" s="282" t="s">
        <v>3275</v>
      </c>
      <c r="L27" s="282" t="s">
        <v>3024</v>
      </c>
      <c r="M27" s="282" t="s">
        <v>3026</v>
      </c>
      <c r="N27" s="282" t="s">
        <v>3025</v>
      </c>
      <c r="O27" s="63">
        <v>31122</v>
      </c>
      <c r="P27" s="411">
        <v>42130</v>
      </c>
      <c r="Q27" s="58" t="str">
        <f t="shared" si="0"/>
        <v>Yes</v>
      </c>
    </row>
    <row r="28" spans="1:17" ht="15" x14ac:dyDescent="0.25">
      <c r="A28" s="417">
        <v>1082487</v>
      </c>
      <c r="B28" s="65" t="s">
        <v>2968</v>
      </c>
      <c r="C28" s="65" t="s">
        <v>2966</v>
      </c>
      <c r="D28" s="67" t="s">
        <v>2967</v>
      </c>
      <c r="E28" s="283">
        <v>42128</v>
      </c>
      <c r="F28" s="610" t="s">
        <v>1649</v>
      </c>
      <c r="G28" s="66" t="s">
        <v>74</v>
      </c>
      <c r="H28" s="59" t="s">
        <v>1232</v>
      </c>
      <c r="I28" s="61"/>
      <c r="J28" s="62"/>
      <c r="K28" s="282" t="s">
        <v>3036</v>
      </c>
      <c r="L28" s="282" t="s">
        <v>49</v>
      </c>
      <c r="M28" s="282" t="s">
        <v>3277</v>
      </c>
      <c r="N28" s="282" t="s">
        <v>3037</v>
      </c>
      <c r="O28" s="63">
        <v>31675</v>
      </c>
      <c r="P28" s="411">
        <v>42130</v>
      </c>
      <c r="Q28" s="58" t="str">
        <f t="shared" si="0"/>
        <v>No</v>
      </c>
    </row>
    <row r="29" spans="1:17" ht="15" x14ac:dyDescent="0.2">
      <c r="A29" s="418">
        <v>1082488</v>
      </c>
      <c r="B29" s="66" t="s">
        <v>2425</v>
      </c>
      <c r="C29" s="67" t="s">
        <v>1207</v>
      </c>
      <c r="D29" s="67" t="s">
        <v>2970</v>
      </c>
      <c r="E29" s="68">
        <v>42128</v>
      </c>
      <c r="F29" s="610" t="s">
        <v>1649</v>
      </c>
      <c r="G29" s="66" t="s">
        <v>74</v>
      </c>
      <c r="H29" s="59" t="s">
        <v>1232</v>
      </c>
      <c r="I29" s="61"/>
      <c r="J29" s="62"/>
      <c r="K29" s="66" t="s">
        <v>3030</v>
      </c>
      <c r="L29" s="66" t="s">
        <v>3027</v>
      </c>
      <c r="M29" s="66" t="s">
        <v>3029</v>
      </c>
      <c r="N29" s="66" t="s">
        <v>3028</v>
      </c>
      <c r="O29" s="68">
        <v>32711</v>
      </c>
      <c r="P29" s="411">
        <v>42130</v>
      </c>
      <c r="Q29" s="58" t="str">
        <f t="shared" si="0"/>
        <v>Yes</v>
      </c>
    </row>
    <row r="30" spans="1:17" ht="15" x14ac:dyDescent="0.2">
      <c r="A30" s="418">
        <v>1082489</v>
      </c>
      <c r="B30" s="66" t="s">
        <v>2975</v>
      </c>
      <c r="C30" s="67" t="s">
        <v>2973</v>
      </c>
      <c r="D30" s="67" t="s">
        <v>2974</v>
      </c>
      <c r="E30" s="68">
        <v>42128</v>
      </c>
      <c r="F30" s="610" t="s">
        <v>1650</v>
      </c>
      <c r="G30" s="66" t="s">
        <v>70</v>
      </c>
      <c r="H30" s="59" t="s">
        <v>1233</v>
      </c>
      <c r="I30" s="61"/>
      <c r="J30" s="62"/>
      <c r="K30" s="66" t="s">
        <v>3075</v>
      </c>
      <c r="L30" s="66" t="s">
        <v>3056</v>
      </c>
      <c r="M30" s="66" t="s">
        <v>3068</v>
      </c>
      <c r="N30" s="66" t="s">
        <v>3076</v>
      </c>
      <c r="O30" s="68">
        <v>34148</v>
      </c>
      <c r="P30" s="411">
        <v>42130</v>
      </c>
      <c r="Q30" s="58" t="str">
        <f t="shared" si="0"/>
        <v>Yes</v>
      </c>
    </row>
    <row r="31" spans="1:17" ht="15" x14ac:dyDescent="0.2">
      <c r="A31" s="418">
        <v>1082490</v>
      </c>
      <c r="B31" s="66" t="s">
        <v>3145</v>
      </c>
      <c r="C31" s="67" t="s">
        <v>3144</v>
      </c>
      <c r="D31" s="67" t="s">
        <v>3292</v>
      </c>
      <c r="E31" s="68">
        <v>42135</v>
      </c>
      <c r="F31" s="610" t="s">
        <v>1649</v>
      </c>
      <c r="G31" s="66" t="s">
        <v>74</v>
      </c>
      <c r="H31" s="59" t="s">
        <v>1232</v>
      </c>
      <c r="I31" s="61"/>
      <c r="J31" s="62"/>
      <c r="K31" s="66" t="s">
        <v>3260</v>
      </c>
      <c r="L31" s="66" t="s">
        <v>3258</v>
      </c>
      <c r="M31" s="66" t="s">
        <v>3259</v>
      </c>
      <c r="N31" s="66" t="s">
        <v>3257</v>
      </c>
      <c r="O31" s="68">
        <v>32351</v>
      </c>
      <c r="P31" s="411">
        <v>42137</v>
      </c>
      <c r="Q31" s="58" t="str">
        <f t="shared" si="0"/>
        <v>Yes</v>
      </c>
    </row>
    <row r="32" spans="1:17" ht="15" x14ac:dyDescent="0.2">
      <c r="A32" s="418">
        <v>1082491</v>
      </c>
      <c r="B32" s="66" t="s">
        <v>3148</v>
      </c>
      <c r="C32" s="67" t="s">
        <v>3147</v>
      </c>
      <c r="D32" s="67" t="s">
        <v>3291</v>
      </c>
      <c r="E32" s="68">
        <v>42135</v>
      </c>
      <c r="F32" s="610" t="s">
        <v>1649</v>
      </c>
      <c r="G32" s="66" t="s">
        <v>74</v>
      </c>
      <c r="H32" s="59" t="s">
        <v>1232</v>
      </c>
      <c r="I32" s="61"/>
      <c r="J32" s="62"/>
      <c r="K32" s="66" t="s">
        <v>3279</v>
      </c>
      <c r="L32" s="66" t="s">
        <v>3202</v>
      </c>
      <c r="M32" s="66" t="s">
        <v>3201</v>
      </c>
      <c r="N32" s="66" t="s">
        <v>3278</v>
      </c>
      <c r="O32" s="413">
        <v>30888</v>
      </c>
      <c r="P32" s="411">
        <v>42137</v>
      </c>
      <c r="Q32" s="58" t="str">
        <f t="shared" si="0"/>
        <v>Yes</v>
      </c>
    </row>
    <row r="33" spans="1:17" ht="15" x14ac:dyDescent="0.2">
      <c r="A33" s="418">
        <v>1082492</v>
      </c>
      <c r="B33" s="66" t="s">
        <v>3150</v>
      </c>
      <c r="C33" s="67" t="s">
        <v>3149</v>
      </c>
      <c r="D33" s="67" t="s">
        <v>3289</v>
      </c>
      <c r="E33" s="68">
        <v>42135</v>
      </c>
      <c r="F33" s="610" t="s">
        <v>1650</v>
      </c>
      <c r="G33" s="66" t="s">
        <v>70</v>
      </c>
      <c r="H33" s="59" t="s">
        <v>1233</v>
      </c>
      <c r="I33" s="61"/>
      <c r="J33" s="62"/>
      <c r="K33" s="66" t="s">
        <v>3240</v>
      </c>
      <c r="L33" s="66" t="s">
        <v>3239</v>
      </c>
      <c r="M33" s="66" t="s">
        <v>3238</v>
      </c>
      <c r="N33" s="66" t="s">
        <v>49</v>
      </c>
      <c r="O33" s="68">
        <v>32716</v>
      </c>
      <c r="P33" s="411">
        <v>42137</v>
      </c>
      <c r="Q33" s="58" t="str">
        <f t="shared" si="0"/>
        <v>No</v>
      </c>
    </row>
    <row r="34" spans="1:17" ht="15" x14ac:dyDescent="0.2">
      <c r="A34" s="418">
        <v>1082493</v>
      </c>
      <c r="B34" s="66" t="s">
        <v>3153</v>
      </c>
      <c r="C34" s="67" t="s">
        <v>3152</v>
      </c>
      <c r="D34" s="67" t="s">
        <v>3288</v>
      </c>
      <c r="E34" s="68">
        <v>42135</v>
      </c>
      <c r="F34" s="610" t="s">
        <v>1649</v>
      </c>
      <c r="G34" s="66" t="s">
        <v>74</v>
      </c>
      <c r="H34" s="59" t="s">
        <v>1232</v>
      </c>
      <c r="I34" s="61"/>
      <c r="J34" s="62"/>
      <c r="K34" s="66" t="s">
        <v>3206</v>
      </c>
      <c r="L34" s="66" t="s">
        <v>3203</v>
      </c>
      <c r="M34" s="66" t="s">
        <v>3207</v>
      </c>
      <c r="N34" s="66" t="s">
        <v>3205</v>
      </c>
      <c r="O34" s="68">
        <v>33420</v>
      </c>
      <c r="P34" s="411">
        <v>42137</v>
      </c>
      <c r="Q34" s="58" t="str">
        <f t="shared" si="0"/>
        <v>Yes</v>
      </c>
    </row>
    <row r="35" spans="1:17" ht="15" x14ac:dyDescent="0.2">
      <c r="A35" s="418">
        <v>1082494</v>
      </c>
      <c r="B35" s="66" t="s">
        <v>3154</v>
      </c>
      <c r="C35" s="67" t="s">
        <v>3176</v>
      </c>
      <c r="D35" s="67" t="s">
        <v>3294</v>
      </c>
      <c r="E35" s="68">
        <v>42135</v>
      </c>
      <c r="F35" s="610" t="s">
        <v>1650</v>
      </c>
      <c r="G35" s="66" t="s">
        <v>70</v>
      </c>
      <c r="H35" s="59" t="s">
        <v>1233</v>
      </c>
      <c r="I35" s="61"/>
      <c r="J35" s="62"/>
      <c r="K35" s="66" t="s">
        <v>49</v>
      </c>
      <c r="L35" s="66" t="s">
        <v>49</v>
      </c>
      <c r="M35" s="66" t="s">
        <v>49</v>
      </c>
      <c r="N35" s="66" t="s">
        <v>49</v>
      </c>
      <c r="O35" s="68">
        <v>33830</v>
      </c>
      <c r="P35" s="411">
        <v>42137</v>
      </c>
      <c r="Q35" s="58" t="str">
        <f t="shared" si="0"/>
        <v>No</v>
      </c>
    </row>
    <row r="36" spans="1:17" ht="15" x14ac:dyDescent="0.2">
      <c r="A36" s="418">
        <v>1082495</v>
      </c>
      <c r="B36" s="66" t="s">
        <v>3156</v>
      </c>
      <c r="C36" s="67" t="s">
        <v>3155</v>
      </c>
      <c r="D36" s="67" t="s">
        <v>3295</v>
      </c>
      <c r="E36" s="68">
        <v>42135</v>
      </c>
      <c r="F36" s="610" t="s">
        <v>1650</v>
      </c>
      <c r="G36" s="66" t="s">
        <v>70</v>
      </c>
      <c r="H36" s="59" t="s">
        <v>1233</v>
      </c>
      <c r="I36" s="61"/>
      <c r="J36" s="62"/>
      <c r="K36" s="66" t="s">
        <v>49</v>
      </c>
      <c r="L36" s="66" t="s">
        <v>49</v>
      </c>
      <c r="M36" s="66" t="s">
        <v>49</v>
      </c>
      <c r="N36" s="66" t="s">
        <v>49</v>
      </c>
      <c r="O36" s="68">
        <v>34686</v>
      </c>
      <c r="P36" s="411">
        <v>42137</v>
      </c>
      <c r="Q36" s="58" t="str">
        <f t="shared" si="0"/>
        <v>No</v>
      </c>
    </row>
    <row r="37" spans="1:17" ht="15" x14ac:dyDescent="0.2">
      <c r="A37" s="418">
        <v>1082496</v>
      </c>
      <c r="B37" s="66" t="s">
        <v>3158</v>
      </c>
      <c r="C37" s="67" t="s">
        <v>3157</v>
      </c>
      <c r="D37" s="67" t="s">
        <v>3287</v>
      </c>
      <c r="E37" s="68">
        <v>42135</v>
      </c>
      <c r="F37" s="610" t="s">
        <v>1650</v>
      </c>
      <c r="G37" s="66" t="s">
        <v>70</v>
      </c>
      <c r="H37" s="59" t="s">
        <v>1233</v>
      </c>
      <c r="I37" s="61"/>
      <c r="J37" s="62"/>
      <c r="K37" s="66" t="s">
        <v>49</v>
      </c>
      <c r="L37" s="66" t="s">
        <v>3235</v>
      </c>
      <c r="M37" s="66" t="s">
        <v>3234</v>
      </c>
      <c r="N37" s="66" t="s">
        <v>3236</v>
      </c>
      <c r="O37" s="68">
        <v>30909</v>
      </c>
      <c r="P37" s="411">
        <v>42137</v>
      </c>
      <c r="Q37" s="58" t="str">
        <f t="shared" si="0"/>
        <v>No</v>
      </c>
    </row>
    <row r="38" spans="1:17" ht="15" x14ac:dyDescent="0.2">
      <c r="A38" s="418">
        <v>1082497</v>
      </c>
      <c r="B38" s="66" t="s">
        <v>3160</v>
      </c>
      <c r="C38" s="67" t="s">
        <v>3159</v>
      </c>
      <c r="D38" s="67" t="s">
        <v>3283</v>
      </c>
      <c r="E38" s="68">
        <v>42135</v>
      </c>
      <c r="F38" s="610" t="s">
        <v>1649</v>
      </c>
      <c r="G38" s="66" t="s">
        <v>74</v>
      </c>
      <c r="H38" s="59" t="s">
        <v>1232</v>
      </c>
      <c r="I38" s="61"/>
      <c r="J38" s="62"/>
      <c r="K38" s="66" t="s">
        <v>49</v>
      </c>
      <c r="L38" s="66" t="s">
        <v>49</v>
      </c>
      <c r="M38" s="66" t="s">
        <v>49</v>
      </c>
      <c r="N38" s="66" t="s">
        <v>49</v>
      </c>
      <c r="O38" s="68">
        <v>33164</v>
      </c>
      <c r="P38" s="411">
        <v>42137</v>
      </c>
      <c r="Q38" s="58" t="str">
        <f t="shared" si="0"/>
        <v>No</v>
      </c>
    </row>
    <row r="39" spans="1:17" ht="15" x14ac:dyDescent="0.2">
      <c r="A39" s="418">
        <v>1082498</v>
      </c>
      <c r="B39" s="66" t="s">
        <v>3162</v>
      </c>
      <c r="C39" s="67" t="s">
        <v>3161</v>
      </c>
      <c r="D39" s="67" t="s">
        <v>3296</v>
      </c>
      <c r="E39" s="68">
        <v>42135</v>
      </c>
      <c r="F39" s="610" t="s">
        <v>1649</v>
      </c>
      <c r="G39" s="66" t="s">
        <v>74</v>
      </c>
      <c r="H39" s="59" t="s">
        <v>1232</v>
      </c>
      <c r="I39" s="61"/>
      <c r="J39" s="62"/>
      <c r="K39" s="66" t="s">
        <v>49</v>
      </c>
      <c r="L39" s="66" t="s">
        <v>49</v>
      </c>
      <c r="M39" s="66" t="s">
        <v>49</v>
      </c>
      <c r="N39" s="66" t="s">
        <v>49</v>
      </c>
      <c r="O39" s="68">
        <v>32408</v>
      </c>
      <c r="P39" s="411">
        <v>42137</v>
      </c>
      <c r="Q39" s="58" t="str">
        <f t="shared" si="0"/>
        <v>No</v>
      </c>
    </row>
    <row r="40" spans="1:17" ht="15" x14ac:dyDescent="0.2">
      <c r="A40" s="418">
        <v>1082499</v>
      </c>
      <c r="B40" s="66" t="s">
        <v>3164</v>
      </c>
      <c r="C40" s="67" t="s">
        <v>3163</v>
      </c>
      <c r="D40" s="67" t="s">
        <v>3284</v>
      </c>
      <c r="E40" s="68">
        <v>42135</v>
      </c>
      <c r="F40" s="610" t="s">
        <v>1650</v>
      </c>
      <c r="G40" s="66" t="s">
        <v>70</v>
      </c>
      <c r="H40" s="59" t="s">
        <v>1233</v>
      </c>
      <c r="I40" s="61"/>
      <c r="J40" s="62"/>
      <c r="K40" s="66" t="s">
        <v>3254</v>
      </c>
      <c r="L40" s="66" t="s">
        <v>3251</v>
      </c>
      <c r="M40" s="66" t="s">
        <v>3252</v>
      </c>
      <c r="N40" s="66" t="s">
        <v>3253</v>
      </c>
      <c r="O40" s="68">
        <v>33402</v>
      </c>
      <c r="P40" s="411">
        <v>42137</v>
      </c>
      <c r="Q40" s="58" t="str">
        <f t="shared" si="0"/>
        <v>Yes</v>
      </c>
    </row>
    <row r="41" spans="1:17" ht="15" x14ac:dyDescent="0.2">
      <c r="A41" s="418">
        <v>1082500</v>
      </c>
      <c r="B41" s="66" t="s">
        <v>1505</v>
      </c>
      <c r="C41" s="67" t="s">
        <v>3165</v>
      </c>
      <c r="D41" s="67" t="s">
        <v>3297</v>
      </c>
      <c r="E41" s="68">
        <v>42135</v>
      </c>
      <c r="F41" s="610" t="s">
        <v>1649</v>
      </c>
      <c r="G41" s="66" t="s">
        <v>74</v>
      </c>
      <c r="H41" s="61" t="s">
        <v>1232</v>
      </c>
      <c r="I41" s="61"/>
      <c r="J41" s="62"/>
      <c r="K41" s="66" t="s">
        <v>3249</v>
      </c>
      <c r="L41" s="66" t="s">
        <v>3248</v>
      </c>
      <c r="M41" s="66" t="s">
        <v>3250</v>
      </c>
      <c r="N41" s="66" t="s">
        <v>3247</v>
      </c>
      <c r="O41" s="68">
        <v>30997</v>
      </c>
      <c r="P41" s="411">
        <v>42137</v>
      </c>
      <c r="Q41" s="58" t="str">
        <f t="shared" si="0"/>
        <v>Yes</v>
      </c>
    </row>
    <row r="42" spans="1:17" s="78" customFormat="1" ht="15" x14ac:dyDescent="0.25">
      <c r="A42" s="419">
        <v>1082501</v>
      </c>
      <c r="B42" s="70" t="s">
        <v>537</v>
      </c>
      <c r="C42" s="71" t="s">
        <v>3166</v>
      </c>
      <c r="D42" s="71" t="s">
        <v>3290</v>
      </c>
      <c r="E42" s="72">
        <v>42135</v>
      </c>
      <c r="F42" s="610" t="s">
        <v>1649</v>
      </c>
      <c r="G42" s="66" t="s">
        <v>74</v>
      </c>
      <c r="H42" s="74" t="s">
        <v>1232</v>
      </c>
      <c r="I42" s="75"/>
      <c r="J42" s="71"/>
      <c r="K42" s="69" t="s">
        <v>3230</v>
      </c>
      <c r="L42" s="69" t="s">
        <v>3232</v>
      </c>
      <c r="M42" s="69" t="s">
        <v>3213</v>
      </c>
      <c r="N42" s="69" t="s">
        <v>3229</v>
      </c>
      <c r="O42" s="77">
        <v>33870</v>
      </c>
      <c r="P42" s="481">
        <v>42137</v>
      </c>
      <c r="Q42" s="58" t="str">
        <f t="shared" si="0"/>
        <v>Yes</v>
      </c>
    </row>
    <row r="43" spans="1:17" s="78" customFormat="1" ht="15" x14ac:dyDescent="0.25">
      <c r="A43" s="419">
        <v>1082502</v>
      </c>
      <c r="B43" s="70" t="s">
        <v>3168</v>
      </c>
      <c r="C43" s="71" t="s">
        <v>3167</v>
      </c>
      <c r="D43" s="71" t="s">
        <v>3299</v>
      </c>
      <c r="E43" s="72">
        <v>42135</v>
      </c>
      <c r="F43" s="610" t="s">
        <v>3302</v>
      </c>
      <c r="G43" s="66" t="s">
        <v>70</v>
      </c>
      <c r="H43" s="74" t="s">
        <v>1232</v>
      </c>
      <c r="I43" s="75"/>
      <c r="J43" s="71"/>
      <c r="K43" s="69" t="s">
        <v>3262</v>
      </c>
      <c r="L43" s="69" t="s">
        <v>3265</v>
      </c>
      <c r="M43" s="69" t="s">
        <v>3263</v>
      </c>
      <c r="N43" s="69" t="s">
        <v>3264</v>
      </c>
      <c r="O43" s="77"/>
      <c r="P43" s="481">
        <v>42137</v>
      </c>
      <c r="Q43" s="58" t="str">
        <f t="shared" si="0"/>
        <v>Yes</v>
      </c>
    </row>
    <row r="44" spans="1:17" s="78" customFormat="1" ht="15" x14ac:dyDescent="0.25">
      <c r="A44" s="419">
        <v>1082503</v>
      </c>
      <c r="B44" s="70" t="s">
        <v>3170</v>
      </c>
      <c r="C44" s="71" t="s">
        <v>3169</v>
      </c>
      <c r="D44" s="71" t="s">
        <v>1170</v>
      </c>
      <c r="E44" s="72">
        <v>42135</v>
      </c>
      <c r="F44" s="610" t="s">
        <v>1649</v>
      </c>
      <c r="G44" s="73" t="s">
        <v>74</v>
      </c>
      <c r="H44" s="74" t="s">
        <v>1232</v>
      </c>
      <c r="I44" s="79"/>
      <c r="J44" s="71"/>
      <c r="K44" s="69" t="s">
        <v>3220</v>
      </c>
      <c r="L44" s="69" t="s">
        <v>3222</v>
      </c>
      <c r="M44" s="69" t="s">
        <v>3221</v>
      </c>
      <c r="N44" s="69" t="s">
        <v>3223</v>
      </c>
      <c r="O44" s="77">
        <v>34489</v>
      </c>
      <c r="P44" s="481">
        <v>42137</v>
      </c>
      <c r="Q44" s="58" t="str">
        <f t="shared" si="0"/>
        <v>Yes</v>
      </c>
    </row>
    <row r="45" spans="1:17" s="78" customFormat="1" ht="15" x14ac:dyDescent="0.25">
      <c r="A45" s="419">
        <v>1082504</v>
      </c>
      <c r="B45" s="70" t="s">
        <v>3172</v>
      </c>
      <c r="C45" s="71" t="s">
        <v>3171</v>
      </c>
      <c r="D45" s="71" t="s">
        <v>3285</v>
      </c>
      <c r="E45" s="72">
        <v>42135</v>
      </c>
      <c r="F45" s="73" t="s">
        <v>1649</v>
      </c>
      <c r="G45" s="73" t="s">
        <v>74</v>
      </c>
      <c r="H45" s="74" t="s">
        <v>1232</v>
      </c>
      <c r="I45" s="79"/>
      <c r="J45" s="71"/>
      <c r="K45" s="69" t="s">
        <v>3226</v>
      </c>
      <c r="L45" s="69" t="s">
        <v>3228</v>
      </c>
      <c r="M45" s="69" t="s">
        <v>3227</v>
      </c>
      <c r="N45" s="69" t="s">
        <v>3225</v>
      </c>
      <c r="O45" s="77">
        <v>29962</v>
      </c>
      <c r="P45" s="481">
        <v>42137</v>
      </c>
      <c r="Q45" s="58" t="str">
        <f t="shared" si="0"/>
        <v>Yes</v>
      </c>
    </row>
    <row r="46" spans="1:17" s="641" customFormat="1" ht="15" x14ac:dyDescent="0.25">
      <c r="A46" s="632">
        <v>1082505</v>
      </c>
      <c r="B46" s="633" t="s">
        <v>3174</v>
      </c>
      <c r="C46" s="634" t="s">
        <v>3173</v>
      </c>
      <c r="D46" s="634" t="s">
        <v>581</v>
      </c>
      <c r="E46" s="635">
        <v>42135</v>
      </c>
      <c r="F46" s="636" t="s">
        <v>3303</v>
      </c>
      <c r="G46" s="636" t="s">
        <v>3282</v>
      </c>
      <c r="H46" s="637" t="s">
        <v>3298</v>
      </c>
      <c r="I46" s="629"/>
      <c r="J46" s="634"/>
      <c r="K46" s="636" t="s">
        <v>49</v>
      </c>
      <c r="L46" s="636" t="s">
        <v>49</v>
      </c>
      <c r="M46" s="636" t="s">
        <v>49</v>
      </c>
      <c r="N46" s="636" t="s">
        <v>49</v>
      </c>
      <c r="O46" s="638" t="s">
        <v>3175</v>
      </c>
      <c r="P46" s="639">
        <v>42137</v>
      </c>
      <c r="Q46" s="640" t="str">
        <f t="shared" si="0"/>
        <v>No</v>
      </c>
    </row>
    <row r="47" spans="1:17" s="78" customFormat="1" ht="15" x14ac:dyDescent="0.25">
      <c r="A47" s="419"/>
      <c r="B47" s="70"/>
      <c r="C47" s="71"/>
      <c r="D47" s="71"/>
      <c r="E47" s="72"/>
      <c r="F47" s="73"/>
      <c r="G47" s="73"/>
      <c r="H47" s="74"/>
      <c r="I47" s="79"/>
      <c r="J47" s="71"/>
      <c r="K47" s="76"/>
      <c r="L47" s="69"/>
      <c r="M47" s="69"/>
      <c r="N47" s="69"/>
      <c r="O47" s="77"/>
      <c r="P47" s="481"/>
    </row>
    <row r="48" spans="1:17" s="78" customFormat="1" ht="15" x14ac:dyDescent="0.25">
      <c r="A48" s="419"/>
      <c r="B48" s="70"/>
      <c r="C48" s="71"/>
      <c r="D48" s="71"/>
      <c r="E48" s="72"/>
      <c r="F48" s="73"/>
      <c r="G48" s="73"/>
      <c r="H48" s="74"/>
      <c r="I48" s="79"/>
      <c r="J48" s="71"/>
      <c r="K48" s="76"/>
      <c r="L48" s="69"/>
      <c r="M48" s="69"/>
      <c r="N48" s="69"/>
      <c r="O48" s="77"/>
      <c r="P48" s="481"/>
    </row>
    <row r="49" spans="1:16" s="78" customFormat="1" ht="15" x14ac:dyDescent="0.25">
      <c r="A49" s="419"/>
      <c r="B49" s="70"/>
      <c r="C49" s="71"/>
      <c r="D49" s="71"/>
      <c r="E49" s="72"/>
      <c r="F49" s="73"/>
      <c r="G49" s="73"/>
      <c r="H49" s="74"/>
      <c r="I49" s="79"/>
      <c r="J49" s="71"/>
      <c r="K49" s="76"/>
      <c r="L49" s="69"/>
      <c r="M49" s="69"/>
      <c r="N49" s="69"/>
      <c r="O49" s="77"/>
      <c r="P49" s="481"/>
    </row>
    <row r="50" spans="1:16" s="78" customFormat="1" ht="15" x14ac:dyDescent="0.25">
      <c r="A50" s="419"/>
      <c r="B50" s="70"/>
      <c r="C50" s="71"/>
      <c r="D50" s="71"/>
      <c r="E50" s="72"/>
      <c r="F50" s="73"/>
      <c r="G50" s="73"/>
      <c r="H50" s="74"/>
      <c r="I50" s="79"/>
      <c r="J50" s="71"/>
      <c r="K50" s="76"/>
      <c r="L50" s="69"/>
      <c r="M50" s="69"/>
      <c r="N50" s="69"/>
      <c r="O50" s="77"/>
      <c r="P50" s="481"/>
    </row>
    <row r="51" spans="1:16" s="78" customFormat="1" ht="15" x14ac:dyDescent="0.25">
      <c r="A51" s="419"/>
      <c r="B51" s="70"/>
      <c r="C51" s="71"/>
      <c r="D51" s="71"/>
      <c r="E51" s="72"/>
      <c r="F51" s="73"/>
      <c r="G51" s="73"/>
      <c r="H51" s="74"/>
      <c r="I51" s="79"/>
      <c r="J51" s="71"/>
      <c r="K51" s="76"/>
      <c r="L51" s="69"/>
      <c r="M51" s="69"/>
      <c r="N51" s="69"/>
      <c r="O51" s="414"/>
      <c r="P51" s="481"/>
    </row>
    <row r="52" spans="1:16" s="78" customFormat="1" ht="15" x14ac:dyDescent="0.25">
      <c r="A52" s="419"/>
      <c r="B52" s="70"/>
      <c r="C52" s="71"/>
      <c r="D52" s="71"/>
      <c r="E52" s="72"/>
      <c r="F52" s="73"/>
      <c r="G52" s="73"/>
      <c r="H52" s="74"/>
      <c r="I52" s="79"/>
      <c r="J52" s="71"/>
      <c r="K52" s="76"/>
      <c r="L52" s="69"/>
      <c r="M52" s="69"/>
      <c r="N52" s="69"/>
      <c r="O52" s="414"/>
      <c r="P52" s="481"/>
    </row>
    <row r="53" spans="1:16" s="78" customFormat="1" ht="15" x14ac:dyDescent="0.25">
      <c r="A53" s="419"/>
      <c r="B53" s="70"/>
      <c r="C53" s="71"/>
      <c r="D53" s="71"/>
      <c r="E53" s="72"/>
      <c r="F53" s="73"/>
      <c r="G53" s="73"/>
      <c r="H53" s="74"/>
      <c r="I53" s="79"/>
      <c r="J53" s="71"/>
      <c r="K53" s="76"/>
      <c r="L53" s="69"/>
      <c r="M53" s="69"/>
      <c r="N53" s="69"/>
      <c r="O53" s="77"/>
      <c r="P53" s="481"/>
    </row>
    <row r="54" spans="1:16" s="78" customFormat="1" ht="15" x14ac:dyDescent="0.25">
      <c r="A54" s="419"/>
      <c r="B54" s="70"/>
      <c r="C54" s="71"/>
      <c r="D54" s="71"/>
      <c r="E54" s="72"/>
      <c r="F54" s="73"/>
      <c r="G54" s="73"/>
      <c r="H54" s="74"/>
      <c r="I54" s="79"/>
      <c r="J54" s="71"/>
      <c r="K54" s="76"/>
      <c r="L54" s="69"/>
      <c r="M54" s="69"/>
      <c r="N54" s="69"/>
      <c r="O54" s="77"/>
      <c r="P54" s="481"/>
    </row>
    <row r="55" spans="1:16" s="78" customFormat="1" ht="15" x14ac:dyDescent="0.25">
      <c r="A55" s="419"/>
      <c r="B55" s="70"/>
      <c r="C55" s="71"/>
      <c r="D55" s="71"/>
      <c r="E55" s="72"/>
      <c r="F55" s="73"/>
      <c r="G55" s="73"/>
      <c r="H55" s="74"/>
      <c r="I55" s="79"/>
      <c r="J55" s="71"/>
      <c r="K55" s="76"/>
      <c r="L55" s="69"/>
      <c r="M55" s="69"/>
      <c r="N55" s="69"/>
      <c r="O55" s="414"/>
      <c r="P55" s="481"/>
    </row>
    <row r="56" spans="1:16" s="78" customFormat="1" ht="15" x14ac:dyDescent="0.25">
      <c r="A56" s="419"/>
      <c r="B56" s="70"/>
      <c r="C56" s="71"/>
      <c r="D56" s="71"/>
      <c r="E56" s="72"/>
      <c r="F56" s="73"/>
      <c r="G56" s="73"/>
      <c r="H56" s="74"/>
      <c r="I56" s="79"/>
      <c r="J56" s="71"/>
      <c r="K56" s="76"/>
      <c r="L56" s="69"/>
      <c r="M56" s="69"/>
      <c r="N56" s="69"/>
      <c r="O56" s="77"/>
      <c r="P56" s="481"/>
    </row>
    <row r="57" spans="1:16" s="78" customFormat="1" ht="15" x14ac:dyDescent="0.25">
      <c r="A57" s="419"/>
      <c r="B57" s="70"/>
      <c r="C57" s="71"/>
      <c r="D57" s="71"/>
      <c r="E57" s="72"/>
      <c r="F57" s="73"/>
      <c r="G57" s="73"/>
      <c r="H57" s="74"/>
      <c r="I57" s="79"/>
      <c r="J57" s="71"/>
      <c r="K57" s="76"/>
      <c r="L57" s="69"/>
      <c r="M57" s="69"/>
      <c r="N57" s="69"/>
      <c r="O57" s="77"/>
      <c r="P57" s="481"/>
    </row>
    <row r="58" spans="1:16" s="78" customFormat="1" ht="15" x14ac:dyDescent="0.25">
      <c r="A58" s="419"/>
      <c r="B58" s="70"/>
      <c r="C58" s="71"/>
      <c r="D58" s="71"/>
      <c r="E58" s="72"/>
      <c r="F58" s="73"/>
      <c r="G58" s="73"/>
      <c r="H58" s="74"/>
      <c r="I58" s="79"/>
      <c r="J58" s="71"/>
      <c r="K58" s="76"/>
      <c r="L58" s="69"/>
      <c r="M58" s="69"/>
      <c r="N58" s="69"/>
      <c r="O58" s="77"/>
      <c r="P58" s="481"/>
    </row>
    <row r="59" spans="1:16" s="78" customFormat="1" ht="15" x14ac:dyDescent="0.25">
      <c r="A59" s="419"/>
      <c r="B59" s="70"/>
      <c r="C59" s="71"/>
      <c r="D59" s="71"/>
      <c r="E59" s="72"/>
      <c r="F59" s="73"/>
      <c r="G59" s="73"/>
      <c r="H59" s="74"/>
      <c r="I59" s="79"/>
      <c r="J59" s="71"/>
      <c r="K59" s="76"/>
      <c r="L59" s="69"/>
      <c r="M59" s="69"/>
      <c r="N59" s="69"/>
      <c r="O59" s="77"/>
      <c r="P59" s="481"/>
    </row>
    <row r="60" spans="1:16" s="78" customFormat="1" ht="15" x14ac:dyDescent="0.25">
      <c r="A60" s="419"/>
      <c r="B60" s="70"/>
      <c r="C60" s="71"/>
      <c r="D60" s="71"/>
      <c r="E60" s="72"/>
      <c r="F60" s="73"/>
      <c r="G60" s="73"/>
      <c r="H60" s="74"/>
      <c r="I60" s="79"/>
      <c r="J60" s="71"/>
      <c r="K60" s="76"/>
      <c r="L60" s="69"/>
      <c r="M60" s="69"/>
      <c r="N60" s="69"/>
      <c r="O60" s="77"/>
      <c r="P60" s="481"/>
    </row>
    <row r="61" spans="1:16" s="78" customFormat="1" ht="15" x14ac:dyDescent="0.25">
      <c r="A61" s="419"/>
      <c r="B61" s="70"/>
      <c r="C61" s="71"/>
      <c r="D61" s="71"/>
      <c r="E61" s="72"/>
      <c r="F61" s="73"/>
      <c r="G61" s="73"/>
      <c r="H61" s="74"/>
      <c r="I61" s="79"/>
      <c r="J61" s="71"/>
      <c r="K61" s="76"/>
      <c r="L61" s="69"/>
      <c r="M61" s="69"/>
      <c r="N61" s="69"/>
      <c r="O61" s="77"/>
      <c r="P61" s="481"/>
    </row>
    <row r="62" spans="1:16" s="78" customFormat="1" ht="15" x14ac:dyDescent="0.25">
      <c r="A62" s="419"/>
      <c r="B62" s="70"/>
      <c r="C62" s="71"/>
      <c r="D62" s="71"/>
      <c r="E62" s="72"/>
      <c r="F62" s="73"/>
      <c r="G62" s="73"/>
      <c r="H62" s="74"/>
      <c r="I62" s="79"/>
      <c r="J62" s="71"/>
      <c r="K62" s="76"/>
      <c r="L62" s="69"/>
      <c r="M62" s="69"/>
      <c r="N62" s="69"/>
      <c r="O62" s="77"/>
      <c r="P62" s="481"/>
    </row>
    <row r="63" spans="1:16" s="78" customFormat="1" ht="15" x14ac:dyDescent="0.25">
      <c r="A63" s="419"/>
      <c r="B63" s="70"/>
      <c r="C63" s="71"/>
      <c r="D63" s="71"/>
      <c r="E63" s="72"/>
      <c r="F63" s="73"/>
      <c r="G63" s="73"/>
      <c r="H63" s="74"/>
      <c r="I63" s="79"/>
      <c r="J63" s="71"/>
      <c r="K63" s="76"/>
      <c r="L63" s="69"/>
      <c r="M63" s="69"/>
      <c r="N63" s="69"/>
      <c r="O63" s="77"/>
      <c r="P63" s="481"/>
    </row>
    <row r="64" spans="1:16" s="78" customFormat="1" ht="15" x14ac:dyDescent="0.25">
      <c r="A64" s="419"/>
      <c r="B64" s="70"/>
      <c r="C64" s="71"/>
      <c r="D64" s="71"/>
      <c r="E64" s="72"/>
      <c r="F64" s="73"/>
      <c r="G64" s="73"/>
      <c r="H64" s="74"/>
      <c r="I64" s="79"/>
      <c r="J64" s="71"/>
      <c r="K64" s="76"/>
      <c r="L64" s="69"/>
      <c r="M64" s="69"/>
      <c r="N64" s="69"/>
      <c r="O64" s="77"/>
      <c r="P64" s="481"/>
    </row>
    <row r="65" spans="1:16" s="78" customFormat="1" ht="15" x14ac:dyDescent="0.25">
      <c r="A65" s="419"/>
      <c r="B65" s="70"/>
      <c r="C65" s="71"/>
      <c r="D65" s="71"/>
      <c r="E65" s="72"/>
      <c r="F65" s="73"/>
      <c r="G65" s="73"/>
      <c r="H65" s="74"/>
      <c r="I65" s="79"/>
      <c r="J65" s="71"/>
      <c r="K65" s="76"/>
      <c r="L65" s="69"/>
      <c r="M65" s="69"/>
      <c r="N65" s="69"/>
      <c r="O65" s="77"/>
      <c r="P65" s="481"/>
    </row>
    <row r="66" spans="1:16" s="78" customFormat="1" ht="15" x14ac:dyDescent="0.25">
      <c r="A66" s="419"/>
      <c r="B66" s="70"/>
      <c r="C66" s="71"/>
      <c r="D66" s="71"/>
      <c r="E66" s="72"/>
      <c r="F66" s="73"/>
      <c r="G66" s="73"/>
      <c r="H66" s="74"/>
      <c r="I66" s="79"/>
      <c r="J66" s="71"/>
      <c r="K66" s="76"/>
      <c r="L66" s="69"/>
      <c r="M66" s="69"/>
      <c r="N66" s="69"/>
      <c r="O66" s="77"/>
      <c r="P66" s="481"/>
    </row>
    <row r="67" spans="1:16" s="78" customFormat="1" ht="15" x14ac:dyDescent="0.25">
      <c r="A67" s="419"/>
      <c r="B67" s="70"/>
      <c r="C67" s="71"/>
      <c r="D67" s="71"/>
      <c r="E67" s="72"/>
      <c r="F67" s="73"/>
      <c r="G67" s="73"/>
      <c r="H67" s="74"/>
      <c r="I67" s="79"/>
      <c r="J67" s="71"/>
      <c r="K67" s="76"/>
      <c r="L67" s="69"/>
      <c r="M67" s="69"/>
      <c r="N67" s="69"/>
      <c r="O67" s="77"/>
      <c r="P67" s="481"/>
    </row>
    <row r="68" spans="1:16" s="78" customFormat="1" ht="15" x14ac:dyDescent="0.25">
      <c r="A68" s="419"/>
      <c r="B68" s="70"/>
      <c r="C68" s="71"/>
      <c r="D68" s="71"/>
      <c r="E68" s="72"/>
      <c r="F68" s="73"/>
      <c r="G68" s="73"/>
      <c r="H68" s="74"/>
      <c r="I68" s="79"/>
      <c r="J68" s="71"/>
      <c r="K68" s="76"/>
      <c r="L68" s="69"/>
      <c r="M68" s="69"/>
      <c r="N68" s="69"/>
      <c r="O68" s="77"/>
      <c r="P68" s="481"/>
    </row>
    <row r="69" spans="1:16" s="78" customFormat="1" ht="15" x14ac:dyDescent="0.25">
      <c r="A69" s="419"/>
      <c r="B69" s="70"/>
      <c r="C69" s="71"/>
      <c r="D69" s="71"/>
      <c r="E69" s="72"/>
      <c r="F69" s="73"/>
      <c r="G69" s="73"/>
      <c r="H69" s="79"/>
      <c r="I69" s="79"/>
      <c r="J69" s="71"/>
      <c r="K69" s="76"/>
      <c r="L69" s="69"/>
      <c r="M69" s="69"/>
      <c r="N69" s="69"/>
      <c r="O69" s="414"/>
      <c r="P69" s="481"/>
    </row>
    <row r="70" spans="1:16" s="78" customFormat="1" ht="15" x14ac:dyDescent="0.25">
      <c r="A70" s="419"/>
      <c r="B70" s="70"/>
      <c r="C70" s="71"/>
      <c r="D70" s="71"/>
      <c r="E70" s="72"/>
      <c r="F70" s="73"/>
      <c r="G70" s="73"/>
      <c r="H70" s="74"/>
      <c r="I70" s="79"/>
      <c r="J70" s="71"/>
      <c r="K70" s="76"/>
      <c r="L70" s="69"/>
      <c r="M70" s="69"/>
      <c r="N70" s="69"/>
      <c r="O70" s="77"/>
      <c r="P70" s="481"/>
    </row>
    <row r="71" spans="1:16" s="78" customFormat="1" ht="15" x14ac:dyDescent="0.25">
      <c r="A71" s="419"/>
      <c r="B71" s="70"/>
      <c r="C71" s="71"/>
      <c r="D71" s="71"/>
      <c r="E71" s="72"/>
      <c r="F71" s="73"/>
      <c r="G71" s="73"/>
      <c r="H71" s="74"/>
      <c r="I71" s="79"/>
      <c r="J71" s="71"/>
      <c r="K71" s="76"/>
      <c r="L71" s="69"/>
      <c r="M71" s="69"/>
      <c r="N71" s="69"/>
      <c r="O71" s="77"/>
      <c r="P71" s="481"/>
    </row>
    <row r="72" spans="1:16" s="78" customFormat="1" ht="15" x14ac:dyDescent="0.25">
      <c r="A72" s="419"/>
      <c r="B72" s="70"/>
      <c r="C72" s="71"/>
      <c r="D72" s="71"/>
      <c r="E72" s="72"/>
      <c r="F72" s="73"/>
      <c r="G72" s="73"/>
      <c r="H72" s="74"/>
      <c r="I72" s="79"/>
      <c r="J72" s="71"/>
      <c r="K72" s="76"/>
      <c r="L72" s="69"/>
      <c r="M72" s="69"/>
      <c r="N72" s="69"/>
      <c r="O72" s="77"/>
      <c r="P72" s="481"/>
    </row>
    <row r="73" spans="1:16" s="78" customFormat="1" ht="15" x14ac:dyDescent="0.25">
      <c r="A73" s="419"/>
      <c r="B73" s="70"/>
      <c r="C73" s="71"/>
      <c r="D73" s="71"/>
      <c r="E73" s="72"/>
      <c r="F73" s="73"/>
      <c r="G73" s="73"/>
      <c r="H73" s="74"/>
      <c r="I73" s="79"/>
      <c r="J73" s="71"/>
      <c r="K73" s="76"/>
      <c r="L73" s="69"/>
      <c r="M73" s="69"/>
      <c r="N73" s="69"/>
      <c r="O73" s="77"/>
      <c r="P73" s="481"/>
    </row>
    <row r="74" spans="1:16" s="78" customFormat="1" ht="15" x14ac:dyDescent="0.25">
      <c r="A74" s="419"/>
      <c r="B74" s="70"/>
      <c r="C74" s="71"/>
      <c r="D74" s="71"/>
      <c r="E74" s="72"/>
      <c r="F74" s="73"/>
      <c r="G74" s="73"/>
      <c r="H74" s="74"/>
      <c r="I74" s="79"/>
      <c r="J74" s="71"/>
      <c r="K74" s="76"/>
      <c r="L74" s="69"/>
      <c r="M74" s="69"/>
      <c r="N74" s="69"/>
      <c r="O74" s="77"/>
      <c r="P74" s="481"/>
    </row>
    <row r="75" spans="1:16" s="78" customFormat="1" ht="15" x14ac:dyDescent="0.25">
      <c r="A75" s="419"/>
      <c r="B75" s="70"/>
      <c r="C75" s="71"/>
      <c r="D75" s="71"/>
      <c r="E75" s="72"/>
      <c r="F75" s="73"/>
      <c r="G75" s="71"/>
      <c r="H75" s="74"/>
      <c r="I75" s="79"/>
      <c r="J75" s="71"/>
      <c r="K75" s="76"/>
      <c r="L75" s="69"/>
      <c r="M75" s="69"/>
      <c r="N75" s="69"/>
      <c r="O75" s="77"/>
      <c r="P75" s="481"/>
    </row>
  </sheetData>
  <autoFilter ref="K2:Q75"/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7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46" sqref="A46:XFD46"/>
    </sheetView>
  </sheetViews>
  <sheetFormatPr defaultColWidth="8.85546875" defaultRowHeight="12.75" x14ac:dyDescent="0.2"/>
  <cols>
    <col min="1" max="1" width="12.140625" style="80" customWidth="1"/>
    <col min="2" max="2" width="34.5703125" style="80" bestFit="1" customWidth="1"/>
    <col min="3" max="3" width="34.5703125" style="80" customWidth="1"/>
    <col min="4" max="4" width="34.5703125" style="81" customWidth="1"/>
    <col min="5" max="5" width="34.85546875" style="81" bestFit="1" customWidth="1"/>
    <col min="6" max="6" width="24.28515625" style="82" customWidth="1"/>
    <col min="7" max="7" width="24.85546875" style="83" bestFit="1" customWidth="1"/>
    <col min="8" max="8" width="13.28515625" style="84" customWidth="1"/>
    <col min="9" max="9" width="13" style="94" bestFit="1" customWidth="1"/>
    <col min="10" max="10" width="13" style="94" customWidth="1"/>
    <col min="11" max="11" width="12" style="49" customWidth="1"/>
    <col min="12" max="12" width="12.42578125" style="80" bestFit="1" customWidth="1"/>
    <col min="13" max="13" width="12" style="80" bestFit="1" customWidth="1"/>
    <col min="14" max="16384" width="8.85546875" style="80"/>
  </cols>
  <sheetData>
    <row r="1" spans="1:13" x14ac:dyDescent="0.2">
      <c r="A1" s="80" t="s">
        <v>398</v>
      </c>
      <c r="I1" s="83"/>
      <c r="J1" s="83"/>
      <c r="K1" s="84"/>
    </row>
    <row r="2" spans="1:13" x14ac:dyDescent="0.2">
      <c r="A2" s="80" t="s">
        <v>399</v>
      </c>
      <c r="I2" s="83"/>
      <c r="J2" s="83"/>
      <c r="K2" s="84"/>
    </row>
    <row r="3" spans="1:13" x14ac:dyDescent="0.2">
      <c r="I3" s="83"/>
      <c r="J3" s="83"/>
      <c r="K3" s="84"/>
    </row>
    <row r="4" spans="1:13" s="87" customFormat="1" ht="38.25" x14ac:dyDescent="0.2">
      <c r="A4" s="85" t="s">
        <v>385</v>
      </c>
      <c r="B4" s="85" t="s">
        <v>386</v>
      </c>
      <c r="C4" s="85" t="s">
        <v>387</v>
      </c>
      <c r="D4" s="85" t="s">
        <v>388</v>
      </c>
      <c r="E4" s="86" t="s">
        <v>390</v>
      </c>
      <c r="F4" s="614" t="s">
        <v>391</v>
      </c>
      <c r="G4" s="55" t="s">
        <v>400</v>
      </c>
      <c r="H4" s="55" t="s">
        <v>401</v>
      </c>
      <c r="I4" s="55" t="s">
        <v>402</v>
      </c>
      <c r="J4" s="55" t="s">
        <v>403</v>
      </c>
      <c r="K4" s="55" t="s">
        <v>404</v>
      </c>
      <c r="L4" s="55" t="s">
        <v>405</v>
      </c>
      <c r="M4" s="55" t="s">
        <v>406</v>
      </c>
    </row>
    <row r="5" spans="1:13" s="87" customFormat="1" x14ac:dyDescent="0.2">
      <c r="A5" s="620">
        <v>1082464</v>
      </c>
      <c r="B5" s="611" t="s">
        <v>2876</v>
      </c>
      <c r="C5" s="611" t="s">
        <v>2874</v>
      </c>
      <c r="D5" s="611" t="s">
        <v>2875</v>
      </c>
      <c r="E5" s="620" t="s">
        <v>884</v>
      </c>
      <c r="F5" s="620" t="s">
        <v>128</v>
      </c>
      <c r="G5" s="89" t="s">
        <v>1025</v>
      </c>
      <c r="H5" s="612" t="s">
        <v>1026</v>
      </c>
      <c r="I5" s="611" t="s">
        <v>1027</v>
      </c>
      <c r="J5" s="55"/>
      <c r="K5" s="611"/>
      <c r="L5" s="55"/>
      <c r="M5" s="55"/>
    </row>
    <row r="6" spans="1:13" s="87" customFormat="1" x14ac:dyDescent="0.2">
      <c r="A6" s="620">
        <v>1082465</v>
      </c>
      <c r="B6" s="611" t="s">
        <v>2880</v>
      </c>
      <c r="C6" s="611" t="s">
        <v>2878</v>
      </c>
      <c r="D6" s="611" t="s">
        <v>2879</v>
      </c>
      <c r="E6" s="620" t="s">
        <v>3301</v>
      </c>
      <c r="F6" s="620" t="s">
        <v>773</v>
      </c>
      <c r="G6" s="612"/>
      <c r="H6" s="612"/>
      <c r="I6" s="611"/>
      <c r="J6" s="55"/>
      <c r="K6" s="611" t="s">
        <v>1038</v>
      </c>
      <c r="L6" s="55"/>
      <c r="M6" s="55"/>
    </row>
    <row r="7" spans="1:13" s="87" customFormat="1" x14ac:dyDescent="0.2">
      <c r="A7" s="620">
        <v>1082466</v>
      </c>
      <c r="B7" s="611" t="s">
        <v>2102</v>
      </c>
      <c r="C7" s="611" t="s">
        <v>2882</v>
      </c>
      <c r="D7" s="611" t="s">
        <v>2883</v>
      </c>
      <c r="E7" s="620" t="s">
        <v>3301</v>
      </c>
      <c r="F7" s="620" t="s">
        <v>773</v>
      </c>
      <c r="G7" s="612"/>
      <c r="H7" s="55"/>
      <c r="I7" s="55"/>
      <c r="J7" s="55"/>
      <c r="K7" s="612" t="s">
        <v>1038</v>
      </c>
      <c r="L7" s="55"/>
      <c r="M7" s="55"/>
    </row>
    <row r="8" spans="1:13" s="87" customFormat="1" x14ac:dyDescent="0.2">
      <c r="A8" s="620">
        <v>1082467</v>
      </c>
      <c r="B8" s="611" t="s">
        <v>2886</v>
      </c>
      <c r="C8" s="611" t="s">
        <v>2885</v>
      </c>
      <c r="D8" s="611" t="s">
        <v>2443</v>
      </c>
      <c r="E8" s="620" t="s">
        <v>3301</v>
      </c>
      <c r="F8" s="620" t="s">
        <v>773</v>
      </c>
      <c r="G8" s="612"/>
      <c r="H8" s="55"/>
      <c r="I8" s="55"/>
      <c r="J8" s="55"/>
      <c r="K8" s="612" t="s">
        <v>1038</v>
      </c>
      <c r="L8" s="55"/>
      <c r="M8" s="55"/>
    </row>
    <row r="9" spans="1:13" s="87" customFormat="1" x14ac:dyDescent="0.2">
      <c r="A9" s="620">
        <v>1082468</v>
      </c>
      <c r="B9" s="611" t="s">
        <v>2889</v>
      </c>
      <c r="C9" s="611" t="s">
        <v>318</v>
      </c>
      <c r="D9" s="611" t="s">
        <v>2888</v>
      </c>
      <c r="E9" s="620" t="s">
        <v>3301</v>
      </c>
      <c r="F9" s="620" t="s">
        <v>773</v>
      </c>
      <c r="G9" s="612"/>
      <c r="H9" s="55"/>
      <c r="I9" s="55"/>
      <c r="J9" s="55"/>
      <c r="K9" s="612" t="s">
        <v>1038</v>
      </c>
      <c r="L9" s="55"/>
      <c r="M9" s="55"/>
    </row>
    <row r="10" spans="1:13" s="87" customFormat="1" x14ac:dyDescent="0.2">
      <c r="A10" s="620">
        <v>1082469</v>
      </c>
      <c r="B10" s="611" t="s">
        <v>256</v>
      </c>
      <c r="C10" s="611" t="s">
        <v>2891</v>
      </c>
      <c r="D10" s="611" t="s">
        <v>2892</v>
      </c>
      <c r="E10" s="620" t="s">
        <v>3301</v>
      </c>
      <c r="F10" s="620" t="s">
        <v>773</v>
      </c>
      <c r="G10" s="612"/>
      <c r="H10" s="612"/>
      <c r="I10" s="612"/>
      <c r="J10" s="612"/>
      <c r="K10" s="612" t="s">
        <v>1038</v>
      </c>
      <c r="L10" s="612"/>
      <c r="M10" s="612"/>
    </row>
    <row r="11" spans="1:13" s="87" customFormat="1" x14ac:dyDescent="0.2">
      <c r="A11" s="620">
        <v>1082470</v>
      </c>
      <c r="B11" s="611" t="s">
        <v>2896</v>
      </c>
      <c r="C11" s="611" t="s">
        <v>2894</v>
      </c>
      <c r="D11" s="611" t="s">
        <v>2895</v>
      </c>
      <c r="E11" s="620" t="s">
        <v>3301</v>
      </c>
      <c r="F11" s="620" t="s">
        <v>773</v>
      </c>
      <c r="G11" s="89"/>
      <c r="H11" s="55"/>
      <c r="I11" s="55"/>
      <c r="J11" s="55"/>
      <c r="K11" s="612" t="s">
        <v>1038</v>
      </c>
      <c r="L11" s="55"/>
      <c r="M11" s="55"/>
    </row>
    <row r="12" spans="1:13" s="87" customFormat="1" x14ac:dyDescent="0.2">
      <c r="A12" s="620">
        <v>1082471</v>
      </c>
      <c r="B12" s="611" t="s">
        <v>1695</v>
      </c>
      <c r="C12" s="611" t="s">
        <v>2898</v>
      </c>
      <c r="D12" s="611" t="s">
        <v>2899</v>
      </c>
      <c r="E12" s="620" t="s">
        <v>3301</v>
      </c>
      <c r="F12" s="620" t="s">
        <v>773</v>
      </c>
      <c r="G12" s="89"/>
      <c r="H12" s="55"/>
      <c r="I12" s="55"/>
      <c r="J12" s="55"/>
      <c r="K12" s="612" t="s">
        <v>1038</v>
      </c>
      <c r="L12" s="55"/>
      <c r="M12" s="55"/>
    </row>
    <row r="13" spans="1:13" s="87" customFormat="1" x14ac:dyDescent="0.2">
      <c r="A13" s="620">
        <v>1082472</v>
      </c>
      <c r="B13" s="611" t="s">
        <v>2903</v>
      </c>
      <c r="C13" s="611" t="s">
        <v>2901</v>
      </c>
      <c r="D13" s="611" t="s">
        <v>2902</v>
      </c>
      <c r="E13" s="620" t="s">
        <v>3301</v>
      </c>
      <c r="F13" s="620" t="s">
        <v>773</v>
      </c>
      <c r="G13" s="612"/>
      <c r="H13" s="55"/>
      <c r="I13" s="55"/>
      <c r="J13" s="55"/>
      <c r="K13" s="612" t="s">
        <v>1038</v>
      </c>
      <c r="L13" s="55"/>
      <c r="M13" s="55"/>
    </row>
    <row r="14" spans="1:13" s="87" customFormat="1" x14ac:dyDescent="0.2">
      <c r="A14" s="620">
        <v>1082473</v>
      </c>
      <c r="B14" s="611" t="s">
        <v>2907</v>
      </c>
      <c r="C14" s="611" t="s">
        <v>2905</v>
      </c>
      <c r="D14" s="611" t="s">
        <v>2906</v>
      </c>
      <c r="E14" s="620" t="s">
        <v>1649</v>
      </c>
      <c r="F14" s="620" t="s">
        <v>74</v>
      </c>
      <c r="G14" s="89" t="s">
        <v>741</v>
      </c>
      <c r="H14" s="55"/>
      <c r="I14" s="55"/>
      <c r="J14" s="55"/>
      <c r="K14" s="612" t="s">
        <v>1234</v>
      </c>
      <c r="L14" s="55"/>
      <c r="M14" s="55"/>
    </row>
    <row r="15" spans="1:13" s="87" customFormat="1" x14ac:dyDescent="0.2">
      <c r="A15" s="620">
        <v>1082474</v>
      </c>
      <c r="B15" s="611" t="s">
        <v>2912</v>
      </c>
      <c r="C15" s="611" t="s">
        <v>2910</v>
      </c>
      <c r="D15" s="611" t="s">
        <v>2911</v>
      </c>
      <c r="E15" s="620" t="s">
        <v>1650</v>
      </c>
      <c r="F15" s="620" t="s">
        <v>70</v>
      </c>
      <c r="G15" s="612" t="s">
        <v>741</v>
      </c>
      <c r="H15" s="55"/>
      <c r="I15" s="55"/>
      <c r="J15" s="55"/>
      <c r="K15" s="612" t="s">
        <v>1038</v>
      </c>
      <c r="L15" s="55"/>
      <c r="M15" s="55"/>
    </row>
    <row r="16" spans="1:13" x14ac:dyDescent="0.2">
      <c r="A16" s="620">
        <v>1082475</v>
      </c>
      <c r="B16" s="611" t="s">
        <v>2917</v>
      </c>
      <c r="C16" s="611" t="s">
        <v>2915</v>
      </c>
      <c r="D16" s="611" t="s">
        <v>2916</v>
      </c>
      <c r="E16" s="620" t="s">
        <v>1650</v>
      </c>
      <c r="F16" s="620" t="s">
        <v>70</v>
      </c>
      <c r="G16" s="612" t="s">
        <v>741</v>
      </c>
      <c r="H16" s="89"/>
      <c r="I16" s="89"/>
      <c r="J16" s="89"/>
      <c r="K16" s="612" t="s">
        <v>1038</v>
      </c>
      <c r="L16" s="88"/>
      <c r="M16" s="88"/>
    </row>
    <row r="17" spans="1:13" x14ac:dyDescent="0.2">
      <c r="A17" s="620">
        <v>1082476</v>
      </c>
      <c r="B17" s="611" t="s">
        <v>2921</v>
      </c>
      <c r="C17" s="611" t="s">
        <v>2919</v>
      </c>
      <c r="D17" s="611" t="s">
        <v>2920</v>
      </c>
      <c r="E17" s="620" t="s">
        <v>1649</v>
      </c>
      <c r="F17" s="620" t="s">
        <v>74</v>
      </c>
      <c r="G17" s="612" t="s">
        <v>741</v>
      </c>
      <c r="H17" s="61"/>
      <c r="I17" s="61"/>
      <c r="J17" s="61"/>
      <c r="K17" s="612" t="s">
        <v>1234</v>
      </c>
      <c r="L17" s="88"/>
      <c r="M17" s="88"/>
    </row>
    <row r="18" spans="1:13" x14ac:dyDescent="0.2">
      <c r="A18" s="611">
        <v>1082477</v>
      </c>
      <c r="B18" s="611" t="s">
        <v>2926</v>
      </c>
      <c r="C18" s="611" t="s">
        <v>2924</v>
      </c>
      <c r="D18" s="611" t="s">
        <v>2925</v>
      </c>
      <c r="E18" s="611" t="s">
        <v>1650</v>
      </c>
      <c r="F18" s="611" t="s">
        <v>70</v>
      </c>
      <c r="G18" s="612" t="s">
        <v>741</v>
      </c>
      <c r="H18" s="61"/>
      <c r="I18" s="61"/>
      <c r="J18" s="61"/>
      <c r="K18" s="612" t="s">
        <v>1038</v>
      </c>
      <c r="L18" s="88"/>
      <c r="M18" s="88"/>
    </row>
    <row r="19" spans="1:13" x14ac:dyDescent="0.2">
      <c r="A19" s="611">
        <v>1082478</v>
      </c>
      <c r="B19" s="611" t="s">
        <v>1030</v>
      </c>
      <c r="C19" s="611" t="s">
        <v>558</v>
      </c>
      <c r="D19" s="611" t="s">
        <v>2928</v>
      </c>
      <c r="E19" s="611" t="s">
        <v>1650</v>
      </c>
      <c r="F19" s="611" t="s">
        <v>70</v>
      </c>
      <c r="G19" s="612" t="s">
        <v>741</v>
      </c>
      <c r="H19" s="61"/>
      <c r="I19" s="61"/>
      <c r="J19" s="61"/>
      <c r="K19" s="612" t="s">
        <v>1038</v>
      </c>
      <c r="L19" s="88"/>
      <c r="M19" s="88"/>
    </row>
    <row r="20" spans="1:13" x14ac:dyDescent="0.2">
      <c r="A20" s="611">
        <v>1082479</v>
      </c>
      <c r="B20" s="611" t="s">
        <v>2932</v>
      </c>
      <c r="C20" s="611" t="s">
        <v>2931</v>
      </c>
      <c r="D20" s="611" t="s">
        <v>620</v>
      </c>
      <c r="E20" s="611" t="s">
        <v>1650</v>
      </c>
      <c r="F20" s="611" t="s">
        <v>70</v>
      </c>
      <c r="G20" s="612" t="s">
        <v>741</v>
      </c>
      <c r="H20" s="61"/>
      <c r="I20" s="61"/>
      <c r="J20" s="61"/>
      <c r="K20" s="612" t="s">
        <v>1038</v>
      </c>
      <c r="L20" s="88"/>
      <c r="M20" s="88"/>
    </row>
    <row r="21" spans="1:13" x14ac:dyDescent="0.2">
      <c r="A21" s="611">
        <v>1082480</v>
      </c>
      <c r="B21" s="611" t="s">
        <v>2937</v>
      </c>
      <c r="C21" s="611" t="s">
        <v>2935</v>
      </c>
      <c r="D21" s="611" t="s">
        <v>2936</v>
      </c>
      <c r="E21" s="611" t="s">
        <v>1649</v>
      </c>
      <c r="F21" s="611" t="s">
        <v>74</v>
      </c>
      <c r="G21" s="612" t="s">
        <v>741</v>
      </c>
      <c r="H21" s="61"/>
      <c r="I21" s="61"/>
      <c r="J21" s="61"/>
      <c r="K21" s="612" t="s">
        <v>1234</v>
      </c>
      <c r="L21" s="88"/>
      <c r="M21" s="88"/>
    </row>
    <row r="22" spans="1:13" x14ac:dyDescent="0.2">
      <c r="A22" s="611">
        <v>1082481</v>
      </c>
      <c r="B22" s="611" t="s">
        <v>2942</v>
      </c>
      <c r="C22" s="611" t="s">
        <v>2940</v>
      </c>
      <c r="D22" s="611" t="s">
        <v>2941</v>
      </c>
      <c r="E22" s="611" t="s">
        <v>1650</v>
      </c>
      <c r="F22" s="611" t="s">
        <v>70</v>
      </c>
      <c r="G22" s="612" t="s">
        <v>741</v>
      </c>
      <c r="H22" s="61"/>
      <c r="I22" s="61"/>
      <c r="J22" s="61"/>
      <c r="K22" s="612" t="s">
        <v>1038</v>
      </c>
      <c r="L22" s="88"/>
      <c r="M22" s="88"/>
    </row>
    <row r="23" spans="1:13" x14ac:dyDescent="0.2">
      <c r="A23" s="611">
        <v>1082482</v>
      </c>
      <c r="B23" s="611" t="s">
        <v>2946</v>
      </c>
      <c r="C23" s="611" t="s">
        <v>2944</v>
      </c>
      <c r="D23" s="611" t="s">
        <v>2945</v>
      </c>
      <c r="E23" s="611" t="s">
        <v>1650</v>
      </c>
      <c r="F23" s="611" t="s">
        <v>70</v>
      </c>
      <c r="G23" s="612" t="s">
        <v>741</v>
      </c>
      <c r="H23" s="61"/>
      <c r="I23" s="61"/>
      <c r="J23" s="61"/>
      <c r="K23" s="612" t="s">
        <v>1038</v>
      </c>
      <c r="L23" s="88"/>
      <c r="M23" s="88"/>
    </row>
    <row r="24" spans="1:13" x14ac:dyDescent="0.2">
      <c r="A24" s="611">
        <v>1082483</v>
      </c>
      <c r="B24" s="611" t="s">
        <v>2951</v>
      </c>
      <c r="C24" s="611" t="s">
        <v>2950</v>
      </c>
      <c r="D24" s="611" t="s">
        <v>607</v>
      </c>
      <c r="E24" s="611" t="s">
        <v>1649</v>
      </c>
      <c r="F24" s="611" t="s">
        <v>74</v>
      </c>
      <c r="G24" s="612" t="s">
        <v>741</v>
      </c>
      <c r="H24" s="61"/>
      <c r="I24" s="61"/>
      <c r="J24" s="61"/>
      <c r="K24" s="612" t="s">
        <v>1234</v>
      </c>
      <c r="L24" s="88"/>
      <c r="M24" s="88"/>
    </row>
    <row r="25" spans="1:13" x14ac:dyDescent="0.2">
      <c r="A25" s="621">
        <v>1082484</v>
      </c>
      <c r="B25" s="611" t="s">
        <v>2955</v>
      </c>
      <c r="C25" s="611" t="s">
        <v>2953</v>
      </c>
      <c r="D25" s="611" t="s">
        <v>2954</v>
      </c>
      <c r="E25" s="611" t="s">
        <v>1650</v>
      </c>
      <c r="F25" s="611" t="s">
        <v>70</v>
      </c>
      <c r="G25" s="612" t="s">
        <v>741</v>
      </c>
      <c r="H25" s="61"/>
      <c r="I25" s="61"/>
      <c r="J25" s="61"/>
      <c r="K25" s="612" t="s">
        <v>1038</v>
      </c>
      <c r="L25" s="88"/>
      <c r="M25" s="88"/>
    </row>
    <row r="26" spans="1:13" x14ac:dyDescent="0.2">
      <c r="A26" s="621">
        <v>1082485</v>
      </c>
      <c r="B26" s="611" t="s">
        <v>2959</v>
      </c>
      <c r="C26" s="611" t="s">
        <v>2957</v>
      </c>
      <c r="D26" s="611" t="s">
        <v>2958</v>
      </c>
      <c r="E26" s="611" t="s">
        <v>1649</v>
      </c>
      <c r="F26" s="611" t="s">
        <v>74</v>
      </c>
      <c r="G26" s="612" t="s">
        <v>741</v>
      </c>
      <c r="H26" s="61"/>
      <c r="I26" s="61"/>
      <c r="J26" s="61"/>
      <c r="K26" s="612" t="s">
        <v>1234</v>
      </c>
      <c r="L26" s="88"/>
      <c r="M26" s="88"/>
    </row>
    <row r="27" spans="1:13" x14ac:dyDescent="0.2">
      <c r="A27" s="621">
        <v>1082486</v>
      </c>
      <c r="B27" s="615" t="s">
        <v>2964</v>
      </c>
      <c r="C27" s="615" t="s">
        <v>2962</v>
      </c>
      <c r="D27" s="89" t="s">
        <v>2963</v>
      </c>
      <c r="E27" s="615" t="s">
        <v>1649</v>
      </c>
      <c r="F27" s="615" t="s">
        <v>74</v>
      </c>
      <c r="G27" s="89" t="s">
        <v>741</v>
      </c>
      <c r="H27" s="61"/>
      <c r="I27" s="61"/>
      <c r="J27" s="61"/>
      <c r="K27" s="61" t="s">
        <v>1234</v>
      </c>
      <c r="L27" s="88"/>
      <c r="M27" s="88"/>
    </row>
    <row r="28" spans="1:13" x14ac:dyDescent="0.2">
      <c r="A28" s="621">
        <v>1082487</v>
      </c>
      <c r="B28" s="615" t="s">
        <v>2968</v>
      </c>
      <c r="C28" s="615" t="s">
        <v>2966</v>
      </c>
      <c r="D28" s="89" t="s">
        <v>2967</v>
      </c>
      <c r="E28" s="615" t="s">
        <v>1649</v>
      </c>
      <c r="F28" s="615" t="s">
        <v>74</v>
      </c>
      <c r="G28" s="89" t="s">
        <v>741</v>
      </c>
      <c r="H28" s="61"/>
      <c r="I28" s="61"/>
      <c r="J28" s="61"/>
      <c r="K28" s="61" t="s">
        <v>1234</v>
      </c>
      <c r="L28" s="88"/>
      <c r="M28" s="88"/>
    </row>
    <row r="29" spans="1:13" x14ac:dyDescent="0.2">
      <c r="A29" s="621">
        <v>1082488</v>
      </c>
      <c r="B29" s="615" t="s">
        <v>2425</v>
      </c>
      <c r="C29" s="615" t="s">
        <v>1207</v>
      </c>
      <c r="D29" s="89" t="s">
        <v>2970</v>
      </c>
      <c r="E29" s="615" t="s">
        <v>1649</v>
      </c>
      <c r="F29" s="615" t="s">
        <v>74</v>
      </c>
      <c r="G29" s="89" t="s">
        <v>741</v>
      </c>
      <c r="H29" s="61"/>
      <c r="I29" s="61"/>
      <c r="J29" s="61"/>
      <c r="K29" s="61" t="s">
        <v>1234</v>
      </c>
      <c r="L29" s="88"/>
      <c r="M29" s="88"/>
    </row>
    <row r="30" spans="1:13" x14ac:dyDescent="0.2">
      <c r="A30" s="622">
        <v>1082489</v>
      </c>
      <c r="B30" s="616" t="s">
        <v>2975</v>
      </c>
      <c r="C30" s="616" t="s">
        <v>2973</v>
      </c>
      <c r="D30" s="616" t="s">
        <v>2974</v>
      </c>
      <c r="E30" s="615" t="s">
        <v>1650</v>
      </c>
      <c r="F30" s="617" t="s">
        <v>70</v>
      </c>
      <c r="G30" s="89" t="s">
        <v>741</v>
      </c>
      <c r="H30" s="61"/>
      <c r="I30" s="61"/>
      <c r="J30" s="61"/>
      <c r="K30" s="61" t="s">
        <v>1038</v>
      </c>
      <c r="L30" s="88"/>
      <c r="M30" s="88"/>
    </row>
    <row r="31" spans="1:13" x14ac:dyDescent="0.2">
      <c r="A31" s="622">
        <v>1082490</v>
      </c>
      <c r="B31" s="616" t="s">
        <v>3145</v>
      </c>
      <c r="C31" s="616" t="s">
        <v>3144</v>
      </c>
      <c r="D31" s="89" t="s">
        <v>3292</v>
      </c>
      <c r="E31" s="616" t="s">
        <v>1649</v>
      </c>
      <c r="F31" s="617" t="s">
        <v>74</v>
      </c>
      <c r="G31" s="89" t="s">
        <v>741</v>
      </c>
      <c r="H31" s="89"/>
      <c r="I31" s="89"/>
      <c r="J31" s="61"/>
      <c r="K31" s="61" t="s">
        <v>1234</v>
      </c>
      <c r="L31" s="88"/>
      <c r="M31" s="88"/>
    </row>
    <row r="32" spans="1:13" x14ac:dyDescent="0.2">
      <c r="A32" s="622">
        <v>1082491</v>
      </c>
      <c r="B32" s="617" t="s">
        <v>3148</v>
      </c>
      <c r="C32" s="89" t="s">
        <v>3147</v>
      </c>
      <c r="D32" s="89" t="s">
        <v>3291</v>
      </c>
      <c r="E32" s="617" t="s">
        <v>1649</v>
      </c>
      <c r="F32" s="617" t="s">
        <v>74</v>
      </c>
      <c r="G32" s="89" t="s">
        <v>741</v>
      </c>
      <c r="H32" s="61"/>
      <c r="I32" s="61"/>
      <c r="J32" s="61"/>
      <c r="K32" s="61" t="s">
        <v>1234</v>
      </c>
      <c r="L32" s="88"/>
      <c r="M32" s="88"/>
    </row>
    <row r="33" spans="1:13" x14ac:dyDescent="0.2">
      <c r="A33" s="622">
        <v>1082492</v>
      </c>
      <c r="B33" s="617" t="s">
        <v>3150</v>
      </c>
      <c r="C33" s="89" t="s">
        <v>3149</v>
      </c>
      <c r="D33" s="89" t="s">
        <v>3289</v>
      </c>
      <c r="E33" s="617" t="s">
        <v>1650</v>
      </c>
      <c r="F33" s="617" t="s">
        <v>70</v>
      </c>
      <c r="G33" s="89" t="s">
        <v>741</v>
      </c>
      <c r="H33" s="61"/>
      <c r="I33" s="61"/>
      <c r="J33" s="61"/>
      <c r="K33" s="61" t="s">
        <v>1038</v>
      </c>
      <c r="L33" s="88"/>
      <c r="M33" s="88"/>
    </row>
    <row r="34" spans="1:13" x14ac:dyDescent="0.2">
      <c r="A34" s="622">
        <v>1082493</v>
      </c>
      <c r="B34" s="617" t="s">
        <v>3153</v>
      </c>
      <c r="C34" s="89" t="s">
        <v>3152</v>
      </c>
      <c r="D34" s="89" t="s">
        <v>3288</v>
      </c>
      <c r="E34" s="617" t="s">
        <v>1649</v>
      </c>
      <c r="F34" s="617" t="s">
        <v>74</v>
      </c>
      <c r="G34" s="89" t="s">
        <v>741</v>
      </c>
      <c r="H34" s="61"/>
      <c r="I34" s="61"/>
      <c r="J34" s="61"/>
      <c r="K34" s="61" t="s">
        <v>1234</v>
      </c>
      <c r="L34" s="88"/>
      <c r="M34" s="88"/>
    </row>
    <row r="35" spans="1:13" x14ac:dyDescent="0.2">
      <c r="A35" s="622">
        <v>1082494</v>
      </c>
      <c r="B35" s="617" t="s">
        <v>3154</v>
      </c>
      <c r="C35" s="89" t="s">
        <v>3176</v>
      </c>
      <c r="D35" s="89" t="s">
        <v>3294</v>
      </c>
      <c r="E35" s="617" t="s">
        <v>1650</v>
      </c>
      <c r="F35" s="617" t="s">
        <v>70</v>
      </c>
      <c r="G35" s="89" t="s">
        <v>741</v>
      </c>
      <c r="H35" s="61"/>
      <c r="I35" s="61"/>
      <c r="J35" s="61"/>
      <c r="K35" s="61" t="s">
        <v>1038</v>
      </c>
      <c r="L35" s="88"/>
      <c r="M35" s="88"/>
    </row>
    <row r="36" spans="1:13" x14ac:dyDescent="0.2">
      <c r="A36" s="622">
        <v>1082495</v>
      </c>
      <c r="B36" s="617" t="s">
        <v>3156</v>
      </c>
      <c r="C36" s="89" t="s">
        <v>3155</v>
      </c>
      <c r="D36" s="89" t="s">
        <v>3295</v>
      </c>
      <c r="E36" s="617" t="s">
        <v>1650</v>
      </c>
      <c r="F36" s="617" t="s">
        <v>70</v>
      </c>
      <c r="G36" s="89" t="s">
        <v>741</v>
      </c>
      <c r="H36" s="61"/>
      <c r="I36" s="61"/>
      <c r="J36" s="61"/>
      <c r="K36" s="61" t="s">
        <v>1038</v>
      </c>
      <c r="L36" s="88"/>
      <c r="M36" s="88"/>
    </row>
    <row r="37" spans="1:13" x14ac:dyDescent="0.2">
      <c r="A37" s="622">
        <v>1082496</v>
      </c>
      <c r="B37" s="617" t="s">
        <v>3158</v>
      </c>
      <c r="C37" s="89" t="s">
        <v>3157</v>
      </c>
      <c r="D37" s="89" t="s">
        <v>3287</v>
      </c>
      <c r="E37" s="617" t="s">
        <v>1650</v>
      </c>
      <c r="F37" s="617" t="s">
        <v>70</v>
      </c>
      <c r="G37" s="89" t="s">
        <v>741</v>
      </c>
      <c r="H37" s="61"/>
      <c r="I37" s="61"/>
      <c r="J37" s="61"/>
      <c r="K37" s="61" t="s">
        <v>1038</v>
      </c>
      <c r="L37" s="88"/>
      <c r="M37" s="88"/>
    </row>
    <row r="38" spans="1:13" x14ac:dyDescent="0.2">
      <c r="A38" s="622">
        <v>1082497</v>
      </c>
      <c r="B38" s="617" t="s">
        <v>3160</v>
      </c>
      <c r="C38" s="89" t="s">
        <v>3159</v>
      </c>
      <c r="D38" s="89" t="s">
        <v>3283</v>
      </c>
      <c r="E38" s="617" t="s">
        <v>1649</v>
      </c>
      <c r="F38" s="617" t="s">
        <v>74</v>
      </c>
      <c r="G38" s="89" t="s">
        <v>741</v>
      </c>
      <c r="H38" s="61"/>
      <c r="I38" s="61"/>
      <c r="J38" s="61"/>
      <c r="K38" s="61" t="s">
        <v>1234</v>
      </c>
      <c r="L38" s="88"/>
      <c r="M38" s="88"/>
    </row>
    <row r="39" spans="1:13" x14ac:dyDescent="0.2">
      <c r="A39" s="622">
        <v>1082498</v>
      </c>
      <c r="B39" s="617" t="s">
        <v>3162</v>
      </c>
      <c r="C39" s="89" t="s">
        <v>3161</v>
      </c>
      <c r="D39" s="89" t="s">
        <v>3296</v>
      </c>
      <c r="E39" s="617" t="s">
        <v>1649</v>
      </c>
      <c r="F39" s="617" t="s">
        <v>74</v>
      </c>
      <c r="G39" s="89" t="s">
        <v>741</v>
      </c>
      <c r="H39" s="61"/>
      <c r="I39" s="61"/>
      <c r="J39" s="61"/>
      <c r="K39" s="61" t="s">
        <v>1234</v>
      </c>
      <c r="L39" s="88"/>
      <c r="M39" s="88"/>
    </row>
    <row r="40" spans="1:13" x14ac:dyDescent="0.2">
      <c r="A40" s="622">
        <v>1082499</v>
      </c>
      <c r="B40" s="617" t="s">
        <v>3164</v>
      </c>
      <c r="C40" s="89" t="s">
        <v>3163</v>
      </c>
      <c r="D40" s="89" t="s">
        <v>3284</v>
      </c>
      <c r="E40" s="617" t="s">
        <v>1650</v>
      </c>
      <c r="F40" s="617" t="s">
        <v>70</v>
      </c>
      <c r="G40" s="89" t="s">
        <v>741</v>
      </c>
      <c r="H40" s="61"/>
      <c r="I40" s="61"/>
      <c r="J40" s="61"/>
      <c r="K40" s="61" t="s">
        <v>1038</v>
      </c>
      <c r="L40" s="88"/>
      <c r="M40" s="88"/>
    </row>
    <row r="41" spans="1:13" x14ac:dyDescent="0.2">
      <c r="A41" s="622">
        <v>1082500</v>
      </c>
      <c r="B41" s="617" t="s">
        <v>1505</v>
      </c>
      <c r="C41" s="89" t="s">
        <v>3165</v>
      </c>
      <c r="D41" s="89" t="s">
        <v>3297</v>
      </c>
      <c r="E41" s="617" t="s">
        <v>1649</v>
      </c>
      <c r="F41" s="617" t="s">
        <v>74</v>
      </c>
      <c r="G41" s="89" t="s">
        <v>741</v>
      </c>
      <c r="H41" s="61"/>
      <c r="I41" s="61"/>
      <c r="J41" s="61"/>
      <c r="K41" s="61" t="s">
        <v>1234</v>
      </c>
      <c r="L41" s="88"/>
      <c r="M41" s="88"/>
    </row>
    <row r="42" spans="1:13" x14ac:dyDescent="0.2">
      <c r="A42" s="622">
        <v>1082501</v>
      </c>
      <c r="B42" s="617" t="s">
        <v>537</v>
      </c>
      <c r="C42" s="89" t="s">
        <v>3166</v>
      </c>
      <c r="D42" s="89" t="s">
        <v>3290</v>
      </c>
      <c r="E42" s="617" t="s">
        <v>1649</v>
      </c>
      <c r="F42" s="617" t="s">
        <v>74</v>
      </c>
      <c r="G42" s="89" t="s">
        <v>741</v>
      </c>
      <c r="H42" s="61"/>
      <c r="I42" s="61"/>
      <c r="J42" s="61"/>
      <c r="K42" s="61" t="s">
        <v>1234</v>
      </c>
      <c r="L42" s="88"/>
      <c r="M42" s="88"/>
    </row>
    <row r="43" spans="1:13" x14ac:dyDescent="0.2">
      <c r="A43" s="623">
        <v>1082502</v>
      </c>
      <c r="B43" s="617" t="s">
        <v>3168</v>
      </c>
      <c r="C43" s="89" t="s">
        <v>3167</v>
      </c>
      <c r="D43" s="89" t="s">
        <v>3299</v>
      </c>
      <c r="E43" s="617" t="s">
        <v>3302</v>
      </c>
      <c r="F43" s="617" t="s">
        <v>70</v>
      </c>
      <c r="G43" s="89" t="s">
        <v>741</v>
      </c>
      <c r="H43" s="61"/>
      <c r="I43" s="61"/>
      <c r="J43" s="61"/>
      <c r="K43" s="61" t="s">
        <v>1038</v>
      </c>
      <c r="L43" s="88"/>
      <c r="M43" s="88"/>
    </row>
    <row r="44" spans="1:13" x14ac:dyDescent="0.2">
      <c r="A44" s="623">
        <v>1082503</v>
      </c>
      <c r="B44" s="617" t="s">
        <v>3170</v>
      </c>
      <c r="C44" s="89" t="s">
        <v>3169</v>
      </c>
      <c r="D44" s="89" t="s">
        <v>1170</v>
      </c>
      <c r="E44" s="617" t="s">
        <v>1649</v>
      </c>
      <c r="F44" s="617" t="s">
        <v>74</v>
      </c>
      <c r="G44" s="89" t="s">
        <v>741</v>
      </c>
      <c r="H44" s="61"/>
      <c r="I44" s="61"/>
      <c r="J44" s="61"/>
      <c r="K44" s="61" t="s">
        <v>1234</v>
      </c>
      <c r="L44" s="88"/>
      <c r="M44" s="88"/>
    </row>
    <row r="45" spans="1:13" x14ac:dyDescent="0.2">
      <c r="A45" s="623">
        <v>1082504</v>
      </c>
      <c r="B45" s="617" t="s">
        <v>3172</v>
      </c>
      <c r="C45" s="89" t="s">
        <v>3171</v>
      </c>
      <c r="D45" s="89" t="s">
        <v>3285</v>
      </c>
      <c r="E45" s="617" t="s">
        <v>1649</v>
      </c>
      <c r="F45" s="618" t="s">
        <v>74</v>
      </c>
      <c r="G45" s="61" t="s">
        <v>741</v>
      </c>
      <c r="H45" s="61"/>
      <c r="I45" s="61"/>
      <c r="J45" s="61"/>
      <c r="K45" s="61" t="s">
        <v>1234</v>
      </c>
      <c r="L45" s="88"/>
      <c r="M45" s="88"/>
    </row>
    <row r="46" spans="1:13" s="631" customFormat="1" x14ac:dyDescent="0.2">
      <c r="A46" s="626">
        <v>1082505</v>
      </c>
      <c r="B46" s="627" t="s">
        <v>3174</v>
      </c>
      <c r="C46" s="628" t="s">
        <v>3173</v>
      </c>
      <c r="D46" s="628" t="s">
        <v>581</v>
      </c>
      <c r="E46" s="626" t="s">
        <v>3303</v>
      </c>
      <c r="F46" s="626" t="s">
        <v>3282</v>
      </c>
      <c r="G46" s="628" t="s">
        <v>3298</v>
      </c>
      <c r="H46" s="629"/>
      <c r="I46" s="629"/>
      <c r="J46" s="629"/>
      <c r="K46" s="629"/>
      <c r="L46" s="630"/>
      <c r="M46" s="630"/>
    </row>
    <row r="47" spans="1:13" x14ac:dyDescent="0.2">
      <c r="A47" s="624"/>
      <c r="B47" s="625"/>
      <c r="C47" s="90"/>
      <c r="D47" s="90"/>
      <c r="E47" s="619"/>
      <c r="F47" s="619"/>
      <c r="G47" s="90"/>
      <c r="H47" s="79"/>
      <c r="I47" s="79"/>
      <c r="J47" s="79"/>
      <c r="K47" s="79"/>
      <c r="L47" s="91"/>
      <c r="M47" s="91"/>
    </row>
    <row r="48" spans="1:13" x14ac:dyDescent="0.2">
      <c r="A48" s="624"/>
      <c r="B48" s="625"/>
      <c r="C48" s="90"/>
      <c r="D48" s="90"/>
      <c r="E48" s="619"/>
      <c r="F48" s="619"/>
      <c r="G48" s="90"/>
      <c r="H48" s="79"/>
      <c r="I48" s="79"/>
      <c r="J48" s="79"/>
      <c r="K48" s="79"/>
      <c r="L48" s="91"/>
      <c r="M48" s="91"/>
    </row>
    <row r="49" spans="1:13" x14ac:dyDescent="0.2">
      <c r="A49" s="624"/>
      <c r="B49" s="625"/>
      <c r="C49" s="90"/>
      <c r="D49" s="90"/>
      <c r="E49" s="619"/>
      <c r="F49" s="619"/>
      <c r="G49" s="90"/>
      <c r="H49" s="79"/>
      <c r="I49" s="79"/>
      <c r="J49" s="79"/>
      <c r="K49" s="79"/>
      <c r="L49" s="91"/>
      <c r="M49" s="91"/>
    </row>
    <row r="50" spans="1:13" x14ac:dyDescent="0.2">
      <c r="A50" s="624"/>
      <c r="B50" s="625"/>
      <c r="C50" s="90"/>
      <c r="D50" s="90"/>
      <c r="E50" s="619"/>
      <c r="F50" s="619"/>
      <c r="G50" s="90"/>
      <c r="H50" s="79"/>
      <c r="I50" s="79"/>
      <c r="J50" s="79"/>
      <c r="K50" s="79"/>
      <c r="L50" s="91"/>
      <c r="M50" s="91"/>
    </row>
    <row r="51" spans="1:13" x14ac:dyDescent="0.2">
      <c r="A51" s="624"/>
      <c r="B51" s="625"/>
      <c r="C51" s="90"/>
      <c r="D51" s="90"/>
      <c r="E51" s="619"/>
      <c r="F51" s="619"/>
      <c r="G51" s="90"/>
      <c r="H51" s="79"/>
      <c r="I51" s="79"/>
      <c r="J51" s="79"/>
      <c r="K51" s="79"/>
      <c r="L51" s="91"/>
      <c r="M51" s="91"/>
    </row>
    <row r="52" spans="1:13" x14ac:dyDescent="0.2">
      <c r="A52" s="624"/>
      <c r="B52" s="625"/>
      <c r="C52" s="90"/>
      <c r="D52" s="90"/>
      <c r="E52" s="619"/>
      <c r="F52" s="619"/>
      <c r="G52" s="90"/>
      <c r="H52" s="79"/>
      <c r="I52" s="79"/>
      <c r="J52" s="79"/>
      <c r="K52" s="79"/>
      <c r="L52" s="91"/>
      <c r="M52" s="91"/>
    </row>
    <row r="53" spans="1:13" x14ac:dyDescent="0.2">
      <c r="A53" s="624"/>
      <c r="B53" s="625"/>
      <c r="C53" s="90"/>
      <c r="D53" s="90"/>
      <c r="E53" s="619"/>
      <c r="F53" s="619"/>
      <c r="G53" s="90"/>
      <c r="H53" s="79"/>
      <c r="I53" s="79"/>
      <c r="J53" s="79"/>
      <c r="K53" s="79"/>
      <c r="L53" s="91"/>
      <c r="M53" s="91"/>
    </row>
    <row r="54" spans="1:13" x14ac:dyDescent="0.2">
      <c r="A54" s="624"/>
      <c r="B54" s="625"/>
      <c r="C54" s="90"/>
      <c r="D54" s="90"/>
      <c r="E54" s="619"/>
      <c r="F54" s="619"/>
      <c r="G54" s="90"/>
      <c r="H54" s="79"/>
      <c r="I54" s="79"/>
      <c r="J54" s="79"/>
      <c r="K54" s="79"/>
      <c r="L54" s="91"/>
      <c r="M54" s="91"/>
    </row>
    <row r="55" spans="1:13" x14ac:dyDescent="0.2">
      <c r="A55" s="624"/>
      <c r="B55" s="625"/>
      <c r="C55" s="90"/>
      <c r="D55" s="90"/>
      <c r="E55" s="619"/>
      <c r="F55" s="619"/>
      <c r="G55" s="90"/>
      <c r="H55" s="79"/>
      <c r="I55" s="79"/>
      <c r="J55" s="79"/>
      <c r="K55" s="79"/>
      <c r="L55" s="91"/>
      <c r="M55" s="91"/>
    </row>
    <row r="56" spans="1:13" x14ac:dyDescent="0.2">
      <c r="A56" s="624"/>
      <c r="B56" s="625"/>
      <c r="C56" s="90"/>
      <c r="D56" s="90"/>
      <c r="E56" s="619"/>
      <c r="F56" s="619"/>
      <c r="G56" s="90"/>
      <c r="H56" s="79"/>
      <c r="I56" s="79"/>
      <c r="J56" s="79"/>
      <c r="K56" s="79"/>
      <c r="L56" s="91"/>
      <c r="M56" s="91"/>
    </row>
    <row r="57" spans="1:13" x14ac:dyDescent="0.2">
      <c r="A57" s="624"/>
      <c r="B57" s="625"/>
      <c r="C57" s="90"/>
      <c r="D57" s="90"/>
      <c r="E57" s="619"/>
      <c r="F57" s="619"/>
      <c r="G57" s="90"/>
      <c r="H57" s="79"/>
      <c r="I57" s="79"/>
      <c r="J57" s="79"/>
      <c r="K57" s="79"/>
      <c r="L57" s="92"/>
      <c r="M57" s="92"/>
    </row>
    <row r="58" spans="1:13" x14ac:dyDescent="0.2">
      <c r="A58" s="624"/>
      <c r="B58" s="625"/>
      <c r="C58" s="90"/>
      <c r="D58" s="90"/>
      <c r="E58" s="619"/>
      <c r="F58" s="619"/>
      <c r="G58" s="93"/>
      <c r="H58" s="93"/>
      <c r="I58" s="93"/>
      <c r="J58" s="93"/>
      <c r="K58" s="79"/>
      <c r="L58" s="92"/>
      <c r="M58" s="92"/>
    </row>
    <row r="59" spans="1:13" x14ac:dyDescent="0.2">
      <c r="A59" s="624"/>
      <c r="B59" s="625"/>
      <c r="C59" s="90"/>
      <c r="D59" s="90"/>
      <c r="E59" s="619"/>
      <c r="F59" s="619"/>
      <c r="G59" s="93"/>
      <c r="H59" s="93"/>
      <c r="I59" s="93"/>
      <c r="J59" s="93"/>
      <c r="K59" s="79"/>
      <c r="L59" s="92"/>
      <c r="M59" s="92"/>
    </row>
    <row r="60" spans="1:13" x14ac:dyDescent="0.2">
      <c r="A60" s="624"/>
      <c r="B60" s="625"/>
      <c r="C60" s="90"/>
      <c r="D60" s="90"/>
      <c r="E60" s="619"/>
      <c r="F60" s="619"/>
      <c r="G60" s="93"/>
      <c r="H60" s="79"/>
      <c r="I60" s="93"/>
      <c r="J60" s="93"/>
      <c r="K60" s="79"/>
      <c r="L60" s="92"/>
      <c r="M60" s="92"/>
    </row>
    <row r="61" spans="1:13" x14ac:dyDescent="0.2">
      <c r="A61" s="624"/>
      <c r="B61" s="625"/>
      <c r="C61" s="90"/>
      <c r="D61" s="90"/>
      <c r="E61" s="619"/>
      <c r="F61" s="619"/>
      <c r="G61" s="93"/>
      <c r="H61" s="79"/>
      <c r="I61" s="93"/>
      <c r="J61" s="93"/>
      <c r="K61" s="79"/>
      <c r="L61" s="92"/>
      <c r="M61" s="92"/>
    </row>
    <row r="62" spans="1:13" x14ac:dyDescent="0.2">
      <c r="A62" s="624"/>
      <c r="B62" s="625"/>
      <c r="C62" s="90"/>
      <c r="D62" s="90"/>
      <c r="E62" s="619"/>
      <c r="F62" s="619"/>
      <c r="G62" s="93"/>
      <c r="H62" s="79"/>
      <c r="I62" s="93"/>
      <c r="J62" s="93"/>
      <c r="K62" s="79"/>
      <c r="L62" s="92"/>
      <c r="M62" s="92"/>
    </row>
    <row r="63" spans="1:13" x14ac:dyDescent="0.2">
      <c r="A63" s="624"/>
      <c r="B63" s="625"/>
      <c r="C63" s="90"/>
      <c r="D63" s="90"/>
      <c r="E63" s="619"/>
      <c r="F63" s="619"/>
      <c r="G63" s="93"/>
      <c r="H63" s="79"/>
      <c r="I63" s="93"/>
      <c r="J63" s="93"/>
      <c r="K63" s="79"/>
      <c r="L63" s="92"/>
      <c r="M63" s="92"/>
    </row>
    <row r="64" spans="1:13" x14ac:dyDescent="0.2">
      <c r="A64" s="624"/>
      <c r="B64" s="625"/>
      <c r="C64" s="90"/>
      <c r="D64" s="90"/>
      <c r="E64" s="619"/>
      <c r="F64" s="619"/>
      <c r="G64" s="93"/>
      <c r="H64" s="79"/>
      <c r="I64" s="93"/>
      <c r="J64" s="93"/>
      <c r="K64" s="79"/>
      <c r="L64" s="92"/>
      <c r="M64" s="92"/>
    </row>
    <row r="65" spans="1:13" x14ac:dyDescent="0.2">
      <c r="A65" s="624"/>
      <c r="B65" s="625"/>
      <c r="C65" s="90"/>
      <c r="D65" s="90"/>
      <c r="E65" s="619"/>
      <c r="F65" s="619"/>
      <c r="G65" s="93"/>
      <c r="H65" s="79"/>
      <c r="I65" s="93"/>
      <c r="J65" s="93"/>
      <c r="K65" s="79"/>
      <c r="L65" s="92"/>
      <c r="M65" s="92"/>
    </row>
    <row r="66" spans="1:13" x14ac:dyDescent="0.2">
      <c r="A66" s="624"/>
      <c r="B66" s="625"/>
      <c r="C66" s="90"/>
      <c r="D66" s="90"/>
      <c r="E66" s="619"/>
      <c r="F66" s="619"/>
      <c r="G66" s="90"/>
      <c r="H66" s="79"/>
      <c r="I66" s="79"/>
      <c r="J66" s="79"/>
      <c r="K66" s="79"/>
      <c r="L66" s="92"/>
      <c r="M66" s="92"/>
    </row>
    <row r="67" spans="1:13" x14ac:dyDescent="0.2">
      <c r="A67" s="624"/>
      <c r="B67" s="625"/>
      <c r="C67" s="90"/>
      <c r="D67" s="90"/>
      <c r="E67" s="619"/>
      <c r="F67" s="619"/>
      <c r="G67" s="90"/>
      <c r="H67" s="79"/>
      <c r="I67" s="79"/>
      <c r="J67" s="79"/>
      <c r="K67" s="79"/>
      <c r="L67" s="92"/>
      <c r="M67" s="92"/>
    </row>
    <row r="68" spans="1:13" x14ac:dyDescent="0.2">
      <c r="A68" s="624"/>
      <c r="B68" s="625"/>
      <c r="C68" s="90"/>
      <c r="D68" s="90"/>
      <c r="E68" s="619"/>
      <c r="F68" s="619"/>
      <c r="G68" s="90"/>
      <c r="H68" s="79"/>
      <c r="I68" s="79"/>
      <c r="J68" s="79"/>
      <c r="K68" s="79"/>
      <c r="L68" s="92"/>
      <c r="M68" s="92"/>
    </row>
    <row r="69" spans="1:13" x14ac:dyDescent="0.2">
      <c r="A69" s="624"/>
      <c r="B69" s="625"/>
      <c r="C69" s="90"/>
      <c r="D69" s="90"/>
      <c r="E69" s="619"/>
      <c r="F69" s="619"/>
      <c r="G69" s="90"/>
      <c r="H69" s="79"/>
      <c r="I69" s="79"/>
      <c r="J69" s="79"/>
      <c r="K69" s="79"/>
      <c r="L69" s="92"/>
      <c r="M69" s="92"/>
    </row>
    <row r="70" spans="1:13" x14ac:dyDescent="0.2">
      <c r="A70" s="624"/>
      <c r="B70" s="625"/>
      <c r="C70" s="90"/>
      <c r="D70" s="90"/>
      <c r="E70" s="619"/>
      <c r="F70" s="619"/>
      <c r="G70" s="90"/>
      <c r="H70" s="79"/>
      <c r="I70" s="79"/>
      <c r="J70" s="79"/>
      <c r="K70" s="79"/>
      <c r="L70" s="92"/>
      <c r="M70" s="92"/>
    </row>
    <row r="71" spans="1:13" x14ac:dyDescent="0.2">
      <c r="A71" s="624"/>
      <c r="B71" s="625"/>
      <c r="C71" s="90"/>
      <c r="D71" s="90"/>
      <c r="E71" s="619"/>
      <c r="F71" s="619"/>
      <c r="G71" s="90"/>
      <c r="H71" s="79"/>
      <c r="I71" s="79"/>
      <c r="J71" s="79"/>
      <c r="K71" s="79"/>
      <c r="L71" s="92"/>
      <c r="M71" s="92"/>
    </row>
    <row r="72" spans="1:13" x14ac:dyDescent="0.2">
      <c r="A72" s="624"/>
      <c r="B72" s="625"/>
      <c r="C72" s="90"/>
      <c r="D72" s="90"/>
      <c r="E72" s="619"/>
      <c r="F72" s="619"/>
      <c r="G72" s="90"/>
      <c r="H72" s="79"/>
      <c r="I72" s="79"/>
      <c r="J72" s="79"/>
      <c r="K72" s="79"/>
      <c r="L72" s="92"/>
      <c r="M72" s="92"/>
    </row>
    <row r="73" spans="1:13" x14ac:dyDescent="0.2">
      <c r="A73" s="624"/>
      <c r="B73" s="625"/>
      <c r="C73" s="90"/>
      <c r="D73" s="90"/>
      <c r="E73" s="619"/>
      <c r="F73" s="619"/>
      <c r="G73" s="90"/>
      <c r="H73" s="79"/>
      <c r="I73" s="79"/>
      <c r="J73" s="79"/>
      <c r="K73" s="79"/>
      <c r="L73" s="92"/>
      <c r="M73" s="92"/>
    </row>
    <row r="74" spans="1:13" x14ac:dyDescent="0.2">
      <c r="A74" s="624"/>
      <c r="B74" s="625"/>
      <c r="C74" s="90"/>
      <c r="D74" s="90"/>
      <c r="E74" s="619"/>
      <c r="F74" s="619"/>
      <c r="G74" s="93"/>
      <c r="H74" s="79"/>
      <c r="I74" s="93"/>
      <c r="J74" s="93"/>
      <c r="K74" s="79"/>
      <c r="L74" s="92"/>
      <c r="M74" s="92"/>
    </row>
    <row r="75" spans="1:13" x14ac:dyDescent="0.2">
      <c r="A75" s="624"/>
      <c r="B75" s="625"/>
      <c r="C75" s="90"/>
      <c r="D75" s="90"/>
      <c r="E75" s="619"/>
      <c r="F75" s="619"/>
      <c r="G75" s="93"/>
      <c r="H75" s="79"/>
      <c r="I75" s="93"/>
      <c r="J75" s="93"/>
      <c r="K75" s="79"/>
      <c r="L75" s="92"/>
      <c r="M75" s="92"/>
    </row>
    <row r="76" spans="1:13" x14ac:dyDescent="0.2">
      <c r="A76" s="624"/>
      <c r="B76" s="625"/>
      <c r="C76" s="90"/>
      <c r="D76" s="90"/>
      <c r="E76" s="619"/>
      <c r="F76" s="619"/>
      <c r="G76" s="93"/>
      <c r="H76" s="79"/>
      <c r="I76" s="93"/>
      <c r="J76" s="93"/>
      <c r="K76" s="79"/>
      <c r="L76" s="92"/>
      <c r="M76" s="92"/>
    </row>
    <row r="77" spans="1:13" x14ac:dyDescent="0.2">
      <c r="A77" s="624"/>
      <c r="B77" s="625"/>
      <c r="C77" s="90"/>
      <c r="D77" s="90"/>
      <c r="E77" s="619"/>
      <c r="F77" s="619"/>
      <c r="G77" s="93"/>
      <c r="H77" s="79"/>
      <c r="I77" s="93"/>
      <c r="J77" s="93"/>
      <c r="K77" s="79"/>
      <c r="L77" s="92"/>
      <c r="M77" s="92"/>
    </row>
    <row r="78" spans="1:13" x14ac:dyDescent="0.2">
      <c r="A78" s="624"/>
      <c r="B78" s="625"/>
      <c r="C78" s="90"/>
      <c r="D78" s="90"/>
      <c r="E78" s="619"/>
      <c r="F78" s="619"/>
      <c r="G78" s="93"/>
      <c r="H78" s="79"/>
      <c r="I78" s="93"/>
      <c r="J78" s="93"/>
      <c r="K78" s="79"/>
      <c r="L78" s="92"/>
      <c r="M78" s="92"/>
    </row>
    <row r="79" spans="1:13" x14ac:dyDescent="0.2">
      <c r="A79" s="624"/>
      <c r="B79" s="625"/>
      <c r="C79" s="90"/>
      <c r="D79" s="90"/>
      <c r="E79" s="619"/>
      <c r="F79" s="90"/>
      <c r="G79" s="93"/>
      <c r="H79" s="93"/>
      <c r="I79" s="93"/>
      <c r="J79" s="93"/>
      <c r="K79" s="79"/>
      <c r="L79" s="92"/>
      <c r="M79" s="92"/>
    </row>
  </sheetData>
  <autoFilter ref="A4:M56"/>
  <pageMargins left="0.75" right="0.75" top="1" bottom="1" header="0.5" footer="0.5"/>
  <pageSetup scale="75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36"/>
  <sheetViews>
    <sheetView topLeftCell="A4" workbookViewId="0">
      <selection activeCell="E15" sqref="E15"/>
    </sheetView>
  </sheetViews>
  <sheetFormatPr defaultRowHeight="12.75" x14ac:dyDescent="0.2"/>
  <cols>
    <col min="1" max="1" width="9.85546875" style="21" customWidth="1"/>
    <col min="2" max="2" width="15.140625" style="21" customWidth="1"/>
    <col min="3" max="3" width="18.85546875" style="21" customWidth="1"/>
    <col min="4" max="4" width="17.5703125" style="21" customWidth="1"/>
    <col min="5" max="5" width="14" style="21" bestFit="1" customWidth="1"/>
    <col min="6" max="6" width="0" style="21" hidden="1" customWidth="1"/>
    <col min="7" max="8" width="13" style="21" customWidth="1"/>
    <col min="9" max="10" width="13.28515625" style="21" customWidth="1"/>
    <col min="11" max="11" width="21.42578125" style="21" customWidth="1"/>
    <col min="12" max="12" width="21.85546875" style="21" customWidth="1"/>
    <col min="13" max="16384" width="9.140625" style="21"/>
  </cols>
  <sheetData>
    <row r="1" spans="2:12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</row>
    <row r="3" spans="2:12" x14ac:dyDescent="0.2">
      <c r="B3" s="22" t="s">
        <v>347</v>
      </c>
      <c r="C3" s="22" t="s">
        <v>348</v>
      </c>
    </row>
    <row r="4" spans="2:12" x14ac:dyDescent="0.2">
      <c r="C4" s="22" t="s">
        <v>349</v>
      </c>
    </row>
    <row r="5" spans="2:12" x14ac:dyDescent="0.2">
      <c r="C5" s="22" t="s">
        <v>350</v>
      </c>
    </row>
    <row r="6" spans="2:12" ht="6" customHeight="1" x14ac:dyDescent="0.2"/>
    <row r="7" spans="2:12" x14ac:dyDescent="0.2">
      <c r="B7" s="22" t="s">
        <v>351</v>
      </c>
      <c r="C7" s="22" t="s">
        <v>352</v>
      </c>
    </row>
    <row r="8" spans="2:12" x14ac:dyDescent="0.2">
      <c r="C8" s="22" t="s">
        <v>353</v>
      </c>
    </row>
    <row r="9" spans="2:12" ht="6" customHeight="1" x14ac:dyDescent="0.2"/>
    <row r="10" spans="2:12" x14ac:dyDescent="0.2">
      <c r="B10" s="22" t="s">
        <v>354</v>
      </c>
      <c r="C10" s="23">
        <v>42040</v>
      </c>
    </row>
    <row r="11" spans="2:12" ht="6" customHeight="1" x14ac:dyDescent="0.2"/>
    <row r="12" spans="2:12" x14ac:dyDescent="0.2">
      <c r="B12" s="22" t="s">
        <v>355</v>
      </c>
    </row>
    <row r="13" spans="2:12" x14ac:dyDescent="0.2">
      <c r="C13" s="21" t="s">
        <v>356</v>
      </c>
    </row>
    <row r="14" spans="2:12" x14ac:dyDescent="0.2">
      <c r="H14" s="575"/>
      <c r="I14" s="575"/>
      <c r="J14" s="24"/>
      <c r="K14" s="24"/>
    </row>
    <row r="15" spans="2:12" x14ac:dyDescent="0.2">
      <c r="H15" s="577"/>
      <c r="I15" s="577"/>
      <c r="J15" s="25"/>
      <c r="K15" s="25"/>
    </row>
    <row r="17" spans="1:12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</row>
    <row r="18" spans="1:12" s="24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4"/>
    </row>
    <row r="19" spans="1:12" s="24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 t="s">
        <v>364</v>
      </c>
      <c r="K19" s="27" t="s">
        <v>365</v>
      </c>
      <c r="L19" s="28" t="s">
        <v>366</v>
      </c>
    </row>
    <row r="20" spans="1:12" s="24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30" t="s">
        <v>370</v>
      </c>
      <c r="H20" s="30" t="s">
        <v>370</v>
      </c>
      <c r="I20" s="30" t="s">
        <v>371</v>
      </c>
      <c r="J20" s="30"/>
      <c r="K20" s="30"/>
      <c r="L20" s="31"/>
    </row>
    <row r="21" spans="1:12" s="24" customFormat="1" x14ac:dyDescent="0.2">
      <c r="A21" s="582"/>
      <c r="B21" s="584"/>
      <c r="C21" s="32" t="s">
        <v>372</v>
      </c>
      <c r="D21" s="33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</row>
    <row r="22" spans="1:12" x14ac:dyDescent="0.2">
      <c r="A22" s="36">
        <v>1083072</v>
      </c>
      <c r="B22" s="37" t="s">
        <v>496</v>
      </c>
      <c r="C22" s="38" t="s">
        <v>497</v>
      </c>
      <c r="D22" s="39" t="s">
        <v>498</v>
      </c>
      <c r="E22" s="39" t="s">
        <v>275</v>
      </c>
      <c r="F22" s="40"/>
      <c r="G22" s="41" t="s">
        <v>420</v>
      </c>
      <c r="H22" s="41" t="s">
        <v>420</v>
      </c>
      <c r="I22" s="41" t="s">
        <v>420</v>
      </c>
      <c r="J22" s="42" t="s">
        <v>377</v>
      </c>
      <c r="K22" s="42" t="s">
        <v>378</v>
      </c>
      <c r="L22" s="43"/>
    </row>
    <row r="23" spans="1:12" x14ac:dyDescent="0.2">
      <c r="A23" s="36">
        <v>1082181</v>
      </c>
      <c r="B23" s="37" t="s">
        <v>499</v>
      </c>
      <c r="C23" s="38" t="s">
        <v>500</v>
      </c>
      <c r="D23" s="39" t="s">
        <v>501</v>
      </c>
      <c r="E23" s="39" t="s">
        <v>502</v>
      </c>
      <c r="F23" s="40"/>
      <c r="G23" s="41"/>
      <c r="H23" s="41" t="s">
        <v>420</v>
      </c>
      <c r="I23" s="41" t="s">
        <v>420</v>
      </c>
      <c r="J23" s="42" t="s">
        <v>377</v>
      </c>
      <c r="K23" s="42" t="s">
        <v>378</v>
      </c>
      <c r="L23" s="43" t="s">
        <v>240</v>
      </c>
    </row>
    <row r="24" spans="1:12" x14ac:dyDescent="0.2">
      <c r="A24" s="36">
        <v>1082156</v>
      </c>
      <c r="B24" s="37" t="s">
        <v>503</v>
      </c>
      <c r="C24" s="38" t="s">
        <v>421</v>
      </c>
      <c r="D24" s="39" t="s">
        <v>504</v>
      </c>
      <c r="E24" s="39" t="s">
        <v>505</v>
      </c>
      <c r="F24" s="40"/>
      <c r="G24" s="41" t="s">
        <v>420</v>
      </c>
      <c r="H24" s="41" t="s">
        <v>420</v>
      </c>
      <c r="I24" s="41"/>
      <c r="J24" s="42" t="s">
        <v>377</v>
      </c>
      <c r="K24" s="42" t="s">
        <v>378</v>
      </c>
      <c r="L24" s="43"/>
    </row>
    <row r="25" spans="1:12" x14ac:dyDescent="0.2">
      <c r="A25" s="36">
        <v>1082240</v>
      </c>
      <c r="B25" s="39" t="s">
        <v>117</v>
      </c>
      <c r="C25" s="38" t="s">
        <v>506</v>
      </c>
      <c r="D25" s="39" t="s">
        <v>507</v>
      </c>
      <c r="E25" s="39" t="s">
        <v>508</v>
      </c>
      <c r="F25" s="40"/>
      <c r="G25" s="41" t="s">
        <v>420</v>
      </c>
      <c r="H25" s="41" t="s">
        <v>420</v>
      </c>
      <c r="I25" s="41" t="s">
        <v>420</v>
      </c>
      <c r="J25" s="42" t="s">
        <v>377</v>
      </c>
      <c r="K25" s="42" t="s">
        <v>378</v>
      </c>
      <c r="L25" s="40"/>
    </row>
    <row r="26" spans="1:12" x14ac:dyDescent="0.2">
      <c r="A26" s="36">
        <v>1082108</v>
      </c>
      <c r="B26" s="37" t="s">
        <v>509</v>
      </c>
      <c r="C26" s="38" t="s">
        <v>510</v>
      </c>
      <c r="D26" s="39" t="s">
        <v>511</v>
      </c>
      <c r="E26" s="39" t="s">
        <v>512</v>
      </c>
      <c r="F26" s="40"/>
      <c r="G26" s="41" t="s">
        <v>420</v>
      </c>
      <c r="H26" s="41" t="s">
        <v>420</v>
      </c>
      <c r="I26" s="41" t="s">
        <v>420</v>
      </c>
      <c r="J26" s="42" t="s">
        <v>377</v>
      </c>
      <c r="K26" s="42" t="s">
        <v>378</v>
      </c>
      <c r="L26" s="43"/>
    </row>
    <row r="28" spans="1:12" x14ac:dyDescent="0.2">
      <c r="B28" s="44" t="s">
        <v>379</v>
      </c>
      <c r="C28" s="45" t="s">
        <v>513</v>
      </c>
    </row>
    <row r="33" spans="2:2" x14ac:dyDescent="0.2">
      <c r="B33" s="21" t="s">
        <v>380</v>
      </c>
    </row>
    <row r="35" spans="2:2" x14ac:dyDescent="0.2">
      <c r="B35" s="22" t="s">
        <v>422</v>
      </c>
    </row>
    <row r="36" spans="2:2" x14ac:dyDescent="0.2">
      <c r="B36" s="25" t="s">
        <v>138</v>
      </c>
    </row>
  </sheetData>
  <mergeCells count="10">
    <mergeCell ref="A19:E19"/>
    <mergeCell ref="A20:A21"/>
    <mergeCell ref="B20:B21"/>
    <mergeCell ref="C20:E20"/>
    <mergeCell ref="B1:L1"/>
    <mergeCell ref="H14:I14"/>
    <mergeCell ref="H15:I15"/>
    <mergeCell ref="B17:L17"/>
    <mergeCell ref="A18:F18"/>
    <mergeCell ref="G18:L18"/>
  </mergeCells>
  <pageMargins left="0.25" right="0.25" top="0.75" bottom="0.75" header="0.3" footer="0.3"/>
  <pageSetup scale="78" orientation="landscape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L39"/>
  <sheetViews>
    <sheetView topLeftCell="A10" workbookViewId="0">
      <selection activeCell="H28" sqref="H28"/>
    </sheetView>
  </sheetViews>
  <sheetFormatPr defaultRowHeight="12.75" x14ac:dyDescent="0.2"/>
  <cols>
    <col min="1" max="1" width="9.85546875" style="21" customWidth="1"/>
    <col min="2" max="2" width="15.85546875" style="21" customWidth="1"/>
    <col min="3" max="3" width="18.85546875" style="21" customWidth="1"/>
    <col min="4" max="4" width="17.5703125" style="21" customWidth="1"/>
    <col min="5" max="5" width="14" style="21" bestFit="1" customWidth="1"/>
    <col min="6" max="6" width="0" style="21" hidden="1" customWidth="1"/>
    <col min="7" max="8" width="13" style="21" customWidth="1"/>
    <col min="9" max="9" width="13.28515625" style="21" customWidth="1"/>
    <col min="10" max="10" width="20.5703125" style="21" customWidth="1"/>
    <col min="11" max="11" width="21.42578125" style="21" customWidth="1"/>
    <col min="12" max="12" width="21.85546875" style="21" customWidth="1"/>
    <col min="13" max="16384" width="9.140625" style="21"/>
  </cols>
  <sheetData>
    <row r="1" spans="2:12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</row>
    <row r="3" spans="2:12" x14ac:dyDescent="0.2">
      <c r="B3" s="22" t="s">
        <v>347</v>
      </c>
      <c r="C3" s="22" t="s">
        <v>348</v>
      </c>
    </row>
    <row r="4" spans="2:12" x14ac:dyDescent="0.2">
      <c r="C4" s="22" t="s">
        <v>349</v>
      </c>
    </row>
    <row r="5" spans="2:12" x14ac:dyDescent="0.2">
      <c r="C5" s="22" t="s">
        <v>350</v>
      </c>
    </row>
    <row r="6" spans="2:12" ht="6" customHeight="1" x14ac:dyDescent="0.2"/>
    <row r="7" spans="2:12" x14ac:dyDescent="0.2">
      <c r="B7" s="22" t="s">
        <v>351</v>
      </c>
      <c r="C7" s="22" t="s">
        <v>352</v>
      </c>
    </row>
    <row r="8" spans="2:12" x14ac:dyDescent="0.2">
      <c r="C8" s="22" t="s">
        <v>353</v>
      </c>
    </row>
    <row r="9" spans="2:12" ht="6" customHeight="1" x14ac:dyDescent="0.2"/>
    <row r="10" spans="2:12" x14ac:dyDescent="0.2">
      <c r="B10" s="22" t="s">
        <v>354</v>
      </c>
      <c r="C10" s="23">
        <v>42046</v>
      </c>
    </row>
    <row r="11" spans="2:12" ht="6" customHeight="1" x14ac:dyDescent="0.2"/>
    <row r="12" spans="2:12" x14ac:dyDescent="0.2">
      <c r="B12" s="22" t="s">
        <v>355</v>
      </c>
    </row>
    <row r="13" spans="2:12" x14ac:dyDescent="0.2">
      <c r="C13" s="21" t="s">
        <v>356</v>
      </c>
    </row>
    <row r="14" spans="2:12" x14ac:dyDescent="0.2">
      <c r="H14" s="575"/>
      <c r="I14" s="575"/>
      <c r="J14" s="140"/>
      <c r="K14" s="140"/>
    </row>
    <row r="15" spans="2:12" x14ac:dyDescent="0.2">
      <c r="H15" s="577"/>
      <c r="I15" s="577"/>
      <c r="J15" s="141"/>
      <c r="K15" s="141"/>
    </row>
    <row r="17" spans="1:12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</row>
    <row r="18" spans="1:12" s="140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4"/>
    </row>
    <row r="19" spans="1:12" s="140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 t="s">
        <v>364</v>
      </c>
      <c r="K19" s="27" t="s">
        <v>365</v>
      </c>
      <c r="L19" s="28" t="s">
        <v>366</v>
      </c>
    </row>
    <row r="20" spans="1:12" s="140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138" t="s">
        <v>370</v>
      </c>
      <c r="H20" s="138" t="s">
        <v>370</v>
      </c>
      <c r="I20" s="138" t="s">
        <v>371</v>
      </c>
      <c r="J20" s="138"/>
      <c r="K20" s="138"/>
      <c r="L20" s="31"/>
    </row>
    <row r="21" spans="1:12" s="140" customFormat="1" x14ac:dyDescent="0.2">
      <c r="A21" s="582"/>
      <c r="B21" s="584"/>
      <c r="C21" s="32" t="s">
        <v>372</v>
      </c>
      <c r="D21" s="139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</row>
    <row r="22" spans="1:12" x14ac:dyDescent="0.2">
      <c r="A22" s="142">
        <v>1082253</v>
      </c>
      <c r="B22" s="37" t="s">
        <v>152</v>
      </c>
      <c r="C22" s="38" t="s">
        <v>690</v>
      </c>
      <c r="D22" s="39" t="s">
        <v>306</v>
      </c>
      <c r="E22" s="39" t="s">
        <v>691</v>
      </c>
      <c r="F22" s="40"/>
      <c r="G22" s="41" t="s">
        <v>420</v>
      </c>
      <c r="H22" s="41" t="s">
        <v>420</v>
      </c>
      <c r="I22" s="41" t="s">
        <v>420</v>
      </c>
      <c r="J22" s="42" t="s">
        <v>377</v>
      </c>
      <c r="K22" s="42" t="s">
        <v>720</v>
      </c>
      <c r="L22" s="43"/>
    </row>
    <row r="23" spans="1:12" x14ac:dyDescent="0.2">
      <c r="A23" s="142">
        <v>1082250</v>
      </c>
      <c r="B23" s="37" t="s">
        <v>687</v>
      </c>
      <c r="C23" s="38" t="s">
        <v>692</v>
      </c>
      <c r="D23" s="39" t="s">
        <v>335</v>
      </c>
      <c r="E23" s="39" t="s">
        <v>336</v>
      </c>
      <c r="F23" s="40"/>
      <c r="G23" s="41"/>
      <c r="H23" s="41" t="s">
        <v>420</v>
      </c>
      <c r="I23" s="41"/>
      <c r="J23" s="42" t="s">
        <v>377</v>
      </c>
      <c r="K23" s="42" t="s">
        <v>378</v>
      </c>
      <c r="L23" s="43" t="s">
        <v>240</v>
      </c>
    </row>
    <row r="24" spans="1:12" x14ac:dyDescent="0.2">
      <c r="A24" s="142">
        <v>1082264</v>
      </c>
      <c r="B24" s="39" t="s">
        <v>707</v>
      </c>
      <c r="C24" s="38" t="s">
        <v>708</v>
      </c>
      <c r="D24" s="39" t="s">
        <v>249</v>
      </c>
      <c r="E24" s="39" t="s">
        <v>250</v>
      </c>
      <c r="F24" s="40"/>
      <c r="H24" s="41" t="s">
        <v>709</v>
      </c>
      <c r="I24" s="41" t="s">
        <v>420</v>
      </c>
      <c r="J24" s="42" t="s">
        <v>377</v>
      </c>
      <c r="K24" s="42" t="s">
        <v>378</v>
      </c>
      <c r="L24" s="43" t="s">
        <v>710</v>
      </c>
    </row>
    <row r="25" spans="1:12" x14ac:dyDescent="0.2">
      <c r="A25" s="142">
        <v>1082265</v>
      </c>
      <c r="B25" s="37" t="s">
        <v>417</v>
      </c>
      <c r="C25" s="38" t="s">
        <v>711</v>
      </c>
      <c r="D25" s="39" t="s">
        <v>255</v>
      </c>
      <c r="E25" s="39" t="s">
        <v>256</v>
      </c>
      <c r="F25" s="40"/>
      <c r="G25" s="41" t="s">
        <v>420</v>
      </c>
      <c r="H25" s="41" t="s">
        <v>420</v>
      </c>
      <c r="I25" s="41" t="s">
        <v>420</v>
      </c>
      <c r="J25" s="42" t="s">
        <v>377</v>
      </c>
      <c r="K25" s="42" t="s">
        <v>378</v>
      </c>
      <c r="L25" s="43"/>
    </row>
    <row r="26" spans="1:12" x14ac:dyDescent="0.2">
      <c r="A26" s="142">
        <v>1082235</v>
      </c>
      <c r="B26" s="37" t="s">
        <v>524</v>
      </c>
      <c r="C26" s="38" t="s">
        <v>712</v>
      </c>
      <c r="D26" s="39" t="s">
        <v>530</v>
      </c>
      <c r="E26" s="39" t="s">
        <v>713</v>
      </c>
      <c r="F26" s="40"/>
      <c r="G26" s="41" t="s">
        <v>420</v>
      </c>
      <c r="H26" s="41" t="s">
        <v>420</v>
      </c>
      <c r="I26" s="41"/>
      <c r="J26" s="42" t="s">
        <v>377</v>
      </c>
      <c r="K26" s="42" t="s">
        <v>378</v>
      </c>
      <c r="L26" s="43"/>
    </row>
    <row r="27" spans="1:12" x14ac:dyDescent="0.2">
      <c r="A27" s="142">
        <v>1082221</v>
      </c>
      <c r="B27" s="37" t="s">
        <v>739</v>
      </c>
      <c r="C27" s="38" t="s">
        <v>531</v>
      </c>
      <c r="D27" s="39" t="s">
        <v>529</v>
      </c>
      <c r="E27" s="39" t="s">
        <v>714</v>
      </c>
      <c r="F27" s="40"/>
      <c r="G27" s="41" t="s">
        <v>420</v>
      </c>
      <c r="H27" s="41" t="s">
        <v>420</v>
      </c>
      <c r="I27" s="41"/>
      <c r="J27" s="42" t="s">
        <v>377</v>
      </c>
      <c r="K27" s="42" t="s">
        <v>378</v>
      </c>
      <c r="L27" s="43"/>
    </row>
    <row r="28" spans="1:12" x14ac:dyDescent="0.2">
      <c r="A28" s="142">
        <v>1082112</v>
      </c>
      <c r="B28" s="39" t="s">
        <v>715</v>
      </c>
      <c r="C28" s="38" t="s">
        <v>716</v>
      </c>
      <c r="D28" s="39" t="s">
        <v>717</v>
      </c>
      <c r="E28" s="39" t="s">
        <v>721</v>
      </c>
      <c r="F28" s="40"/>
      <c r="G28" s="41"/>
      <c r="H28" s="41" t="s">
        <v>420</v>
      </c>
      <c r="I28" s="41" t="s">
        <v>420</v>
      </c>
      <c r="J28" s="41" t="s">
        <v>718</v>
      </c>
      <c r="K28" s="41" t="s">
        <v>719</v>
      </c>
      <c r="L28" s="43" t="s">
        <v>240</v>
      </c>
    </row>
    <row r="29" spans="1:12" ht="13.5" thickBot="1" x14ac:dyDescent="0.25">
      <c r="A29" s="143">
        <v>1082269</v>
      </c>
      <c r="B29" s="144" t="s">
        <v>693</v>
      </c>
      <c r="C29" s="145" t="s">
        <v>736</v>
      </c>
      <c r="D29" s="146" t="s">
        <v>273</v>
      </c>
      <c r="E29" s="146" t="s">
        <v>274</v>
      </c>
      <c r="F29" s="147"/>
      <c r="G29" s="148" t="s">
        <v>420</v>
      </c>
      <c r="H29" s="148" t="s">
        <v>420</v>
      </c>
      <c r="I29" s="148" t="s">
        <v>420</v>
      </c>
      <c r="J29" s="149" t="s">
        <v>377</v>
      </c>
      <c r="K29" s="149" t="s">
        <v>737</v>
      </c>
      <c r="L29" s="150"/>
    </row>
    <row r="31" spans="1:12" x14ac:dyDescent="0.2">
      <c r="B31" s="44" t="s">
        <v>379</v>
      </c>
      <c r="C31" s="45" t="s">
        <v>738</v>
      </c>
    </row>
    <row r="36" spans="2:2" x14ac:dyDescent="0.2">
      <c r="B36" s="21" t="s">
        <v>380</v>
      </c>
    </row>
    <row r="38" spans="2:2" x14ac:dyDescent="0.2">
      <c r="B38" s="22" t="s">
        <v>422</v>
      </c>
    </row>
    <row r="39" spans="2:2" x14ac:dyDescent="0.2">
      <c r="B39" s="141" t="s">
        <v>138</v>
      </c>
    </row>
  </sheetData>
  <mergeCells count="10">
    <mergeCell ref="A19:E19"/>
    <mergeCell ref="A20:A21"/>
    <mergeCell ref="B20:B21"/>
    <mergeCell ref="C20:E20"/>
    <mergeCell ref="B1:L1"/>
    <mergeCell ref="H14:I14"/>
    <mergeCell ref="H15:I15"/>
    <mergeCell ref="B17:L17"/>
    <mergeCell ref="A18:F18"/>
    <mergeCell ref="G18:L18"/>
  </mergeCells>
  <pageMargins left="0.25" right="0.25" top="0.75" bottom="0.75" header="0.3" footer="0.3"/>
  <pageSetup scale="74" orientation="landscape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L42"/>
  <sheetViews>
    <sheetView topLeftCell="A10" workbookViewId="0">
      <selection activeCell="B32" sqref="B32"/>
    </sheetView>
  </sheetViews>
  <sheetFormatPr defaultRowHeight="12.75" x14ac:dyDescent="0.2"/>
  <cols>
    <col min="1" max="1" width="9.85546875" style="21" customWidth="1"/>
    <col min="2" max="2" width="21.140625" style="21" customWidth="1"/>
    <col min="3" max="3" width="22" style="21" customWidth="1"/>
    <col min="4" max="4" width="19.28515625" style="21" customWidth="1"/>
    <col min="5" max="5" width="10.7109375" style="21" customWidth="1"/>
    <col min="6" max="6" width="0" style="21" hidden="1" customWidth="1"/>
    <col min="7" max="8" width="13" style="21" customWidth="1"/>
    <col min="9" max="9" width="13.28515625" style="21" customWidth="1"/>
    <col min="10" max="10" width="20.5703125" style="21" customWidth="1"/>
    <col min="11" max="11" width="21.42578125" style="21" customWidth="1"/>
    <col min="12" max="12" width="21.85546875" style="21" customWidth="1"/>
    <col min="13" max="16384" width="9.140625" style="21"/>
  </cols>
  <sheetData>
    <row r="1" spans="2:12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</row>
    <row r="3" spans="2:12" x14ac:dyDescent="0.2">
      <c r="B3" s="22" t="s">
        <v>347</v>
      </c>
      <c r="C3" s="22" t="s">
        <v>348</v>
      </c>
    </row>
    <row r="4" spans="2:12" x14ac:dyDescent="0.2">
      <c r="C4" s="22" t="s">
        <v>349</v>
      </c>
    </row>
    <row r="5" spans="2:12" x14ac:dyDescent="0.2">
      <c r="C5" s="22" t="s">
        <v>350</v>
      </c>
    </row>
    <row r="6" spans="2:12" ht="6" customHeight="1" x14ac:dyDescent="0.2"/>
    <row r="7" spans="2:12" x14ac:dyDescent="0.2">
      <c r="B7" s="22" t="s">
        <v>351</v>
      </c>
      <c r="C7" s="22" t="s">
        <v>352</v>
      </c>
    </row>
    <row r="8" spans="2:12" x14ac:dyDescent="0.2">
      <c r="C8" s="22" t="s">
        <v>353</v>
      </c>
    </row>
    <row r="9" spans="2:12" ht="6" customHeight="1" x14ac:dyDescent="0.2"/>
    <row r="10" spans="2:12" x14ac:dyDescent="0.2">
      <c r="B10" s="22" t="s">
        <v>354</v>
      </c>
      <c r="C10" s="23">
        <v>42048</v>
      </c>
    </row>
    <row r="11" spans="2:12" ht="6" customHeight="1" x14ac:dyDescent="0.2"/>
    <row r="12" spans="2:12" x14ac:dyDescent="0.2">
      <c r="B12" s="22" t="s">
        <v>355</v>
      </c>
    </row>
    <row r="13" spans="2:12" x14ac:dyDescent="0.2">
      <c r="C13" s="21" t="s">
        <v>356</v>
      </c>
    </row>
    <row r="14" spans="2:12" x14ac:dyDescent="0.2">
      <c r="H14" s="575"/>
      <c r="I14" s="575"/>
      <c r="J14" s="237"/>
      <c r="K14" s="237"/>
    </row>
    <row r="15" spans="2:12" x14ac:dyDescent="0.2">
      <c r="H15" s="577"/>
      <c r="I15" s="577"/>
      <c r="J15" s="238"/>
      <c r="K15" s="238"/>
    </row>
    <row r="17" spans="1:12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</row>
    <row r="18" spans="1:12" s="237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4"/>
    </row>
    <row r="19" spans="1:12" s="237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 t="s">
        <v>364</v>
      </c>
      <c r="K19" s="27" t="s">
        <v>365</v>
      </c>
      <c r="L19" s="28" t="s">
        <v>366</v>
      </c>
    </row>
    <row r="20" spans="1:12" s="237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235" t="s">
        <v>370</v>
      </c>
      <c r="H20" s="235" t="s">
        <v>370</v>
      </c>
      <c r="I20" s="235" t="s">
        <v>371</v>
      </c>
      <c r="J20" s="235"/>
      <c r="K20" s="235"/>
      <c r="L20" s="31"/>
    </row>
    <row r="21" spans="1:12" s="237" customFormat="1" x14ac:dyDescent="0.2">
      <c r="A21" s="582"/>
      <c r="B21" s="584"/>
      <c r="C21" s="32" t="s">
        <v>372</v>
      </c>
      <c r="D21" s="236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</row>
    <row r="22" spans="1:12" x14ac:dyDescent="0.2">
      <c r="A22" s="142">
        <v>1082264</v>
      </c>
      <c r="B22" s="39" t="s">
        <v>816</v>
      </c>
      <c r="C22" s="38" t="s">
        <v>708</v>
      </c>
      <c r="D22" s="39" t="s">
        <v>249</v>
      </c>
      <c r="E22" s="39" t="s">
        <v>250</v>
      </c>
      <c r="F22" s="40"/>
      <c r="G22" s="239"/>
      <c r="H22" s="41" t="s">
        <v>709</v>
      </c>
      <c r="I22" s="41" t="s">
        <v>420</v>
      </c>
      <c r="J22" s="42" t="s">
        <v>377</v>
      </c>
      <c r="K22" s="42" t="s">
        <v>378</v>
      </c>
      <c r="L22" s="43" t="s">
        <v>813</v>
      </c>
    </row>
    <row r="23" spans="1:12" x14ac:dyDescent="0.2">
      <c r="A23" s="142">
        <v>1082243</v>
      </c>
      <c r="B23" s="37" t="s">
        <v>796</v>
      </c>
      <c r="C23" s="38" t="s">
        <v>814</v>
      </c>
      <c r="D23" s="39" t="s">
        <v>539</v>
      </c>
      <c r="E23" s="39" t="s">
        <v>815</v>
      </c>
      <c r="F23" s="40"/>
      <c r="G23" s="41" t="s">
        <v>420</v>
      </c>
      <c r="H23" s="41" t="s">
        <v>420</v>
      </c>
      <c r="I23" s="41" t="s">
        <v>420</v>
      </c>
      <c r="J23" s="42" t="s">
        <v>377</v>
      </c>
      <c r="K23" s="42" t="s">
        <v>378</v>
      </c>
      <c r="L23" s="43"/>
    </row>
    <row r="24" spans="1:12" x14ac:dyDescent="0.2">
      <c r="A24" s="142">
        <v>1082293</v>
      </c>
      <c r="B24" s="37" t="s">
        <v>780</v>
      </c>
      <c r="C24" s="38" t="s">
        <v>817</v>
      </c>
      <c r="D24" s="39" t="s">
        <v>635</v>
      </c>
      <c r="E24" s="39" t="s">
        <v>636</v>
      </c>
      <c r="F24" s="40"/>
      <c r="G24" s="41"/>
      <c r="H24" s="41" t="s">
        <v>420</v>
      </c>
      <c r="I24" s="41" t="s">
        <v>420</v>
      </c>
      <c r="J24" s="42" t="s">
        <v>377</v>
      </c>
      <c r="K24" s="42" t="s">
        <v>378</v>
      </c>
      <c r="L24" s="43" t="s">
        <v>240</v>
      </c>
    </row>
    <row r="25" spans="1:12" x14ac:dyDescent="0.2">
      <c r="A25" s="142">
        <v>1082297</v>
      </c>
      <c r="B25" s="39" t="s">
        <v>730</v>
      </c>
      <c r="C25" s="38" t="s">
        <v>818</v>
      </c>
      <c r="D25" s="39" t="s">
        <v>819</v>
      </c>
      <c r="E25" s="39" t="s">
        <v>650</v>
      </c>
      <c r="F25" s="40"/>
      <c r="G25" s="41" t="s">
        <v>420</v>
      </c>
      <c r="H25" s="41" t="s">
        <v>420</v>
      </c>
      <c r="I25" s="41" t="s">
        <v>420</v>
      </c>
      <c r="J25" s="41" t="s">
        <v>377</v>
      </c>
      <c r="K25" s="41" t="s">
        <v>820</v>
      </c>
      <c r="L25" s="43"/>
    </row>
    <row r="26" spans="1:12" x14ac:dyDescent="0.2">
      <c r="A26" s="142">
        <v>1082289</v>
      </c>
      <c r="B26" s="39" t="s">
        <v>697</v>
      </c>
      <c r="C26" s="38" t="s">
        <v>821</v>
      </c>
      <c r="D26" s="39" t="s">
        <v>618</v>
      </c>
      <c r="E26" s="39" t="s">
        <v>619</v>
      </c>
      <c r="F26" s="40"/>
      <c r="G26" s="41"/>
      <c r="H26" s="41" t="s">
        <v>420</v>
      </c>
      <c r="I26" s="41"/>
      <c r="J26" s="41" t="s">
        <v>377</v>
      </c>
      <c r="K26" s="41" t="s">
        <v>378</v>
      </c>
      <c r="L26" s="43" t="s">
        <v>240</v>
      </c>
    </row>
    <row r="27" spans="1:12" x14ac:dyDescent="0.2">
      <c r="A27" s="142">
        <v>1082296</v>
      </c>
      <c r="B27" s="39" t="s">
        <v>801</v>
      </c>
      <c r="C27" s="38" t="s">
        <v>822</v>
      </c>
      <c r="D27" s="39" t="s">
        <v>645</v>
      </c>
      <c r="E27" s="39" t="s">
        <v>646</v>
      </c>
      <c r="F27" s="40"/>
      <c r="G27" s="41" t="s">
        <v>420</v>
      </c>
      <c r="H27" s="41" t="s">
        <v>420</v>
      </c>
      <c r="I27" s="41"/>
      <c r="J27" s="41" t="s">
        <v>377</v>
      </c>
      <c r="K27" s="41" t="s">
        <v>378</v>
      </c>
      <c r="L27" s="43"/>
    </row>
    <row r="28" spans="1:12" x14ac:dyDescent="0.2">
      <c r="A28" s="142">
        <v>1082290</v>
      </c>
      <c r="B28" s="39" t="s">
        <v>837</v>
      </c>
      <c r="C28" s="38" t="s">
        <v>838</v>
      </c>
      <c r="D28" s="39" t="s">
        <v>622</v>
      </c>
      <c r="E28" s="39" t="s">
        <v>623</v>
      </c>
      <c r="F28" s="40"/>
      <c r="G28" s="41" t="s">
        <v>420</v>
      </c>
      <c r="H28" s="41" t="s">
        <v>420</v>
      </c>
      <c r="I28" s="41"/>
      <c r="J28" s="41" t="s">
        <v>377</v>
      </c>
      <c r="K28" s="41" t="s">
        <v>378</v>
      </c>
      <c r="L28" s="43"/>
    </row>
    <row r="29" spans="1:12" x14ac:dyDescent="0.2">
      <c r="A29" s="142">
        <v>1082287</v>
      </c>
      <c r="B29" s="39" t="s">
        <v>805</v>
      </c>
      <c r="C29" s="38" t="s">
        <v>839</v>
      </c>
      <c r="D29" s="39" t="s">
        <v>610</v>
      </c>
      <c r="E29" s="39" t="s">
        <v>611</v>
      </c>
      <c r="F29" s="40"/>
      <c r="G29" s="41" t="s">
        <v>420</v>
      </c>
      <c r="H29" s="41" t="s">
        <v>420</v>
      </c>
      <c r="I29" s="41" t="s">
        <v>420</v>
      </c>
      <c r="J29" s="41" t="s">
        <v>377</v>
      </c>
      <c r="K29" s="41" t="s">
        <v>820</v>
      </c>
      <c r="L29" s="43"/>
    </row>
    <row r="30" spans="1:12" x14ac:dyDescent="0.2">
      <c r="A30" s="142">
        <v>1082284</v>
      </c>
      <c r="B30" s="39" t="s">
        <v>809</v>
      </c>
      <c r="C30" s="38" t="s">
        <v>823</v>
      </c>
      <c r="D30" s="39" t="s">
        <v>598</v>
      </c>
      <c r="E30" s="39" t="s">
        <v>599</v>
      </c>
      <c r="F30" s="40"/>
      <c r="G30" s="41" t="s">
        <v>420</v>
      </c>
      <c r="H30" s="41" t="s">
        <v>420</v>
      </c>
      <c r="I30" s="41" t="s">
        <v>420</v>
      </c>
      <c r="J30" s="41" t="s">
        <v>377</v>
      </c>
      <c r="K30" s="41" t="s">
        <v>378</v>
      </c>
      <c r="L30" s="43" t="s">
        <v>824</v>
      </c>
    </row>
    <row r="31" spans="1:12" x14ac:dyDescent="0.2">
      <c r="A31" s="142">
        <v>1082282</v>
      </c>
      <c r="B31" s="39" t="s">
        <v>840</v>
      </c>
      <c r="C31" s="38" t="s">
        <v>841</v>
      </c>
      <c r="D31" s="39" t="s">
        <v>590</v>
      </c>
      <c r="E31" s="39" t="s">
        <v>591</v>
      </c>
      <c r="F31" s="40"/>
      <c r="G31" s="41"/>
      <c r="H31" s="41" t="s">
        <v>420</v>
      </c>
      <c r="I31" s="41" t="s">
        <v>420</v>
      </c>
      <c r="J31" s="41" t="s">
        <v>377</v>
      </c>
      <c r="K31" s="41" t="s">
        <v>378</v>
      </c>
      <c r="L31" s="43" t="s">
        <v>240</v>
      </c>
    </row>
    <row r="32" spans="1:12" ht="13.5" thickBot="1" x14ac:dyDescent="0.25">
      <c r="A32" s="240">
        <v>1082298</v>
      </c>
      <c r="B32" s="241" t="s">
        <v>842</v>
      </c>
      <c r="C32" s="242" t="s">
        <v>843</v>
      </c>
      <c r="D32" s="241" t="s">
        <v>653</v>
      </c>
      <c r="E32" s="241" t="s">
        <v>654</v>
      </c>
      <c r="F32" s="243"/>
      <c r="G32" s="244"/>
      <c r="H32" s="244" t="s">
        <v>420</v>
      </c>
      <c r="I32" s="244"/>
      <c r="J32" s="244" t="s">
        <v>377</v>
      </c>
      <c r="K32" s="244" t="s">
        <v>378</v>
      </c>
      <c r="L32" s="245" t="s">
        <v>240</v>
      </c>
    </row>
    <row r="34" spans="2:3" x14ac:dyDescent="0.2">
      <c r="B34" s="44" t="s">
        <v>379</v>
      </c>
      <c r="C34" s="45" t="s">
        <v>844</v>
      </c>
    </row>
    <row r="39" spans="2:3" x14ac:dyDescent="0.2">
      <c r="B39" s="21" t="s">
        <v>380</v>
      </c>
    </row>
    <row r="41" spans="2:3" x14ac:dyDescent="0.2">
      <c r="B41" s="22" t="s">
        <v>422</v>
      </c>
    </row>
    <row r="42" spans="2:3" x14ac:dyDescent="0.2">
      <c r="B42" s="238" t="s">
        <v>138</v>
      </c>
    </row>
  </sheetData>
  <mergeCells count="10">
    <mergeCell ref="A19:E19"/>
    <mergeCell ref="A20:A21"/>
    <mergeCell ref="B20:B21"/>
    <mergeCell ref="C20:E20"/>
    <mergeCell ref="B1:L1"/>
    <mergeCell ref="H14:I14"/>
    <mergeCell ref="H15:I15"/>
    <mergeCell ref="B17:L17"/>
    <mergeCell ref="A18:F18"/>
    <mergeCell ref="G18:L18"/>
  </mergeCells>
  <pageMargins left="0.25" right="0.25" top="0.75" bottom="0.75" header="0.3" footer="0.3"/>
  <pageSetup scale="71" orientation="landscape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N49"/>
  <sheetViews>
    <sheetView topLeftCell="A17" zoomScaleNormal="100" workbookViewId="0">
      <selection activeCell="K41" sqref="K41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22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28515625" style="21" customWidth="1"/>
    <col min="10" max="10" width="22" style="21" bestFit="1" customWidth="1"/>
    <col min="11" max="11" width="36.28515625" style="21" bestFit="1" customWidth="1"/>
    <col min="12" max="12" width="13.28515625" style="21" bestFit="1" customWidth="1"/>
    <col min="13" max="13" width="21.7109375" style="21" bestFit="1" customWidth="1"/>
    <col min="14" max="14" width="10.4257812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1022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23">
        <v>42061</v>
      </c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280"/>
      <c r="K14" s="280"/>
      <c r="L14" s="272"/>
      <c r="M14" s="272"/>
    </row>
    <row r="15" spans="2:14" x14ac:dyDescent="0.2">
      <c r="H15" s="577"/>
      <c r="I15" s="577"/>
      <c r="J15" s="281"/>
      <c r="K15" s="281"/>
      <c r="L15" s="273"/>
      <c r="M15" s="273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272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272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272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270" t="s">
        <v>370</v>
      </c>
      <c r="H20" s="270" t="s">
        <v>370</v>
      </c>
      <c r="I20" s="270" t="s">
        <v>371</v>
      </c>
      <c r="J20" s="279" t="s">
        <v>1070</v>
      </c>
      <c r="K20" s="279" t="s">
        <v>209</v>
      </c>
      <c r="L20" s="270"/>
      <c r="M20" s="270"/>
      <c r="N20" s="31"/>
    </row>
    <row r="21" spans="1:14" s="272" customFormat="1" x14ac:dyDescent="0.2">
      <c r="A21" s="582"/>
      <c r="B21" s="584"/>
      <c r="C21" s="32" t="s">
        <v>372</v>
      </c>
      <c r="D21" s="271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1082273</v>
      </c>
      <c r="B22" s="39" t="s">
        <v>974</v>
      </c>
      <c r="C22" s="38" t="s">
        <v>975</v>
      </c>
      <c r="D22" s="39" t="s">
        <v>550</v>
      </c>
      <c r="E22" s="39" t="s">
        <v>551</v>
      </c>
      <c r="F22" s="40"/>
      <c r="G22" s="40"/>
      <c r="H22" s="41" t="s">
        <v>420</v>
      </c>
      <c r="I22" s="41" t="s">
        <v>420</v>
      </c>
      <c r="J22" s="42">
        <v>9985347344</v>
      </c>
      <c r="K22" s="42" t="s">
        <v>553</v>
      </c>
      <c r="L22" s="42" t="s">
        <v>377</v>
      </c>
      <c r="M22" s="42" t="s">
        <v>378</v>
      </c>
      <c r="N22" s="43" t="s">
        <v>240</v>
      </c>
    </row>
    <row r="23" spans="1:14" x14ac:dyDescent="0.2">
      <c r="A23" s="142">
        <v>1082288</v>
      </c>
      <c r="B23" s="37" t="s">
        <v>976</v>
      </c>
      <c r="C23" s="38" t="s">
        <v>977</v>
      </c>
      <c r="D23" s="39" t="s">
        <v>614</v>
      </c>
      <c r="E23" s="39" t="s">
        <v>615</v>
      </c>
      <c r="F23" s="40"/>
      <c r="G23" s="41" t="s">
        <v>420</v>
      </c>
      <c r="H23" s="41" t="s">
        <v>420</v>
      </c>
      <c r="I23" s="41" t="s">
        <v>420</v>
      </c>
      <c r="J23" s="42">
        <v>9276754960</v>
      </c>
      <c r="K23" s="42" t="s">
        <v>617</v>
      </c>
      <c r="L23" s="42" t="s">
        <v>377</v>
      </c>
      <c r="M23" s="42" t="s">
        <v>378</v>
      </c>
      <c r="N23" s="43"/>
    </row>
    <row r="24" spans="1:14" x14ac:dyDescent="0.2">
      <c r="A24" s="142">
        <v>1082304</v>
      </c>
      <c r="B24" s="37" t="s">
        <v>978</v>
      </c>
      <c r="C24" s="38" t="s">
        <v>979</v>
      </c>
      <c r="D24" s="39" t="s">
        <v>532</v>
      </c>
      <c r="E24" s="39" t="s">
        <v>863</v>
      </c>
      <c r="F24" s="40"/>
      <c r="G24" s="41"/>
      <c r="H24" s="41" t="s">
        <v>420</v>
      </c>
      <c r="I24" s="41" t="s">
        <v>420</v>
      </c>
      <c r="J24" s="42">
        <v>9201975377</v>
      </c>
      <c r="K24" s="42" t="s">
        <v>865</v>
      </c>
      <c r="L24" s="42" t="s">
        <v>377</v>
      </c>
      <c r="M24" s="42" t="s">
        <v>378</v>
      </c>
      <c r="N24" s="43" t="s">
        <v>240</v>
      </c>
    </row>
    <row r="25" spans="1:14" x14ac:dyDescent="0.2">
      <c r="A25" s="142">
        <v>1082266</v>
      </c>
      <c r="B25" s="39" t="s">
        <v>971</v>
      </c>
      <c r="C25" s="38" t="s">
        <v>980</v>
      </c>
      <c r="D25" s="39" t="s">
        <v>260</v>
      </c>
      <c r="E25" s="39" t="s">
        <v>261</v>
      </c>
      <c r="F25" s="40"/>
      <c r="G25" s="41" t="s">
        <v>420</v>
      </c>
      <c r="H25" s="41" t="s">
        <v>420</v>
      </c>
      <c r="I25" s="41" t="s">
        <v>420</v>
      </c>
      <c r="J25" s="41">
        <v>9156147270</v>
      </c>
      <c r="K25" s="41" t="s">
        <v>263</v>
      </c>
      <c r="L25" s="41" t="s">
        <v>377</v>
      </c>
      <c r="M25" s="41" t="s">
        <v>378</v>
      </c>
      <c r="N25" s="43"/>
    </row>
    <row r="26" spans="1:14" x14ac:dyDescent="0.2">
      <c r="A26" s="142">
        <v>1082255</v>
      </c>
      <c r="B26" s="39" t="s">
        <v>981</v>
      </c>
      <c r="C26" s="38" t="s">
        <v>982</v>
      </c>
      <c r="D26" s="39" t="s">
        <v>983</v>
      </c>
      <c r="E26" s="39" t="s">
        <v>313</v>
      </c>
      <c r="F26" s="40"/>
      <c r="G26" s="41"/>
      <c r="H26" s="41" t="s">
        <v>420</v>
      </c>
      <c r="I26" s="41" t="s">
        <v>420</v>
      </c>
      <c r="J26" s="41">
        <v>9158566619</v>
      </c>
      <c r="K26" s="41" t="s">
        <v>156</v>
      </c>
      <c r="L26" s="41" t="s">
        <v>377</v>
      </c>
      <c r="M26" s="41" t="s">
        <v>378</v>
      </c>
      <c r="N26" s="43" t="s">
        <v>240</v>
      </c>
    </row>
    <row r="27" spans="1:14" x14ac:dyDescent="0.2">
      <c r="A27" s="142">
        <v>1081674</v>
      </c>
      <c r="B27" s="39" t="s">
        <v>984</v>
      </c>
      <c r="C27" s="38" t="s">
        <v>985</v>
      </c>
      <c r="D27" s="39" t="s">
        <v>986</v>
      </c>
      <c r="E27" s="39" t="s">
        <v>987</v>
      </c>
      <c r="F27" s="40"/>
      <c r="G27" s="41"/>
      <c r="H27" s="41" t="s">
        <v>420</v>
      </c>
      <c r="I27" s="41" t="s">
        <v>420</v>
      </c>
      <c r="J27" s="41">
        <v>9175590009</v>
      </c>
      <c r="K27" s="41" t="s">
        <v>1072</v>
      </c>
      <c r="L27" s="41" t="s">
        <v>377</v>
      </c>
      <c r="M27" s="41" t="s">
        <v>820</v>
      </c>
      <c r="N27" s="43" t="s">
        <v>240</v>
      </c>
    </row>
    <row r="28" spans="1:14" x14ac:dyDescent="0.2">
      <c r="A28" s="142">
        <v>1082291</v>
      </c>
      <c r="B28" s="39" t="s">
        <v>706</v>
      </c>
      <c r="C28" s="38" t="s">
        <v>1003</v>
      </c>
      <c r="D28" s="39" t="s">
        <v>626</v>
      </c>
      <c r="E28" s="39" t="s">
        <v>627</v>
      </c>
      <c r="F28" s="40"/>
      <c r="G28" s="41" t="s">
        <v>420</v>
      </c>
      <c r="H28" s="41" t="s">
        <v>420</v>
      </c>
      <c r="I28" s="41" t="s">
        <v>420</v>
      </c>
      <c r="J28" s="41" t="s">
        <v>630</v>
      </c>
      <c r="K28" s="41" t="s">
        <v>629</v>
      </c>
      <c r="L28" s="41" t="s">
        <v>377</v>
      </c>
      <c r="M28" s="41" t="s">
        <v>718</v>
      </c>
      <c r="N28" s="43"/>
    </row>
    <row r="29" spans="1:14" x14ac:dyDescent="0.2">
      <c r="A29" s="142">
        <v>1082281</v>
      </c>
      <c r="B29" s="39" t="s">
        <v>969</v>
      </c>
      <c r="C29" s="38" t="s">
        <v>1011</v>
      </c>
      <c r="D29" s="39" t="s">
        <v>586</v>
      </c>
      <c r="E29" s="39" t="s">
        <v>587</v>
      </c>
      <c r="F29" s="40"/>
      <c r="G29" s="41" t="s">
        <v>420</v>
      </c>
      <c r="H29" s="41" t="s">
        <v>420</v>
      </c>
      <c r="I29" s="41" t="s">
        <v>420</v>
      </c>
      <c r="J29" s="41">
        <v>9266348658</v>
      </c>
      <c r="K29" s="41" t="s">
        <v>589</v>
      </c>
      <c r="L29" s="41" t="s">
        <v>377</v>
      </c>
      <c r="M29" s="41" t="s">
        <v>378</v>
      </c>
      <c r="N29" s="43"/>
    </row>
    <row r="30" spans="1:14" x14ac:dyDescent="0.2">
      <c r="A30" s="142">
        <v>1082306</v>
      </c>
      <c r="B30" s="39" t="s">
        <v>969</v>
      </c>
      <c r="C30" s="38" t="s">
        <v>1012</v>
      </c>
      <c r="D30" s="39" t="s">
        <v>870</v>
      </c>
      <c r="E30" s="39" t="s">
        <v>871</v>
      </c>
      <c r="F30" s="40"/>
      <c r="G30" s="41" t="s">
        <v>420</v>
      </c>
      <c r="H30" s="41" t="s">
        <v>420</v>
      </c>
      <c r="I30" s="41" t="s">
        <v>420</v>
      </c>
      <c r="J30" s="41">
        <v>9178422898</v>
      </c>
      <c r="K30" s="41" t="s">
        <v>873</v>
      </c>
      <c r="L30" s="41" t="s">
        <v>377</v>
      </c>
      <c r="M30" s="41" t="s">
        <v>378</v>
      </c>
      <c r="N30" s="43"/>
    </row>
    <row r="31" spans="1:14" x14ac:dyDescent="0.2">
      <c r="A31" s="142">
        <v>1081948</v>
      </c>
      <c r="B31" s="39" t="s">
        <v>1073</v>
      </c>
      <c r="C31" s="38" t="s">
        <v>1074</v>
      </c>
      <c r="D31" s="39" t="s">
        <v>1075</v>
      </c>
      <c r="E31" s="39" t="s">
        <v>1076</v>
      </c>
      <c r="F31" s="40"/>
      <c r="G31" s="41"/>
      <c r="H31" s="41" t="s">
        <v>420</v>
      </c>
      <c r="I31" s="41" t="s">
        <v>420</v>
      </c>
      <c r="J31" s="41">
        <v>9175045788</v>
      </c>
      <c r="K31" s="41" t="s">
        <v>1077</v>
      </c>
      <c r="L31" s="41" t="s">
        <v>377</v>
      </c>
      <c r="M31" s="41" t="s">
        <v>378</v>
      </c>
      <c r="N31" s="43" t="s">
        <v>240</v>
      </c>
    </row>
    <row r="32" spans="1:14" x14ac:dyDescent="0.2">
      <c r="A32" s="142">
        <v>1082247</v>
      </c>
      <c r="B32" s="39" t="s">
        <v>28</v>
      </c>
      <c r="C32" s="38" t="s">
        <v>1078</v>
      </c>
      <c r="D32" s="39" t="s">
        <v>543</v>
      </c>
      <c r="E32" s="39" t="s">
        <v>541</v>
      </c>
      <c r="F32" s="40"/>
      <c r="G32" s="41" t="s">
        <v>420</v>
      </c>
      <c r="H32" s="41" t="s">
        <v>420</v>
      </c>
      <c r="I32" s="41" t="s">
        <v>420</v>
      </c>
      <c r="J32" s="41">
        <v>9179198486</v>
      </c>
      <c r="K32" s="41" t="s">
        <v>129</v>
      </c>
      <c r="L32" s="41" t="s">
        <v>377</v>
      </c>
      <c r="M32" s="41" t="s">
        <v>378</v>
      </c>
      <c r="N32" s="43"/>
    </row>
    <row r="33" spans="1:14" x14ac:dyDescent="0.2">
      <c r="A33" s="142">
        <v>1082286</v>
      </c>
      <c r="B33" s="39" t="s">
        <v>1079</v>
      </c>
      <c r="C33" s="38" t="s">
        <v>1080</v>
      </c>
      <c r="D33" s="39" t="s">
        <v>606</v>
      </c>
      <c r="E33" s="39" t="s">
        <v>607</v>
      </c>
      <c r="F33" s="40"/>
      <c r="G33" s="41" t="s">
        <v>420</v>
      </c>
      <c r="H33" s="41" t="s">
        <v>420</v>
      </c>
      <c r="I33" s="41" t="s">
        <v>420</v>
      </c>
      <c r="J33" s="41">
        <v>9051635295</v>
      </c>
      <c r="K33" s="41" t="s">
        <v>609</v>
      </c>
      <c r="L33" s="41" t="s">
        <v>377</v>
      </c>
      <c r="M33" s="41" t="s">
        <v>378</v>
      </c>
      <c r="N33" s="43"/>
    </row>
    <row r="34" spans="1:14" x14ac:dyDescent="0.2">
      <c r="A34" s="142">
        <v>1082295</v>
      </c>
      <c r="B34" s="39" t="s">
        <v>1081</v>
      </c>
      <c r="C34" s="38" t="s">
        <v>1082</v>
      </c>
      <c r="D34" s="39" t="s">
        <v>336</v>
      </c>
      <c r="E34" s="39" t="s">
        <v>642</v>
      </c>
      <c r="F34" s="40">
        <v>1082295</v>
      </c>
      <c r="G34" s="41"/>
      <c r="H34" s="41" t="s">
        <v>709</v>
      </c>
      <c r="I34" s="41" t="s">
        <v>420</v>
      </c>
      <c r="J34" s="41">
        <v>9266235061</v>
      </c>
      <c r="K34" s="41" t="s">
        <v>644</v>
      </c>
      <c r="L34" s="41" t="s">
        <v>377</v>
      </c>
      <c r="M34" s="41" t="s">
        <v>378</v>
      </c>
      <c r="N34" s="43" t="s">
        <v>1081</v>
      </c>
    </row>
    <row r="35" spans="1:14" x14ac:dyDescent="0.2">
      <c r="A35" s="142">
        <v>1082285</v>
      </c>
      <c r="B35" s="39" t="s">
        <v>1066</v>
      </c>
      <c r="C35" s="38" t="s">
        <v>1083</v>
      </c>
      <c r="D35" s="39" t="s">
        <v>602</v>
      </c>
      <c r="E35" s="39" t="s">
        <v>603</v>
      </c>
      <c r="F35" s="40"/>
      <c r="G35" s="41" t="s">
        <v>420</v>
      </c>
      <c r="H35" s="41" t="s">
        <v>420</v>
      </c>
      <c r="I35" s="41" t="s">
        <v>420</v>
      </c>
      <c r="J35" s="41">
        <v>9063501390</v>
      </c>
      <c r="K35" s="41" t="s">
        <v>605</v>
      </c>
      <c r="L35" s="41" t="s">
        <v>377</v>
      </c>
      <c r="M35" s="41" t="s">
        <v>378</v>
      </c>
      <c r="N35" s="43"/>
    </row>
    <row r="36" spans="1:14" x14ac:dyDescent="0.2">
      <c r="A36" s="142">
        <v>1082272</v>
      </c>
      <c r="B36" s="39" t="s">
        <v>1061</v>
      </c>
      <c r="C36" s="38" t="s">
        <v>1084</v>
      </c>
      <c r="D36" s="39" t="s">
        <v>545</v>
      </c>
      <c r="E36" s="39" t="s">
        <v>546</v>
      </c>
      <c r="F36" s="40"/>
      <c r="G36" s="41" t="s">
        <v>420</v>
      </c>
      <c r="H36" s="41" t="s">
        <v>420</v>
      </c>
      <c r="I36" s="41" t="s">
        <v>420</v>
      </c>
      <c r="J36" s="41">
        <v>9237402087</v>
      </c>
      <c r="K36" s="41" t="s">
        <v>548</v>
      </c>
      <c r="L36" s="41" t="s">
        <v>377</v>
      </c>
      <c r="M36" s="41" t="s">
        <v>378</v>
      </c>
      <c r="N36" s="43"/>
    </row>
    <row r="37" spans="1:14" x14ac:dyDescent="0.2">
      <c r="A37" s="142">
        <v>1082313</v>
      </c>
      <c r="B37" s="39" t="s">
        <v>1113</v>
      </c>
      <c r="C37" s="38" t="s">
        <v>1114</v>
      </c>
      <c r="D37" s="39" t="s">
        <v>1042</v>
      </c>
      <c r="E37" s="39" t="s">
        <v>624</v>
      </c>
      <c r="F37" s="40"/>
      <c r="G37" s="41" t="s">
        <v>420</v>
      </c>
      <c r="H37" s="41" t="s">
        <v>420</v>
      </c>
      <c r="I37" s="41" t="s">
        <v>420</v>
      </c>
      <c r="J37" s="41">
        <v>9263659304</v>
      </c>
      <c r="K37" s="41" t="s">
        <v>1044</v>
      </c>
      <c r="L37" s="41" t="s">
        <v>377</v>
      </c>
      <c r="M37" s="41" t="s">
        <v>378</v>
      </c>
      <c r="N37" s="43"/>
    </row>
    <row r="38" spans="1:14" x14ac:dyDescent="0.2">
      <c r="A38" s="142">
        <v>1082294</v>
      </c>
      <c r="B38" s="39" t="s">
        <v>1115</v>
      </c>
      <c r="C38" s="38" t="s">
        <v>1116</v>
      </c>
      <c r="D38" s="39" t="s">
        <v>639</v>
      </c>
      <c r="E38" s="39" t="s">
        <v>599</v>
      </c>
      <c r="F38" s="40"/>
      <c r="G38" s="41"/>
      <c r="H38" s="41" t="s">
        <v>420</v>
      </c>
      <c r="I38" s="41" t="s">
        <v>420</v>
      </c>
      <c r="J38" s="41">
        <v>9265420027</v>
      </c>
      <c r="K38" s="41" t="s">
        <v>641</v>
      </c>
      <c r="L38" s="41" t="s">
        <v>377</v>
      </c>
      <c r="M38" s="41" t="s">
        <v>378</v>
      </c>
      <c r="N38" s="43" t="s">
        <v>240</v>
      </c>
    </row>
    <row r="39" spans="1:14" x14ac:dyDescent="0.2">
      <c r="A39" s="142">
        <v>1082305</v>
      </c>
      <c r="B39" s="39" t="s">
        <v>930</v>
      </c>
      <c r="C39" s="38" t="s">
        <v>1117</v>
      </c>
      <c r="D39" s="39" t="s">
        <v>866</v>
      </c>
      <c r="E39" s="39" t="s">
        <v>867</v>
      </c>
      <c r="F39" s="40"/>
      <c r="G39" s="41" t="s">
        <v>420</v>
      </c>
      <c r="H39" s="41" t="s">
        <v>420</v>
      </c>
      <c r="I39" s="41" t="s">
        <v>420</v>
      </c>
      <c r="J39" s="41">
        <v>9273531729</v>
      </c>
      <c r="K39" s="41" t="s">
        <v>869</v>
      </c>
      <c r="L39" s="41" t="s">
        <v>377</v>
      </c>
      <c r="M39" s="41" t="s">
        <v>378</v>
      </c>
      <c r="N39" s="43"/>
    </row>
    <row r="41" spans="1:14" x14ac:dyDescent="0.2">
      <c r="B41" s="44" t="s">
        <v>379</v>
      </c>
      <c r="C41" s="45" t="s">
        <v>1118</v>
      </c>
    </row>
    <row r="46" spans="1:14" x14ac:dyDescent="0.2">
      <c r="B46" s="21" t="s">
        <v>380</v>
      </c>
    </row>
    <row r="48" spans="1:14" x14ac:dyDescent="0.2">
      <c r="B48" s="22" t="s">
        <v>422</v>
      </c>
    </row>
    <row r="49" spans="2:2" x14ac:dyDescent="0.2">
      <c r="B49" s="273" t="s">
        <v>138</v>
      </c>
    </row>
  </sheetData>
  <mergeCells count="10">
    <mergeCell ref="A19:E19"/>
    <mergeCell ref="A20:A21"/>
    <mergeCell ref="B20:B21"/>
    <mergeCell ref="C20:E20"/>
    <mergeCell ref="B1:N1"/>
    <mergeCell ref="H14:I14"/>
    <mergeCell ref="H15:I15"/>
    <mergeCell ref="B17:N17"/>
    <mergeCell ref="A18:F18"/>
    <mergeCell ref="G18:N18"/>
  </mergeCells>
  <pageMargins left="0.25" right="0.25" top="0.75" bottom="0.75" header="0.3" footer="0.3"/>
  <pageSetup scale="61" orientation="landscape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N35"/>
  <sheetViews>
    <sheetView topLeftCell="A13" zoomScaleNormal="100" workbookViewId="0">
      <selection activeCell="H39" sqref="H39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22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28515625" style="21" customWidth="1"/>
    <col min="10" max="10" width="24" style="21" bestFit="1" customWidth="1"/>
    <col min="11" max="11" width="36.28515625" style="21" bestFit="1" customWidth="1"/>
    <col min="12" max="12" width="13.28515625" style="21" bestFit="1" customWidth="1"/>
    <col min="13" max="13" width="21.7109375" style="21" bestFit="1" customWidth="1"/>
    <col min="14" max="14" width="10.4257812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1022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23">
        <v>42068</v>
      </c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291"/>
      <c r="K14" s="291"/>
      <c r="L14" s="291"/>
      <c r="M14" s="291"/>
    </row>
    <row r="15" spans="2:14" x14ac:dyDescent="0.2">
      <c r="H15" s="577"/>
      <c r="I15" s="577"/>
      <c r="J15" s="292"/>
      <c r="K15" s="292"/>
      <c r="L15" s="292"/>
      <c r="M15" s="292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291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291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291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289" t="s">
        <v>370</v>
      </c>
      <c r="H20" s="289" t="s">
        <v>370</v>
      </c>
      <c r="I20" s="289" t="s">
        <v>371</v>
      </c>
      <c r="J20" s="289" t="s">
        <v>1070</v>
      </c>
      <c r="K20" s="289" t="s">
        <v>209</v>
      </c>
      <c r="L20" s="289"/>
      <c r="M20" s="289"/>
      <c r="N20" s="31"/>
    </row>
    <row r="21" spans="1:14" s="291" customFormat="1" x14ac:dyDescent="0.2">
      <c r="A21" s="582"/>
      <c r="B21" s="584"/>
      <c r="C21" s="32" t="s">
        <v>372</v>
      </c>
      <c r="D21" s="290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1082279</v>
      </c>
      <c r="B22" s="39" t="s">
        <v>1216</v>
      </c>
      <c r="C22" s="38" t="s">
        <v>1217</v>
      </c>
      <c r="D22" s="39" t="s">
        <v>576</v>
      </c>
      <c r="E22" s="39" t="s">
        <v>577</v>
      </c>
      <c r="F22" s="40"/>
      <c r="G22" s="41" t="s">
        <v>420</v>
      </c>
      <c r="H22" s="41" t="s">
        <v>420</v>
      </c>
      <c r="I22" s="41" t="s">
        <v>420</v>
      </c>
      <c r="J22" s="42">
        <v>9159986496</v>
      </c>
      <c r="K22" s="42" t="s">
        <v>579</v>
      </c>
      <c r="L22" s="42" t="s">
        <v>377</v>
      </c>
      <c r="M22" s="42" t="s">
        <v>378</v>
      </c>
      <c r="N22" s="43"/>
    </row>
    <row r="23" spans="1:14" x14ac:dyDescent="0.2">
      <c r="A23" s="142">
        <v>1083069</v>
      </c>
      <c r="B23" s="37" t="s">
        <v>1218</v>
      </c>
      <c r="C23" s="38" t="s">
        <v>1219</v>
      </c>
      <c r="D23" s="39" t="s">
        <v>1220</v>
      </c>
      <c r="E23" s="39" t="s">
        <v>1221</v>
      </c>
      <c r="F23" s="40"/>
      <c r="G23" s="41"/>
      <c r="H23" s="41" t="s">
        <v>420</v>
      </c>
      <c r="I23" s="41" t="s">
        <v>420</v>
      </c>
      <c r="J23" s="42">
        <v>9268040889</v>
      </c>
      <c r="K23" s="42" t="s">
        <v>1222</v>
      </c>
      <c r="L23" s="42" t="s">
        <v>377</v>
      </c>
      <c r="M23" s="42" t="s">
        <v>378</v>
      </c>
      <c r="N23" s="43" t="s">
        <v>240</v>
      </c>
    </row>
    <row r="24" spans="1:14" x14ac:dyDescent="0.2">
      <c r="A24" s="142">
        <v>1082308</v>
      </c>
      <c r="B24" s="37" t="s">
        <v>1181</v>
      </c>
      <c r="C24" s="38" t="s">
        <v>1223</v>
      </c>
      <c r="D24" s="39" t="s">
        <v>1224</v>
      </c>
      <c r="E24" s="39" t="s">
        <v>880</v>
      </c>
      <c r="F24" s="40"/>
      <c r="G24" s="41" t="s">
        <v>420</v>
      </c>
      <c r="H24" s="41" t="s">
        <v>420</v>
      </c>
      <c r="I24" s="41" t="s">
        <v>420</v>
      </c>
      <c r="J24" s="42" t="s">
        <v>915</v>
      </c>
      <c r="K24" s="42" t="s">
        <v>882</v>
      </c>
      <c r="L24" s="42" t="s">
        <v>377</v>
      </c>
      <c r="M24" s="42" t="s">
        <v>378</v>
      </c>
      <c r="N24" s="43"/>
    </row>
    <row r="25" spans="1:14" x14ac:dyDescent="0.2">
      <c r="A25" s="142">
        <v>1082102</v>
      </c>
      <c r="B25" s="39" t="s">
        <v>1225</v>
      </c>
      <c r="C25" s="38" t="s">
        <v>1226</v>
      </c>
      <c r="D25" s="39" t="s">
        <v>1227</v>
      </c>
      <c r="E25" s="39" t="s">
        <v>1228</v>
      </c>
      <c r="F25" s="40"/>
      <c r="G25" s="41"/>
      <c r="H25" s="41" t="s">
        <v>420</v>
      </c>
      <c r="I25" s="41" t="s">
        <v>420</v>
      </c>
      <c r="J25" s="41">
        <v>9175556045</v>
      </c>
      <c r="K25" s="41" t="s">
        <v>1229</v>
      </c>
      <c r="L25" s="41" t="s">
        <v>377</v>
      </c>
      <c r="M25" s="41" t="s">
        <v>378</v>
      </c>
      <c r="N25" s="43" t="s">
        <v>240</v>
      </c>
    </row>
    <row r="27" spans="1:14" x14ac:dyDescent="0.2">
      <c r="B27" s="44" t="s">
        <v>379</v>
      </c>
      <c r="C27" s="45" t="s">
        <v>1215</v>
      </c>
    </row>
    <row r="32" spans="1:14" x14ac:dyDescent="0.2">
      <c r="B32" s="21" t="s">
        <v>380</v>
      </c>
    </row>
    <row r="34" spans="2:2" x14ac:dyDescent="0.2">
      <c r="B34" s="22" t="s">
        <v>422</v>
      </c>
    </row>
    <row r="35" spans="2:2" x14ac:dyDescent="0.2">
      <c r="B35" s="292" t="s">
        <v>138</v>
      </c>
    </row>
  </sheetData>
  <mergeCells count="10">
    <mergeCell ref="A19:E19"/>
    <mergeCell ref="A20:A21"/>
    <mergeCell ref="B20:B21"/>
    <mergeCell ref="C20:E20"/>
    <mergeCell ref="B1:N1"/>
    <mergeCell ref="H14:I14"/>
    <mergeCell ref="H15:I15"/>
    <mergeCell ref="B17:N17"/>
    <mergeCell ref="A18:F18"/>
    <mergeCell ref="G18:N18"/>
  </mergeCells>
  <pageMargins left="0.25" right="0.25" top="0.75" bottom="0.75" header="0.3" footer="0.3"/>
  <pageSetup scale="61" orientation="landscape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N35"/>
  <sheetViews>
    <sheetView topLeftCell="A10" zoomScaleNormal="100" workbookViewId="0">
      <selection activeCell="E32" sqref="E32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22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28515625" style="21" customWidth="1"/>
    <col min="10" max="10" width="11.42578125" style="21" bestFit="1" customWidth="1"/>
    <col min="11" max="11" width="36.28515625" style="21" bestFit="1" customWidth="1"/>
    <col min="12" max="12" width="13.28515625" style="21" bestFit="1" customWidth="1"/>
    <col min="13" max="13" width="21.7109375" style="21" bestFit="1" customWidth="1"/>
    <col min="14" max="14" width="18.710937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1022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23">
        <v>42075</v>
      </c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394"/>
      <c r="K14" s="394"/>
      <c r="L14" s="394"/>
      <c r="M14" s="394"/>
    </row>
    <row r="15" spans="2:14" x14ac:dyDescent="0.2">
      <c r="H15" s="577"/>
      <c r="I15" s="577"/>
      <c r="J15" s="395"/>
      <c r="K15" s="395"/>
      <c r="L15" s="395"/>
      <c r="M15" s="395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394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394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394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392" t="s">
        <v>370</v>
      </c>
      <c r="H20" s="392" t="s">
        <v>370</v>
      </c>
      <c r="I20" s="392" t="s">
        <v>371</v>
      </c>
      <c r="J20" s="392" t="s">
        <v>1070</v>
      </c>
      <c r="K20" s="392" t="s">
        <v>209</v>
      </c>
      <c r="L20" s="392"/>
      <c r="M20" s="392"/>
      <c r="N20" s="31"/>
    </row>
    <row r="21" spans="1:14" s="394" customFormat="1" x14ac:dyDescent="0.2">
      <c r="A21" s="582"/>
      <c r="B21" s="584"/>
      <c r="C21" s="32" t="s">
        <v>372</v>
      </c>
      <c r="D21" s="393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1082251</v>
      </c>
      <c r="B22" s="39" t="s">
        <v>1364</v>
      </c>
      <c r="C22" s="38" t="s">
        <v>1430</v>
      </c>
      <c r="D22" s="39" t="s">
        <v>341</v>
      </c>
      <c r="E22" s="39" t="s">
        <v>342</v>
      </c>
      <c r="F22" s="40"/>
      <c r="G22" s="41" t="s">
        <v>420</v>
      </c>
      <c r="H22" s="41" t="s">
        <v>420</v>
      </c>
      <c r="I22" s="41" t="s">
        <v>420</v>
      </c>
      <c r="J22" s="42">
        <v>9985398034</v>
      </c>
      <c r="K22" s="42" t="s">
        <v>139</v>
      </c>
      <c r="L22" s="42" t="s">
        <v>377</v>
      </c>
      <c r="M22" s="42" t="s">
        <v>1431</v>
      </c>
      <c r="N22" s="43"/>
    </row>
    <row r="23" spans="1:14" x14ac:dyDescent="0.2">
      <c r="A23" s="142">
        <v>1082312</v>
      </c>
      <c r="B23" s="37" t="s">
        <v>1190</v>
      </c>
      <c r="C23" s="38" t="s">
        <v>1432</v>
      </c>
      <c r="D23" s="39" t="s">
        <v>1040</v>
      </c>
      <c r="E23" s="39" t="s">
        <v>1098</v>
      </c>
      <c r="F23" s="40"/>
      <c r="G23" s="41" t="s">
        <v>420</v>
      </c>
      <c r="H23" s="41" t="s">
        <v>420</v>
      </c>
      <c r="I23" s="41" t="s">
        <v>420</v>
      </c>
      <c r="J23" s="42">
        <v>9278893191</v>
      </c>
      <c r="K23" s="42"/>
      <c r="L23" s="42" t="s">
        <v>377</v>
      </c>
      <c r="M23" s="42" t="s">
        <v>718</v>
      </c>
      <c r="N23" s="43"/>
    </row>
    <row r="24" spans="1:14" x14ac:dyDescent="0.2">
      <c r="A24" s="142">
        <v>1082318</v>
      </c>
      <c r="B24" s="37" t="s">
        <v>1392</v>
      </c>
      <c r="C24" s="38" t="s">
        <v>1433</v>
      </c>
      <c r="D24" s="39" t="s">
        <v>1434</v>
      </c>
      <c r="E24" s="39" t="s">
        <v>1151</v>
      </c>
      <c r="F24" s="40"/>
      <c r="G24" s="41" t="s">
        <v>420</v>
      </c>
      <c r="H24" s="41" t="s">
        <v>420</v>
      </c>
      <c r="I24" s="41" t="s">
        <v>420</v>
      </c>
      <c r="J24" s="42">
        <v>9276685085</v>
      </c>
      <c r="K24" s="42" t="s">
        <v>1152</v>
      </c>
      <c r="L24" s="42" t="s">
        <v>377</v>
      </c>
      <c r="M24" s="42" t="s">
        <v>378</v>
      </c>
      <c r="N24" s="43"/>
    </row>
    <row r="25" spans="1:14" x14ac:dyDescent="0.2">
      <c r="A25" s="142">
        <v>1082331</v>
      </c>
      <c r="B25" s="39" t="s">
        <v>1402</v>
      </c>
      <c r="C25" s="38" t="s">
        <v>1435</v>
      </c>
      <c r="D25" s="39" t="s">
        <v>1242</v>
      </c>
      <c r="E25" s="39" t="s">
        <v>1286</v>
      </c>
      <c r="F25" s="40"/>
      <c r="G25" s="41"/>
      <c r="H25" s="41" t="s">
        <v>420</v>
      </c>
      <c r="I25" s="41" t="s">
        <v>420</v>
      </c>
      <c r="J25" s="41">
        <v>9059244355</v>
      </c>
      <c r="K25" s="41" t="s">
        <v>1256</v>
      </c>
      <c r="L25" s="41" t="s">
        <v>377</v>
      </c>
      <c r="M25" s="41" t="s">
        <v>378</v>
      </c>
      <c r="N25" s="43" t="s">
        <v>1436</v>
      </c>
    </row>
    <row r="27" spans="1:14" x14ac:dyDescent="0.2">
      <c r="B27" s="44" t="s">
        <v>379</v>
      </c>
      <c r="C27" s="45" t="s">
        <v>1215</v>
      </c>
    </row>
    <row r="32" spans="1:14" x14ac:dyDescent="0.2">
      <c r="B32" s="21" t="s">
        <v>380</v>
      </c>
    </row>
    <row r="34" spans="2:2" x14ac:dyDescent="0.2">
      <c r="B34" s="22" t="s">
        <v>422</v>
      </c>
    </row>
    <row r="35" spans="2:2" x14ac:dyDescent="0.2">
      <c r="B35" s="395" t="s">
        <v>138</v>
      </c>
    </row>
  </sheetData>
  <mergeCells count="10">
    <mergeCell ref="A19:E19"/>
    <mergeCell ref="A20:A21"/>
    <mergeCell ref="B20:B21"/>
    <mergeCell ref="C20:E20"/>
    <mergeCell ref="B1:N1"/>
    <mergeCell ref="H14:I14"/>
    <mergeCell ref="H15:I15"/>
    <mergeCell ref="B17:N17"/>
    <mergeCell ref="A18:F18"/>
    <mergeCell ref="G18:N18"/>
  </mergeCells>
  <pageMargins left="0.25" right="0.25" top="0.75" bottom="0.75" header="0.3" footer="0.3"/>
  <pageSetup scale="62" orientation="landscape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N43"/>
  <sheetViews>
    <sheetView topLeftCell="A10" zoomScaleNormal="100" workbookViewId="0">
      <selection activeCell="D14" sqref="D14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22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140625" style="21" bestFit="1" customWidth="1"/>
    <col min="10" max="10" width="11.42578125" style="21" bestFit="1" customWidth="1"/>
    <col min="11" max="11" width="29.42578125" style="21" bestFit="1" customWidth="1"/>
    <col min="12" max="12" width="13.28515625" style="21" bestFit="1" customWidth="1"/>
    <col min="13" max="13" width="21.7109375" style="21" bestFit="1" customWidth="1"/>
    <col min="14" max="14" width="10.4257812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1022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23">
        <v>42082</v>
      </c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402"/>
      <c r="K14" s="402"/>
      <c r="L14" s="402"/>
      <c r="M14" s="402"/>
    </row>
    <row r="15" spans="2:14" x14ac:dyDescent="0.2">
      <c r="H15" s="577"/>
      <c r="I15" s="577"/>
      <c r="J15" s="403"/>
      <c r="K15" s="403"/>
      <c r="L15" s="403"/>
      <c r="M15" s="403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402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402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402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400" t="s">
        <v>370</v>
      </c>
      <c r="H20" s="400" t="s">
        <v>370</v>
      </c>
      <c r="I20" s="400" t="s">
        <v>371</v>
      </c>
      <c r="J20" s="400" t="s">
        <v>1070</v>
      </c>
      <c r="K20" s="400" t="s">
        <v>209</v>
      </c>
      <c r="L20" s="400"/>
      <c r="M20" s="400"/>
      <c r="N20" s="31"/>
    </row>
    <row r="21" spans="1:14" s="402" customFormat="1" x14ac:dyDescent="0.2">
      <c r="A21" s="582"/>
      <c r="B21" s="584"/>
      <c r="C21" s="32" t="s">
        <v>372</v>
      </c>
      <c r="D21" s="401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1082325</v>
      </c>
      <c r="B22" s="39" t="s">
        <v>1440</v>
      </c>
      <c r="C22" s="38" t="s">
        <v>1244</v>
      </c>
      <c r="D22" s="39" t="s">
        <v>1242</v>
      </c>
      <c r="E22" s="39" t="s">
        <v>1243</v>
      </c>
      <c r="F22" s="40"/>
      <c r="G22" s="41" t="s">
        <v>420</v>
      </c>
      <c r="H22" s="41" t="s">
        <v>420</v>
      </c>
      <c r="I22" s="41" t="s">
        <v>420</v>
      </c>
      <c r="J22" s="42">
        <v>9177280903</v>
      </c>
      <c r="K22" s="42" t="s">
        <v>1245</v>
      </c>
      <c r="L22" s="42" t="s">
        <v>377</v>
      </c>
      <c r="M22" s="42" t="s">
        <v>1431</v>
      </c>
      <c r="N22" s="43"/>
    </row>
    <row r="23" spans="1:14" x14ac:dyDescent="0.2">
      <c r="A23" s="142">
        <v>1082341</v>
      </c>
      <c r="B23" s="37" t="s">
        <v>1595</v>
      </c>
      <c r="C23" s="38" t="s">
        <v>1327</v>
      </c>
      <c r="D23" s="39" t="s">
        <v>1325</v>
      </c>
      <c r="E23" s="39" t="s">
        <v>1326</v>
      </c>
      <c r="F23" s="40"/>
      <c r="G23" s="41" t="s">
        <v>420</v>
      </c>
      <c r="H23" s="41" t="s">
        <v>420</v>
      </c>
      <c r="I23" s="41" t="s">
        <v>420</v>
      </c>
      <c r="J23" s="42">
        <v>9258300712</v>
      </c>
      <c r="K23" s="42" t="s">
        <v>1328</v>
      </c>
      <c r="L23" s="42" t="s">
        <v>377</v>
      </c>
      <c r="M23" s="42" t="s">
        <v>378</v>
      </c>
      <c r="N23" s="43"/>
    </row>
    <row r="24" spans="1:14" x14ac:dyDescent="0.2">
      <c r="A24" s="142">
        <v>1082344</v>
      </c>
      <c r="B24" s="37" t="s">
        <v>1556</v>
      </c>
      <c r="C24" s="38" t="s">
        <v>1444</v>
      </c>
      <c r="D24" s="39" t="s">
        <v>558</v>
      </c>
      <c r="E24" s="39" t="s">
        <v>1443</v>
      </c>
      <c r="F24" s="40"/>
      <c r="G24" s="41" t="s">
        <v>420</v>
      </c>
      <c r="H24" s="41" t="s">
        <v>420</v>
      </c>
      <c r="I24" s="41" t="s">
        <v>420</v>
      </c>
      <c r="J24" s="42">
        <v>9159793134</v>
      </c>
      <c r="K24" s="408" t="s">
        <v>1445</v>
      </c>
      <c r="L24" s="42" t="s">
        <v>377</v>
      </c>
      <c r="M24" s="42" t="s">
        <v>378</v>
      </c>
      <c r="N24" s="43"/>
    </row>
    <row r="25" spans="1:14" x14ac:dyDescent="0.2">
      <c r="A25" s="142">
        <v>1082345</v>
      </c>
      <c r="B25" s="39" t="s">
        <v>1561</v>
      </c>
      <c r="C25" s="38" t="s">
        <v>1450</v>
      </c>
      <c r="D25" s="39" t="s">
        <v>1448</v>
      </c>
      <c r="E25" s="39" t="s">
        <v>1449</v>
      </c>
      <c r="F25" s="40"/>
      <c r="G25" s="41" t="s">
        <v>420</v>
      </c>
      <c r="H25" s="41" t="s">
        <v>420</v>
      </c>
      <c r="I25" s="41" t="s">
        <v>420</v>
      </c>
      <c r="J25" s="409">
        <v>9174557288</v>
      </c>
      <c r="K25" s="41" t="s">
        <v>1451</v>
      </c>
      <c r="L25" s="41" t="s">
        <v>377</v>
      </c>
      <c r="M25" s="41" t="s">
        <v>378</v>
      </c>
      <c r="N25" s="43"/>
    </row>
    <row r="26" spans="1:14" x14ac:dyDescent="0.2">
      <c r="A26" s="142">
        <v>1082348</v>
      </c>
      <c r="B26" s="39" t="s">
        <v>1571</v>
      </c>
      <c r="C26" s="38" t="s">
        <v>624</v>
      </c>
      <c r="D26" s="39" t="s">
        <v>1486</v>
      </c>
      <c r="E26" s="39" t="s">
        <v>1487</v>
      </c>
      <c r="F26" s="40"/>
      <c r="G26" s="41" t="s">
        <v>420</v>
      </c>
      <c r="H26" s="41" t="s">
        <v>420</v>
      </c>
      <c r="I26" s="41" t="s">
        <v>420</v>
      </c>
      <c r="J26" s="409">
        <v>9997607090</v>
      </c>
      <c r="K26" s="41" t="s">
        <v>1488</v>
      </c>
      <c r="L26" s="41" t="s">
        <v>377</v>
      </c>
      <c r="M26" s="41" t="s">
        <v>378</v>
      </c>
      <c r="N26" s="43"/>
    </row>
    <row r="27" spans="1:14" x14ac:dyDescent="0.2">
      <c r="A27" s="142">
        <v>1082339</v>
      </c>
      <c r="B27" s="39" t="s">
        <v>1407</v>
      </c>
      <c r="C27" s="38" t="s">
        <v>1318</v>
      </c>
      <c r="D27" s="39" t="s">
        <v>1316</v>
      </c>
      <c r="E27" s="39" t="s">
        <v>1317</v>
      </c>
      <c r="F27" s="40"/>
      <c r="G27" s="41" t="s">
        <v>420</v>
      </c>
      <c r="H27" s="41" t="s">
        <v>420</v>
      </c>
      <c r="I27" s="41" t="s">
        <v>420</v>
      </c>
      <c r="J27" s="409">
        <v>9166489119</v>
      </c>
      <c r="K27" s="41" t="s">
        <v>1319</v>
      </c>
      <c r="L27" s="41" t="s">
        <v>377</v>
      </c>
      <c r="M27" s="41" t="s">
        <v>378</v>
      </c>
      <c r="N27" s="43"/>
    </row>
    <row r="28" spans="1:14" x14ac:dyDescent="0.2">
      <c r="A28" s="142">
        <v>1082338</v>
      </c>
      <c r="B28" s="39" t="s">
        <v>1606</v>
      </c>
      <c r="C28" s="38" t="s">
        <v>1607</v>
      </c>
      <c r="D28" s="39" t="s">
        <v>1312</v>
      </c>
      <c r="E28" s="39" t="s">
        <v>1313</v>
      </c>
      <c r="F28" s="40"/>
      <c r="G28" s="41"/>
      <c r="H28" s="41" t="s">
        <v>420</v>
      </c>
      <c r="I28" s="41" t="s">
        <v>420</v>
      </c>
      <c r="J28" s="409">
        <v>9278821566</v>
      </c>
      <c r="K28" s="41" t="s">
        <v>1315</v>
      </c>
      <c r="L28" s="41" t="s">
        <v>377</v>
      </c>
      <c r="M28" s="41" t="s">
        <v>720</v>
      </c>
      <c r="N28" s="43" t="s">
        <v>240</v>
      </c>
    </row>
    <row r="29" spans="1:14" x14ac:dyDescent="0.2">
      <c r="A29" s="142">
        <v>1082337</v>
      </c>
      <c r="B29" s="39" t="s">
        <v>1605</v>
      </c>
      <c r="C29" s="38" t="s">
        <v>1289</v>
      </c>
      <c r="D29" s="39" t="s">
        <v>1309</v>
      </c>
      <c r="E29" s="39" t="s">
        <v>1310</v>
      </c>
      <c r="F29" s="40"/>
      <c r="G29" s="41" t="s">
        <v>420</v>
      </c>
      <c r="H29" s="41" t="s">
        <v>420</v>
      </c>
      <c r="I29" s="41" t="s">
        <v>420</v>
      </c>
      <c r="J29" s="409">
        <v>9365728069</v>
      </c>
      <c r="K29" s="41" t="s">
        <v>1311</v>
      </c>
      <c r="L29" s="41" t="s">
        <v>377</v>
      </c>
      <c r="M29" s="41" t="s">
        <v>378</v>
      </c>
      <c r="N29" s="43"/>
    </row>
    <row r="30" spans="1:14" x14ac:dyDescent="0.2">
      <c r="A30" s="142">
        <v>1082105</v>
      </c>
      <c r="B30" s="39" t="s">
        <v>1608</v>
      </c>
      <c r="C30" s="38" t="s">
        <v>1609</v>
      </c>
      <c r="D30" s="39" t="s">
        <v>1610</v>
      </c>
      <c r="E30" s="39" t="s">
        <v>1611</v>
      </c>
      <c r="F30" s="40"/>
      <c r="G30" s="41" t="s">
        <v>420</v>
      </c>
      <c r="H30" s="41" t="s">
        <v>420</v>
      </c>
      <c r="I30" s="41" t="s">
        <v>420</v>
      </c>
      <c r="J30" s="409">
        <v>9293243353</v>
      </c>
      <c r="K30" s="41" t="s">
        <v>1612</v>
      </c>
      <c r="L30" s="41" t="s">
        <v>377</v>
      </c>
      <c r="M30" s="41" t="s">
        <v>378</v>
      </c>
      <c r="N30" s="43"/>
    </row>
    <row r="31" spans="1:14" x14ac:dyDescent="0.2">
      <c r="A31" s="142">
        <v>1082358</v>
      </c>
      <c r="B31" s="39" t="s">
        <v>1589</v>
      </c>
      <c r="C31" s="38" t="s">
        <v>1471</v>
      </c>
      <c r="D31" s="39" t="s">
        <v>1470</v>
      </c>
      <c r="E31" s="39" t="s">
        <v>256</v>
      </c>
      <c r="F31" s="40"/>
      <c r="G31" s="41" t="s">
        <v>420</v>
      </c>
      <c r="H31" s="41" t="s">
        <v>420</v>
      </c>
      <c r="I31" s="41" t="s">
        <v>420</v>
      </c>
      <c r="J31" s="409">
        <v>9266966613</v>
      </c>
      <c r="K31" s="41" t="s">
        <v>1507</v>
      </c>
      <c r="L31" s="41" t="s">
        <v>377</v>
      </c>
      <c r="M31" s="41" t="s">
        <v>378</v>
      </c>
      <c r="N31" s="43"/>
    </row>
    <row r="32" spans="1:14" x14ac:dyDescent="0.2">
      <c r="A32" s="142">
        <v>1082346</v>
      </c>
      <c r="B32" s="39" t="s">
        <v>1601</v>
      </c>
      <c r="C32" s="38" t="s">
        <v>650</v>
      </c>
      <c r="D32" s="39" t="s">
        <v>1480</v>
      </c>
      <c r="E32" s="39" t="s">
        <v>1481</v>
      </c>
      <c r="F32" s="40"/>
      <c r="G32" s="41" t="s">
        <v>420</v>
      </c>
      <c r="H32" s="41" t="s">
        <v>420</v>
      </c>
      <c r="I32" s="41" t="s">
        <v>420</v>
      </c>
      <c r="J32" s="409">
        <v>9269181087</v>
      </c>
      <c r="K32" s="41" t="s">
        <v>1482</v>
      </c>
      <c r="L32" s="41" t="s">
        <v>377</v>
      </c>
      <c r="M32" s="41" t="s">
        <v>378</v>
      </c>
      <c r="N32" s="43"/>
    </row>
    <row r="33" spans="1:14" x14ac:dyDescent="0.2">
      <c r="A33" s="142">
        <v>1082311</v>
      </c>
      <c r="B33" s="39" t="s">
        <v>1336</v>
      </c>
      <c r="C33" s="38" t="s">
        <v>1030</v>
      </c>
      <c r="D33" s="39" t="s">
        <v>1028</v>
      </c>
      <c r="E33" s="39" t="s">
        <v>1029</v>
      </c>
      <c r="F33" s="40"/>
      <c r="G33" s="41" t="s">
        <v>420</v>
      </c>
      <c r="H33" s="41" t="s">
        <v>420</v>
      </c>
      <c r="I33" s="41" t="s">
        <v>420</v>
      </c>
      <c r="J33" s="409">
        <v>9178394853</v>
      </c>
      <c r="K33" s="41" t="s">
        <v>1031</v>
      </c>
      <c r="L33" s="41" t="s">
        <v>377</v>
      </c>
      <c r="M33" s="41" t="s">
        <v>718</v>
      </c>
      <c r="N33" s="43"/>
    </row>
    <row r="35" spans="1:14" x14ac:dyDescent="0.2">
      <c r="B35" s="44" t="s">
        <v>379</v>
      </c>
      <c r="C35" s="45" t="s">
        <v>1613</v>
      </c>
    </row>
    <row r="40" spans="1:14" x14ac:dyDescent="0.2">
      <c r="B40" s="21" t="s">
        <v>380</v>
      </c>
    </row>
    <row r="42" spans="1:14" x14ac:dyDescent="0.2">
      <c r="B42" s="22" t="s">
        <v>422</v>
      </c>
    </row>
    <row r="43" spans="1:14" x14ac:dyDescent="0.2">
      <c r="B43" s="403" t="s">
        <v>138</v>
      </c>
    </row>
  </sheetData>
  <mergeCells count="10">
    <mergeCell ref="A19:E19"/>
    <mergeCell ref="A20:A21"/>
    <mergeCell ref="B20:B21"/>
    <mergeCell ref="C20:E20"/>
    <mergeCell ref="B1:N1"/>
    <mergeCell ref="H14:I14"/>
    <mergeCell ref="H15:I15"/>
    <mergeCell ref="B17:N17"/>
    <mergeCell ref="A18:F18"/>
    <mergeCell ref="G18:N18"/>
  </mergeCells>
  <pageMargins left="0.25" right="0.25" top="0.75" bottom="0.75" header="0.3" footer="0.3"/>
  <pageSetup scale="67" orientation="landscape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45"/>
  <sheetViews>
    <sheetView topLeftCell="C13" zoomScaleNormal="100" workbookViewId="0">
      <selection activeCell="N36" sqref="N36"/>
    </sheetView>
  </sheetViews>
  <sheetFormatPr defaultRowHeight="12.75" x14ac:dyDescent="0.2"/>
  <cols>
    <col min="1" max="1" width="9.5703125" style="21" customWidth="1"/>
    <col min="2" max="2" width="11" style="21" customWidth="1"/>
    <col min="3" max="3" width="22" style="21" customWidth="1"/>
    <col min="4" max="4" width="19.28515625" style="21" customWidth="1"/>
    <col min="5" max="5" width="12.140625" style="21" customWidth="1"/>
    <col min="6" max="6" width="0" style="21" hidden="1" customWidth="1"/>
    <col min="7" max="8" width="13" style="21" customWidth="1"/>
    <col min="9" max="9" width="13.140625" style="21" bestFit="1" customWidth="1"/>
    <col min="10" max="10" width="11.42578125" style="21" bestFit="1" customWidth="1"/>
    <col min="11" max="11" width="29.42578125" style="21" bestFit="1" customWidth="1"/>
    <col min="12" max="12" width="13.28515625" style="21" bestFit="1" customWidth="1"/>
    <col min="13" max="13" width="21.7109375" style="21" bestFit="1" customWidth="1"/>
    <col min="14" max="14" width="10.42578125" style="21" bestFit="1" customWidth="1"/>
    <col min="15" max="16384" width="9.140625" style="21"/>
  </cols>
  <sheetData>
    <row r="1" spans="2:14" x14ac:dyDescent="0.2">
      <c r="B1" s="575" t="s">
        <v>346</v>
      </c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</row>
    <row r="3" spans="2:14" x14ac:dyDescent="0.2">
      <c r="B3" s="22" t="s">
        <v>347</v>
      </c>
      <c r="C3" s="22" t="s">
        <v>348</v>
      </c>
    </row>
    <row r="4" spans="2:14" x14ac:dyDescent="0.2">
      <c r="C4" s="22" t="s">
        <v>349</v>
      </c>
    </row>
    <row r="5" spans="2:14" x14ac:dyDescent="0.2">
      <c r="C5" s="22" t="s">
        <v>1022</v>
      </c>
    </row>
    <row r="6" spans="2:14" ht="6" customHeight="1" x14ac:dyDescent="0.2"/>
    <row r="7" spans="2:14" x14ac:dyDescent="0.2">
      <c r="B7" s="22" t="s">
        <v>351</v>
      </c>
      <c r="C7" s="22" t="s">
        <v>352</v>
      </c>
    </row>
    <row r="8" spans="2:14" x14ac:dyDescent="0.2">
      <c r="C8" s="22" t="s">
        <v>353</v>
      </c>
    </row>
    <row r="9" spans="2:14" ht="6" customHeight="1" x14ac:dyDescent="0.2"/>
    <row r="10" spans="2:14" x14ac:dyDescent="0.2">
      <c r="B10" s="22" t="s">
        <v>354</v>
      </c>
      <c r="C10" s="23">
        <v>42102</v>
      </c>
    </row>
    <row r="11" spans="2:14" ht="6" customHeight="1" x14ac:dyDescent="0.2"/>
    <row r="12" spans="2:14" x14ac:dyDescent="0.2">
      <c r="B12" s="22" t="s">
        <v>355</v>
      </c>
    </row>
    <row r="13" spans="2:14" x14ac:dyDescent="0.2">
      <c r="C13" s="21" t="s">
        <v>1021</v>
      </c>
    </row>
    <row r="14" spans="2:14" x14ac:dyDescent="0.2">
      <c r="H14" s="575"/>
      <c r="I14" s="575"/>
      <c r="J14" s="459"/>
      <c r="K14" s="459"/>
      <c r="L14" s="459"/>
      <c r="M14" s="459"/>
    </row>
    <row r="15" spans="2:14" x14ac:dyDescent="0.2">
      <c r="H15" s="577"/>
      <c r="I15" s="577"/>
      <c r="J15" s="460"/>
      <c r="K15" s="460"/>
      <c r="L15" s="460"/>
      <c r="M15" s="460"/>
    </row>
    <row r="17" spans="1:14" ht="13.5" thickBot="1" x14ac:dyDescent="0.25">
      <c r="B17" s="575" t="s">
        <v>357</v>
      </c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</row>
    <row r="18" spans="1:14" s="459" customFormat="1" ht="15.75" customHeight="1" thickBot="1" x14ac:dyDescent="0.25">
      <c r="A18" s="572" t="s">
        <v>358</v>
      </c>
      <c r="B18" s="573"/>
      <c r="C18" s="573"/>
      <c r="D18" s="573"/>
      <c r="E18" s="573"/>
      <c r="F18" s="574"/>
      <c r="G18" s="573" t="s">
        <v>359</v>
      </c>
      <c r="H18" s="573"/>
      <c r="I18" s="573"/>
      <c r="J18" s="573"/>
      <c r="K18" s="573"/>
      <c r="L18" s="573"/>
      <c r="M18" s="573"/>
      <c r="N18" s="574"/>
    </row>
    <row r="19" spans="1:14" s="459" customFormat="1" ht="15.75" customHeight="1" thickBot="1" x14ac:dyDescent="0.25">
      <c r="A19" s="578"/>
      <c r="B19" s="579"/>
      <c r="C19" s="579"/>
      <c r="D19" s="579"/>
      <c r="E19" s="580"/>
      <c r="F19" s="26" t="s">
        <v>360</v>
      </c>
      <c r="G19" s="27" t="s">
        <v>361</v>
      </c>
      <c r="H19" s="27" t="s">
        <v>362</v>
      </c>
      <c r="I19" s="27" t="s">
        <v>363</v>
      </c>
      <c r="J19" s="27"/>
      <c r="K19" s="27"/>
      <c r="L19" s="27" t="s">
        <v>364</v>
      </c>
      <c r="M19" s="27" t="s">
        <v>365</v>
      </c>
      <c r="N19" s="28" t="s">
        <v>366</v>
      </c>
    </row>
    <row r="20" spans="1:14" s="459" customFormat="1" ht="13.5" thickBot="1" x14ac:dyDescent="0.25">
      <c r="A20" s="581" t="s">
        <v>367</v>
      </c>
      <c r="B20" s="583" t="s">
        <v>15</v>
      </c>
      <c r="C20" s="585" t="s">
        <v>368</v>
      </c>
      <c r="D20" s="586"/>
      <c r="E20" s="587"/>
      <c r="F20" s="29" t="s">
        <v>369</v>
      </c>
      <c r="G20" s="457" t="s">
        <v>370</v>
      </c>
      <c r="H20" s="457" t="s">
        <v>370</v>
      </c>
      <c r="I20" s="457" t="s">
        <v>371</v>
      </c>
      <c r="J20" s="457" t="s">
        <v>1070</v>
      </c>
      <c r="K20" s="457" t="s">
        <v>209</v>
      </c>
      <c r="L20" s="457"/>
      <c r="M20" s="457"/>
      <c r="N20" s="31"/>
    </row>
    <row r="21" spans="1:14" s="459" customFormat="1" x14ac:dyDescent="0.2">
      <c r="A21" s="582"/>
      <c r="B21" s="584"/>
      <c r="C21" s="32" t="s">
        <v>372</v>
      </c>
      <c r="D21" s="458" t="s">
        <v>373</v>
      </c>
      <c r="E21" s="34" t="s">
        <v>374</v>
      </c>
      <c r="F21" s="28" t="s">
        <v>375</v>
      </c>
      <c r="G21" s="28" t="s">
        <v>376</v>
      </c>
      <c r="H21" s="28" t="s">
        <v>376</v>
      </c>
      <c r="I21" s="28" t="s">
        <v>376</v>
      </c>
      <c r="J21" s="35"/>
      <c r="K21" s="35"/>
      <c r="L21" s="35"/>
      <c r="M21" s="35"/>
      <c r="N21" s="35"/>
    </row>
    <row r="22" spans="1:14" x14ac:dyDescent="0.2">
      <c r="A22" s="142">
        <v>1082356</v>
      </c>
      <c r="B22" s="39" t="s">
        <v>1821</v>
      </c>
      <c r="C22" s="38" t="s">
        <v>1979</v>
      </c>
      <c r="D22" s="39" t="s">
        <v>1466</v>
      </c>
      <c r="E22" s="39" t="s">
        <v>1503</v>
      </c>
      <c r="F22" s="40"/>
      <c r="G22" s="41" t="s">
        <v>420</v>
      </c>
      <c r="H22" s="41" t="s">
        <v>420</v>
      </c>
      <c r="I22" s="41" t="s">
        <v>420</v>
      </c>
      <c r="J22" s="42">
        <v>9051822667</v>
      </c>
      <c r="K22" s="42" t="s">
        <v>1504</v>
      </c>
      <c r="L22" s="42" t="s">
        <v>377</v>
      </c>
      <c r="M22" s="42" t="s">
        <v>720</v>
      </c>
      <c r="N22" s="43"/>
    </row>
    <row r="23" spans="1:14" x14ac:dyDescent="0.2">
      <c r="A23" s="142">
        <v>1082390</v>
      </c>
      <c r="B23" s="37" t="s">
        <v>1974</v>
      </c>
      <c r="C23" s="38" t="s">
        <v>1980</v>
      </c>
      <c r="D23" s="39" t="s">
        <v>1872</v>
      </c>
      <c r="E23" s="39" t="s">
        <v>1981</v>
      </c>
      <c r="F23" s="40"/>
      <c r="G23" s="41" t="s">
        <v>420</v>
      </c>
      <c r="H23" s="41" t="s">
        <v>420</v>
      </c>
      <c r="I23" s="41" t="s">
        <v>420</v>
      </c>
      <c r="J23" s="42">
        <v>9055691529</v>
      </c>
      <c r="K23" s="42"/>
      <c r="L23" s="42" t="s">
        <v>377</v>
      </c>
      <c r="M23" s="42" t="s">
        <v>378</v>
      </c>
      <c r="N23" s="43"/>
    </row>
    <row r="24" spans="1:14" x14ac:dyDescent="0.2">
      <c r="A24" s="142">
        <v>1082349</v>
      </c>
      <c r="B24" s="37" t="s">
        <v>1757</v>
      </c>
      <c r="C24" s="38" t="s">
        <v>1982</v>
      </c>
      <c r="D24" s="39" t="s">
        <v>1489</v>
      </c>
      <c r="E24" s="39" t="s">
        <v>1490</v>
      </c>
      <c r="F24" s="40"/>
      <c r="G24" s="41" t="s">
        <v>420</v>
      </c>
      <c r="H24" s="41" t="s">
        <v>420</v>
      </c>
      <c r="I24" s="41" t="s">
        <v>420</v>
      </c>
      <c r="J24" s="42">
        <v>9179513863</v>
      </c>
      <c r="K24" s="408" t="s">
        <v>1492</v>
      </c>
      <c r="L24" s="42" t="s">
        <v>377</v>
      </c>
      <c r="M24" s="42" t="s">
        <v>820</v>
      </c>
      <c r="N24" s="43"/>
    </row>
    <row r="25" spans="1:14" x14ac:dyDescent="0.2">
      <c r="A25" s="142">
        <v>1082332</v>
      </c>
      <c r="B25" s="39" t="s">
        <v>1639</v>
      </c>
      <c r="C25" s="38" t="s">
        <v>1983</v>
      </c>
      <c r="D25" s="39" t="s">
        <v>1287</v>
      </c>
      <c r="E25" s="39" t="s">
        <v>1288</v>
      </c>
      <c r="F25" s="40"/>
      <c r="G25" s="41" t="s">
        <v>420</v>
      </c>
      <c r="H25" s="41" t="s">
        <v>420</v>
      </c>
      <c r="I25" s="41" t="s">
        <v>420</v>
      </c>
      <c r="J25" s="409">
        <v>9065846093</v>
      </c>
      <c r="K25" s="41" t="s">
        <v>1258</v>
      </c>
      <c r="L25" s="41" t="s">
        <v>377</v>
      </c>
      <c r="M25" s="41" t="s">
        <v>378</v>
      </c>
      <c r="N25" s="43"/>
    </row>
    <row r="26" spans="1:14" x14ac:dyDescent="0.2">
      <c r="A26" s="142">
        <v>1082366</v>
      </c>
      <c r="B26" s="39" t="s">
        <v>1770</v>
      </c>
      <c r="C26" s="38" t="s">
        <v>1984</v>
      </c>
      <c r="D26" s="39" t="s">
        <v>1671</v>
      </c>
      <c r="E26" s="39" t="s">
        <v>1672</v>
      </c>
      <c r="F26" s="40"/>
      <c r="G26" s="41" t="s">
        <v>420</v>
      </c>
      <c r="H26" s="41" t="s">
        <v>420</v>
      </c>
      <c r="I26" s="41" t="s">
        <v>420</v>
      </c>
      <c r="J26" s="409">
        <v>9175613667</v>
      </c>
      <c r="K26" s="41" t="s">
        <v>1674</v>
      </c>
      <c r="L26" s="41" t="s">
        <v>377</v>
      </c>
      <c r="M26" s="41" t="s">
        <v>378</v>
      </c>
      <c r="N26" s="43"/>
    </row>
    <row r="27" spans="1:14" x14ac:dyDescent="0.2">
      <c r="A27" s="142">
        <v>1082333</v>
      </c>
      <c r="B27" s="39" t="s">
        <v>1767</v>
      </c>
      <c r="C27" s="38" t="s">
        <v>1985</v>
      </c>
      <c r="D27" s="39" t="s">
        <v>1289</v>
      </c>
      <c r="E27" s="39" t="s">
        <v>1290</v>
      </c>
      <c r="F27" s="40"/>
      <c r="G27" s="41" t="s">
        <v>420</v>
      </c>
      <c r="H27" s="41" t="s">
        <v>420</v>
      </c>
      <c r="I27" s="41" t="s">
        <v>420</v>
      </c>
      <c r="J27" s="409">
        <v>9261415185</v>
      </c>
      <c r="K27" s="41" t="s">
        <v>1260</v>
      </c>
      <c r="L27" s="41" t="s">
        <v>377</v>
      </c>
      <c r="M27" s="41" t="s">
        <v>378</v>
      </c>
      <c r="N27" s="43"/>
    </row>
    <row r="28" spans="1:14" x14ac:dyDescent="0.2">
      <c r="A28" s="142">
        <v>1082322</v>
      </c>
      <c r="B28" s="39" t="s">
        <v>1928</v>
      </c>
      <c r="C28" s="38" t="s">
        <v>1986</v>
      </c>
      <c r="D28" s="39" t="s">
        <v>1165</v>
      </c>
      <c r="E28" s="39" t="s">
        <v>1166</v>
      </c>
      <c r="F28" s="40"/>
      <c r="G28" s="41" t="s">
        <v>420</v>
      </c>
      <c r="H28" s="41" t="s">
        <v>420</v>
      </c>
      <c r="I28" s="41" t="s">
        <v>420</v>
      </c>
      <c r="J28" s="409">
        <v>9053534641</v>
      </c>
      <c r="K28" s="41" t="s">
        <v>1168</v>
      </c>
      <c r="L28" s="41" t="s">
        <v>377</v>
      </c>
      <c r="M28" s="41" t="s">
        <v>378</v>
      </c>
      <c r="N28" s="43"/>
    </row>
    <row r="29" spans="1:14" x14ac:dyDescent="0.2">
      <c r="A29" s="142">
        <v>1082361</v>
      </c>
      <c r="B29" s="39" t="s">
        <v>1908</v>
      </c>
      <c r="C29" s="38" t="s">
        <v>1987</v>
      </c>
      <c r="D29" s="39" t="s">
        <v>1477</v>
      </c>
      <c r="E29" s="39" t="s">
        <v>1512</v>
      </c>
      <c r="F29" s="40"/>
      <c r="G29" s="41" t="s">
        <v>420</v>
      </c>
      <c r="H29" s="41" t="s">
        <v>420</v>
      </c>
      <c r="I29" s="41" t="s">
        <v>420</v>
      </c>
      <c r="J29" s="409">
        <v>9352854499</v>
      </c>
      <c r="K29" s="41" t="s">
        <v>1513</v>
      </c>
      <c r="L29" s="41" t="s">
        <v>377</v>
      </c>
      <c r="M29" s="41" t="s">
        <v>378</v>
      </c>
      <c r="N29" s="43"/>
    </row>
    <row r="30" spans="1:14" x14ac:dyDescent="0.2">
      <c r="A30" s="142">
        <v>1082367</v>
      </c>
      <c r="B30" s="39" t="s">
        <v>1810</v>
      </c>
      <c r="C30" s="38" t="s">
        <v>1988</v>
      </c>
      <c r="D30" s="39" t="s">
        <v>1675</v>
      </c>
      <c r="E30" s="39" t="s">
        <v>1676</v>
      </c>
      <c r="F30" s="40"/>
      <c r="G30" s="41"/>
      <c r="H30" s="41" t="s">
        <v>420</v>
      </c>
      <c r="I30" s="41" t="s">
        <v>420</v>
      </c>
      <c r="J30" s="409">
        <v>9202670597</v>
      </c>
      <c r="K30" s="41" t="s">
        <v>1678</v>
      </c>
      <c r="L30" s="41" t="s">
        <v>377</v>
      </c>
      <c r="M30" s="41" t="s">
        <v>378</v>
      </c>
      <c r="N30" s="43" t="s">
        <v>240</v>
      </c>
    </row>
    <row r="31" spans="1:14" x14ac:dyDescent="0.2">
      <c r="A31" s="142">
        <v>1082357</v>
      </c>
      <c r="B31" s="39" t="s">
        <v>1586</v>
      </c>
      <c r="C31" s="38" t="s">
        <v>1989</v>
      </c>
      <c r="D31" s="39" t="s">
        <v>1468</v>
      </c>
      <c r="E31" s="39" t="s">
        <v>1505</v>
      </c>
      <c r="F31" s="40"/>
      <c r="G31" s="41" t="s">
        <v>420</v>
      </c>
      <c r="H31" s="41" t="s">
        <v>420</v>
      </c>
      <c r="I31" s="41" t="s">
        <v>420</v>
      </c>
      <c r="J31" s="409">
        <v>9155624042</v>
      </c>
      <c r="K31" s="41" t="s">
        <v>1506</v>
      </c>
      <c r="L31" s="41" t="s">
        <v>377</v>
      </c>
      <c r="M31" s="41" t="s">
        <v>378</v>
      </c>
      <c r="N31" s="43"/>
    </row>
    <row r="32" spans="1:14" x14ac:dyDescent="0.2">
      <c r="A32" s="142">
        <v>1082328</v>
      </c>
      <c r="B32" s="39" t="s">
        <v>1708</v>
      </c>
      <c r="C32" s="38" t="s">
        <v>1990</v>
      </c>
      <c r="D32" s="39" t="s">
        <v>1280</v>
      </c>
      <c r="E32" s="39" t="s">
        <v>1281</v>
      </c>
      <c r="F32" s="40"/>
      <c r="G32" s="41" t="s">
        <v>420</v>
      </c>
      <c r="H32" s="41" t="s">
        <v>420</v>
      </c>
      <c r="I32" s="41" t="s">
        <v>420</v>
      </c>
      <c r="J32" s="409">
        <v>9163558762</v>
      </c>
      <c r="K32" s="41" t="s">
        <v>1253</v>
      </c>
      <c r="L32" s="41" t="s">
        <v>377</v>
      </c>
      <c r="M32" s="41" t="s">
        <v>378</v>
      </c>
      <c r="N32" s="43"/>
    </row>
    <row r="33" spans="1:14" x14ac:dyDescent="0.2">
      <c r="A33" s="142">
        <v>1082369</v>
      </c>
      <c r="B33" s="39" t="s">
        <v>1991</v>
      </c>
      <c r="C33" s="38" t="s">
        <v>1992</v>
      </c>
      <c r="D33" s="39" t="s">
        <v>1682</v>
      </c>
      <c r="E33" s="39" t="s">
        <v>1683</v>
      </c>
      <c r="F33" s="40"/>
      <c r="G33" s="41"/>
      <c r="H33" s="41" t="s">
        <v>420</v>
      </c>
      <c r="I33" s="41" t="s">
        <v>420</v>
      </c>
      <c r="J33" s="409">
        <v>9154139575</v>
      </c>
      <c r="K33" s="41" t="s">
        <v>1685</v>
      </c>
      <c r="L33" s="41" t="s">
        <v>377</v>
      </c>
      <c r="M33" s="41" t="s">
        <v>378</v>
      </c>
      <c r="N33" s="43" t="s">
        <v>240</v>
      </c>
    </row>
    <row r="34" spans="1:14" x14ac:dyDescent="0.2">
      <c r="A34" s="142">
        <v>1082363</v>
      </c>
      <c r="B34" s="39" t="s">
        <v>1780</v>
      </c>
      <c r="C34" s="38" t="s">
        <v>1993</v>
      </c>
      <c r="D34" s="39" t="s">
        <v>1659</v>
      </c>
      <c r="E34" s="39" t="s">
        <v>1505</v>
      </c>
      <c r="F34" s="40"/>
      <c r="G34" s="41" t="s">
        <v>420</v>
      </c>
      <c r="H34" s="41" t="s">
        <v>420</v>
      </c>
      <c r="I34" s="41" t="s">
        <v>420</v>
      </c>
      <c r="J34" s="409">
        <v>9154162083</v>
      </c>
      <c r="K34" s="41" t="s">
        <v>1661</v>
      </c>
      <c r="L34" s="41" t="s">
        <v>377</v>
      </c>
      <c r="M34" s="41" t="s">
        <v>378</v>
      </c>
      <c r="N34" s="43"/>
    </row>
    <row r="35" spans="1:14" x14ac:dyDescent="0.2">
      <c r="A35" s="142">
        <v>1083022</v>
      </c>
      <c r="B35" s="39" t="s">
        <v>1994</v>
      </c>
      <c r="C35" s="38" t="s">
        <v>1995</v>
      </c>
      <c r="D35" s="39" t="s">
        <v>1996</v>
      </c>
      <c r="E35" s="39" t="s">
        <v>1317</v>
      </c>
      <c r="F35" s="40"/>
      <c r="G35" s="41"/>
      <c r="H35" s="41" t="s">
        <v>420</v>
      </c>
      <c r="I35" s="41" t="s">
        <v>420</v>
      </c>
      <c r="J35" s="409">
        <v>9178694519</v>
      </c>
      <c r="K35" s="41" t="s">
        <v>1997</v>
      </c>
      <c r="L35" s="41" t="s">
        <v>377</v>
      </c>
      <c r="M35" s="41" t="s">
        <v>378</v>
      </c>
      <c r="N35" s="43" t="s">
        <v>240</v>
      </c>
    </row>
    <row r="37" spans="1:14" x14ac:dyDescent="0.2">
      <c r="B37" s="44" t="s">
        <v>379</v>
      </c>
      <c r="C37" s="45" t="s">
        <v>1998</v>
      </c>
    </row>
    <row r="42" spans="1:14" x14ac:dyDescent="0.2">
      <c r="B42" s="21" t="s">
        <v>380</v>
      </c>
    </row>
    <row r="44" spans="1:14" x14ac:dyDescent="0.2">
      <c r="B44" s="22" t="s">
        <v>422</v>
      </c>
    </row>
    <row r="45" spans="1:14" x14ac:dyDescent="0.2">
      <c r="B45" s="460" t="s">
        <v>138</v>
      </c>
    </row>
  </sheetData>
  <mergeCells count="10">
    <mergeCell ref="A19:E19"/>
    <mergeCell ref="A20:A21"/>
    <mergeCell ref="B20:B21"/>
    <mergeCell ref="C20:E20"/>
    <mergeCell ref="B1:N1"/>
    <mergeCell ref="H14:I14"/>
    <mergeCell ref="H15:I15"/>
    <mergeCell ref="B17:N17"/>
    <mergeCell ref="A18:F18"/>
    <mergeCell ref="G18:N18"/>
  </mergeCells>
  <pageMargins left="0.25" right="0.25" top="0.75" bottom="0.75" header="0.3" footer="0.3"/>
  <pageSetup scale="67" orientation="landscape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27"/>
  <sheetViews>
    <sheetView workbookViewId="0">
      <selection activeCell="H29" sqref="H29:I29"/>
    </sheetView>
  </sheetViews>
  <sheetFormatPr defaultRowHeight="12.75" x14ac:dyDescent="0.2"/>
  <cols>
    <col min="1" max="1" width="10.5703125" style="109" customWidth="1"/>
    <col min="2" max="2" width="11.28515625" style="109" customWidth="1"/>
    <col min="3" max="3" width="35.28515625" style="109" bestFit="1" customWidth="1"/>
    <col min="4" max="4" width="35.28515625" style="109" customWidth="1"/>
    <col min="5" max="5" width="24.140625" style="109" bestFit="1" customWidth="1"/>
    <col min="6" max="6" width="22.85546875" style="109" customWidth="1"/>
    <col min="7" max="7" width="11.85546875" style="110" customWidth="1"/>
    <col min="8" max="8" width="18.140625" style="109" customWidth="1"/>
    <col min="9" max="10" width="11.28515625" style="111" bestFit="1" customWidth="1"/>
    <col min="11" max="11" width="23.5703125" style="109" customWidth="1"/>
    <col min="12" max="12" width="11.42578125" style="109" bestFit="1" customWidth="1"/>
    <col min="13" max="13" width="10.5703125" style="109" bestFit="1" customWidth="1"/>
    <col min="14" max="16384" width="9.140625" style="109"/>
  </cols>
  <sheetData>
    <row r="1" spans="1:11" s="95" customFormat="1" x14ac:dyDescent="0.2">
      <c r="G1" s="96"/>
      <c r="I1" s="97"/>
      <c r="J1" s="97"/>
    </row>
    <row r="2" spans="1:11" s="95" customFormat="1" x14ac:dyDescent="0.2">
      <c r="G2" s="96"/>
      <c r="I2" s="97"/>
      <c r="J2" s="97"/>
    </row>
    <row r="3" spans="1:11" s="95" customFormat="1" ht="25.5" x14ac:dyDescent="0.2">
      <c r="A3" s="98" t="s">
        <v>407</v>
      </c>
      <c r="B3" s="99" t="s">
        <v>408</v>
      </c>
      <c r="C3" s="99" t="s">
        <v>202</v>
      </c>
      <c r="D3" s="99" t="s">
        <v>203</v>
      </c>
      <c r="E3" s="99" t="s">
        <v>409</v>
      </c>
      <c r="F3" s="99" t="s">
        <v>410</v>
      </c>
      <c r="G3" s="100" t="s">
        <v>411</v>
      </c>
      <c r="H3" s="99" t="s">
        <v>412</v>
      </c>
      <c r="I3" s="101" t="s">
        <v>413</v>
      </c>
      <c r="J3" s="101" t="s">
        <v>414</v>
      </c>
      <c r="K3" s="102" t="s">
        <v>415</v>
      </c>
    </row>
    <row r="4" spans="1:11" x14ac:dyDescent="0.2">
      <c r="A4" s="103"/>
      <c r="B4" s="104"/>
      <c r="C4" s="105"/>
      <c r="D4" s="105"/>
      <c r="E4" s="104"/>
      <c r="F4" s="106"/>
      <c r="G4" s="107"/>
      <c r="H4" s="105"/>
      <c r="I4" s="108"/>
      <c r="J4" s="108"/>
      <c r="K4" s="105"/>
    </row>
    <row r="5" spans="1:11" x14ac:dyDescent="0.2">
      <c r="A5" s="103"/>
      <c r="B5" s="104"/>
      <c r="C5" s="105"/>
      <c r="D5" s="105"/>
      <c r="E5" s="104"/>
      <c r="F5" s="106"/>
      <c r="G5" s="107"/>
      <c r="H5" s="105"/>
      <c r="I5" s="108"/>
      <c r="J5" s="108"/>
      <c r="K5" s="105"/>
    </row>
    <row r="6" spans="1:11" x14ac:dyDescent="0.2">
      <c r="A6" s="103"/>
      <c r="B6" s="105"/>
      <c r="C6" s="105"/>
      <c r="D6" s="105"/>
      <c r="E6" s="105"/>
      <c r="F6" s="106"/>
      <c r="G6" s="107"/>
      <c r="H6" s="105"/>
      <c r="I6" s="108"/>
      <c r="J6" s="108"/>
      <c r="K6" s="105"/>
    </row>
    <row r="7" spans="1:11" x14ac:dyDescent="0.2">
      <c r="A7" s="103"/>
      <c r="B7" s="105"/>
      <c r="C7" s="105"/>
      <c r="D7" s="105"/>
      <c r="E7" s="105"/>
      <c r="F7" s="106"/>
      <c r="G7" s="107"/>
      <c r="H7" s="105"/>
      <c r="I7" s="108"/>
      <c r="J7" s="108"/>
      <c r="K7" s="105"/>
    </row>
    <row r="8" spans="1:11" x14ac:dyDescent="0.2">
      <c r="A8" s="103"/>
      <c r="B8" s="105"/>
      <c r="C8" s="105"/>
      <c r="D8" s="105"/>
      <c r="E8" s="105"/>
      <c r="F8" s="106"/>
      <c r="G8" s="107"/>
      <c r="H8" s="105"/>
      <c r="I8" s="108"/>
      <c r="J8" s="108"/>
      <c r="K8" s="105"/>
    </row>
    <row r="9" spans="1:11" x14ac:dyDescent="0.2">
      <c r="A9" s="103"/>
      <c r="B9" s="105"/>
      <c r="C9" s="105"/>
      <c r="D9" s="105"/>
      <c r="E9" s="105"/>
      <c r="F9" s="106"/>
      <c r="G9" s="107"/>
      <c r="H9" s="105"/>
      <c r="I9" s="108"/>
      <c r="J9" s="108"/>
      <c r="K9" s="105"/>
    </row>
    <row r="10" spans="1:11" x14ac:dyDescent="0.2">
      <c r="A10" s="103"/>
      <c r="B10" s="105"/>
      <c r="C10" s="105"/>
      <c r="D10" s="105"/>
      <c r="E10" s="105"/>
      <c r="F10" s="106"/>
      <c r="G10" s="107"/>
      <c r="H10" s="105"/>
      <c r="I10" s="108"/>
      <c r="J10" s="108"/>
      <c r="K10" s="105"/>
    </row>
    <row r="11" spans="1:11" x14ac:dyDescent="0.2">
      <c r="A11" s="103"/>
      <c r="B11" s="105"/>
      <c r="C11" s="105"/>
      <c r="D11" s="105"/>
      <c r="E11" s="105"/>
      <c r="F11" s="106"/>
      <c r="G11" s="107"/>
      <c r="H11" s="105"/>
      <c r="I11" s="108"/>
      <c r="J11" s="108"/>
      <c r="K11" s="105"/>
    </row>
    <row r="12" spans="1:11" x14ac:dyDescent="0.2">
      <c r="A12" s="103"/>
      <c r="B12" s="105"/>
      <c r="C12" s="105"/>
      <c r="D12" s="105"/>
      <c r="E12" s="105"/>
      <c r="F12" s="106"/>
      <c r="G12" s="107"/>
      <c r="H12" s="105"/>
      <c r="I12" s="108"/>
      <c r="J12" s="108"/>
      <c r="K12" s="105"/>
    </row>
    <row r="13" spans="1:11" x14ac:dyDescent="0.2">
      <c r="A13" s="103"/>
      <c r="B13" s="105"/>
      <c r="C13" s="105"/>
      <c r="D13" s="105"/>
      <c r="E13" s="105"/>
      <c r="F13" s="106"/>
      <c r="G13" s="107"/>
      <c r="H13" s="105"/>
      <c r="I13" s="108"/>
      <c r="J13" s="108"/>
      <c r="K13" s="105"/>
    </row>
    <row r="14" spans="1:11" x14ac:dyDescent="0.2">
      <c r="A14" s="103"/>
      <c r="B14" s="105"/>
      <c r="C14" s="105"/>
      <c r="D14" s="105"/>
      <c r="E14" s="105"/>
      <c r="F14" s="106"/>
      <c r="G14" s="107"/>
      <c r="H14" s="105"/>
      <c r="I14" s="108"/>
      <c r="J14" s="108"/>
      <c r="K14" s="105"/>
    </row>
    <row r="15" spans="1:11" x14ac:dyDescent="0.2">
      <c r="A15" s="103"/>
      <c r="B15" s="105"/>
      <c r="C15" s="105"/>
      <c r="D15" s="105"/>
      <c r="E15" s="105"/>
      <c r="F15" s="106"/>
      <c r="G15" s="107"/>
      <c r="H15" s="105"/>
      <c r="I15" s="108"/>
      <c r="J15" s="108"/>
      <c r="K15" s="105"/>
    </row>
    <row r="16" spans="1:11" x14ac:dyDescent="0.2">
      <c r="A16" s="103"/>
      <c r="B16" s="105"/>
      <c r="C16" s="105"/>
      <c r="D16" s="105"/>
      <c r="E16" s="105"/>
      <c r="F16" s="106"/>
      <c r="G16" s="107"/>
      <c r="H16" s="105"/>
      <c r="I16" s="108"/>
      <c r="J16" s="108"/>
      <c r="K16" s="105"/>
    </row>
    <row r="17" spans="1:11" x14ac:dyDescent="0.2">
      <c r="A17" s="103"/>
      <c r="B17" s="105"/>
      <c r="C17" s="105"/>
      <c r="D17" s="105"/>
      <c r="E17" s="105"/>
      <c r="F17" s="106"/>
      <c r="G17" s="107"/>
      <c r="H17" s="105"/>
      <c r="I17" s="108"/>
      <c r="J17" s="108"/>
      <c r="K17" s="105"/>
    </row>
    <row r="18" spans="1:11" x14ac:dyDescent="0.2">
      <c r="A18" s="103"/>
      <c r="B18" s="105"/>
      <c r="C18" s="105"/>
      <c r="D18" s="105"/>
      <c r="E18" s="105"/>
      <c r="F18" s="106"/>
      <c r="G18" s="107"/>
      <c r="H18" s="105"/>
      <c r="I18" s="108"/>
      <c r="J18" s="108"/>
      <c r="K18" s="105"/>
    </row>
    <row r="19" spans="1:11" x14ac:dyDescent="0.2">
      <c r="A19" s="103"/>
      <c r="B19" s="105"/>
      <c r="C19" s="105"/>
      <c r="D19" s="105"/>
      <c r="E19" s="105"/>
      <c r="F19" s="106"/>
      <c r="G19" s="107"/>
      <c r="H19" s="105"/>
      <c r="I19" s="108"/>
      <c r="J19" s="108"/>
      <c r="K19" s="105"/>
    </row>
    <row r="20" spans="1:11" x14ac:dyDescent="0.2">
      <c r="A20" s="103"/>
      <c r="B20" s="105"/>
      <c r="C20" s="105"/>
      <c r="D20" s="105"/>
      <c r="E20" s="105"/>
      <c r="F20" s="106"/>
      <c r="G20" s="107"/>
      <c r="H20" s="105"/>
      <c r="I20" s="108"/>
      <c r="J20" s="108"/>
      <c r="K20" s="105"/>
    </row>
    <row r="21" spans="1:11" x14ac:dyDescent="0.2">
      <c r="A21" s="103"/>
      <c r="B21" s="105"/>
      <c r="C21" s="105"/>
      <c r="D21" s="105"/>
      <c r="E21" s="105"/>
      <c r="F21" s="106"/>
      <c r="G21" s="107"/>
      <c r="H21" s="105"/>
      <c r="I21" s="108"/>
      <c r="J21" s="108"/>
      <c r="K21" s="105"/>
    </row>
    <row r="22" spans="1:11" x14ac:dyDescent="0.2">
      <c r="A22" s="103"/>
      <c r="B22" s="105"/>
      <c r="C22" s="105"/>
      <c r="D22" s="105"/>
      <c r="E22" s="105"/>
      <c r="F22" s="106"/>
      <c r="G22" s="107"/>
      <c r="H22" s="105"/>
      <c r="I22" s="108"/>
      <c r="J22" s="108"/>
      <c r="K22" s="105"/>
    </row>
    <row r="23" spans="1:11" x14ac:dyDescent="0.2">
      <c r="A23" s="103"/>
      <c r="B23" s="105"/>
      <c r="C23" s="105"/>
      <c r="D23" s="105"/>
      <c r="E23" s="105"/>
      <c r="F23" s="106"/>
      <c r="G23" s="107"/>
      <c r="H23" s="105"/>
      <c r="I23" s="108"/>
      <c r="J23" s="108"/>
      <c r="K23" s="105"/>
    </row>
    <row r="24" spans="1:11" x14ac:dyDescent="0.2">
      <c r="A24" s="103"/>
      <c r="B24" s="105"/>
      <c r="C24" s="105"/>
      <c r="D24" s="105"/>
      <c r="E24" s="105"/>
      <c r="F24" s="106"/>
      <c r="G24" s="107"/>
      <c r="H24" s="105"/>
      <c r="I24" s="108"/>
      <c r="J24" s="108"/>
      <c r="K24" s="105"/>
    </row>
    <row r="25" spans="1:11" x14ac:dyDescent="0.2">
      <c r="A25" s="103"/>
      <c r="B25" s="105"/>
      <c r="C25" s="105"/>
      <c r="D25" s="105"/>
      <c r="E25" s="105"/>
      <c r="F25" s="106"/>
      <c r="G25" s="107"/>
      <c r="H25" s="105"/>
      <c r="I25" s="108"/>
      <c r="J25" s="108"/>
      <c r="K25" s="105"/>
    </row>
    <row r="26" spans="1:11" x14ac:dyDescent="0.2">
      <c r="A26" s="103"/>
      <c r="B26" s="105"/>
      <c r="C26" s="105"/>
      <c r="D26" s="105"/>
      <c r="E26" s="105"/>
      <c r="F26" s="106"/>
      <c r="G26" s="107"/>
      <c r="H26" s="105"/>
      <c r="I26" s="108"/>
      <c r="J26" s="108"/>
      <c r="K26" s="105"/>
    </row>
    <row r="27" spans="1:11" x14ac:dyDescent="0.2">
      <c r="A27" s="103"/>
      <c r="B27" s="105"/>
      <c r="C27" s="105"/>
      <c r="D27" s="105"/>
      <c r="E27" s="105"/>
      <c r="F27" s="106"/>
      <c r="G27" s="107"/>
      <c r="H27" s="105"/>
      <c r="I27" s="108"/>
      <c r="J27" s="108"/>
      <c r="K27" s="105"/>
    </row>
  </sheetData>
  <autoFilter ref="A3:K3"/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05"/>
  <sheetViews>
    <sheetView topLeftCell="A82" workbookViewId="0">
      <selection activeCell="C28" sqref="C28"/>
    </sheetView>
  </sheetViews>
  <sheetFormatPr defaultRowHeight="15" x14ac:dyDescent="0.25"/>
  <cols>
    <col min="1" max="1" width="8" bestFit="1" customWidth="1"/>
    <col min="2" max="2" width="29.7109375" bestFit="1" customWidth="1"/>
    <col min="3" max="3" width="11.28515625" bestFit="1" customWidth="1"/>
    <col min="4" max="4" width="2" bestFit="1" customWidth="1"/>
    <col min="6" max="6" width="9.7109375" style="269" bestFit="1" customWidth="1"/>
  </cols>
  <sheetData>
    <row r="1" spans="1:6" x14ac:dyDescent="0.25">
      <c r="A1" s="469">
        <v>1080933</v>
      </c>
      <c r="B1" s="469" t="s">
        <v>2138</v>
      </c>
      <c r="C1" s="469" t="s">
        <v>2139</v>
      </c>
      <c r="D1" s="469" t="s">
        <v>2140</v>
      </c>
    </row>
    <row r="2" spans="1:6" x14ac:dyDescent="0.25">
      <c r="A2" s="469">
        <v>1081019</v>
      </c>
      <c r="B2" s="469" t="s">
        <v>2141</v>
      </c>
      <c r="C2" s="469" t="s">
        <v>2142</v>
      </c>
      <c r="D2" s="469" t="s">
        <v>2140</v>
      </c>
      <c r="F2" s="269" t="e">
        <f>VLOOKUP(A2,Main!C:M,11,FALSE)</f>
        <v>#N/A</v>
      </c>
    </row>
    <row r="3" spans="1:6" x14ac:dyDescent="0.25">
      <c r="A3" s="469">
        <v>1081044</v>
      </c>
      <c r="B3" s="469" t="s">
        <v>2143</v>
      </c>
      <c r="C3" s="469" t="s">
        <v>471</v>
      </c>
      <c r="D3" s="469" t="s">
        <v>2140</v>
      </c>
      <c r="F3" s="269" t="e">
        <f>VLOOKUP(A3,Main!C:M,11,FALSE)</f>
        <v>#N/A</v>
      </c>
    </row>
    <row r="4" spans="1:6" x14ac:dyDescent="0.25">
      <c r="A4" s="469">
        <v>1081121</v>
      </c>
      <c r="B4" s="469" t="s">
        <v>2144</v>
      </c>
      <c r="C4" s="469" t="s">
        <v>2142</v>
      </c>
      <c r="D4" s="469" t="s">
        <v>2140</v>
      </c>
      <c r="F4" s="269" t="e">
        <f>VLOOKUP(A4,Main!C:M,11,FALSE)</f>
        <v>#N/A</v>
      </c>
    </row>
    <row r="5" spans="1:6" x14ac:dyDescent="0.25">
      <c r="A5" s="469">
        <v>1081247</v>
      </c>
      <c r="B5" s="469" t="s">
        <v>2145</v>
      </c>
      <c r="C5" s="469" t="s">
        <v>2142</v>
      </c>
      <c r="D5" s="469" t="s">
        <v>2140</v>
      </c>
      <c r="F5" s="269" t="e">
        <f>VLOOKUP(A5,Main!C:M,11,FALSE)</f>
        <v>#N/A</v>
      </c>
    </row>
    <row r="6" spans="1:6" x14ac:dyDescent="0.25">
      <c r="A6" s="469">
        <v>1081315</v>
      </c>
      <c r="B6" s="469" t="s">
        <v>2146</v>
      </c>
      <c r="C6" s="469" t="s">
        <v>2142</v>
      </c>
      <c r="D6" s="469" t="s">
        <v>2140</v>
      </c>
      <c r="F6" s="269" t="e">
        <f>VLOOKUP(A6,Main!C:M,11,FALSE)</f>
        <v>#N/A</v>
      </c>
    </row>
    <row r="7" spans="1:6" x14ac:dyDescent="0.25">
      <c r="A7" s="469">
        <v>1081353</v>
      </c>
      <c r="B7" s="469" t="s">
        <v>2147</v>
      </c>
      <c r="C7" s="469" t="s">
        <v>2148</v>
      </c>
      <c r="D7" s="469" t="s">
        <v>2140</v>
      </c>
      <c r="F7" s="269" t="e">
        <f>VLOOKUP(A7,Main!C:M,11,FALSE)</f>
        <v>#N/A</v>
      </c>
    </row>
    <row r="8" spans="1:6" x14ac:dyDescent="0.25">
      <c r="A8" s="469">
        <v>1081392</v>
      </c>
      <c r="B8" s="469" t="s">
        <v>2150</v>
      </c>
      <c r="C8" s="469" t="s">
        <v>2139</v>
      </c>
      <c r="D8" s="469" t="s">
        <v>2140</v>
      </c>
      <c r="F8" s="269" t="e">
        <f>VLOOKUP(A8,Main!C:M,11,FALSE)</f>
        <v>#N/A</v>
      </c>
    </row>
    <row r="9" spans="1:6" x14ac:dyDescent="0.25">
      <c r="A9" s="469">
        <v>1081403</v>
      </c>
      <c r="B9" s="469" t="s">
        <v>2149</v>
      </c>
      <c r="C9" s="469" t="s">
        <v>2142</v>
      </c>
      <c r="D9" s="469" t="s">
        <v>2140</v>
      </c>
      <c r="F9" s="269" t="e">
        <f>VLOOKUP(A9,Main!C:M,11,FALSE)</f>
        <v>#N/A</v>
      </c>
    </row>
    <row r="10" spans="1:6" x14ac:dyDescent="0.25">
      <c r="A10" s="469">
        <v>1081421</v>
      </c>
      <c r="B10" s="469" t="s">
        <v>2151</v>
      </c>
      <c r="C10" s="469" t="s">
        <v>2152</v>
      </c>
      <c r="D10" s="469" t="s">
        <v>2140</v>
      </c>
      <c r="F10" s="269" t="e">
        <f>VLOOKUP(A10,Main!C:M,11,FALSE)</f>
        <v>#N/A</v>
      </c>
    </row>
    <row r="11" spans="1:6" x14ac:dyDescent="0.25">
      <c r="A11" s="469">
        <v>1081595</v>
      </c>
      <c r="B11" s="469" t="s">
        <v>2153</v>
      </c>
      <c r="C11" s="469" t="s">
        <v>2154</v>
      </c>
      <c r="D11" s="469" t="s">
        <v>2140</v>
      </c>
      <c r="F11" s="269" t="e">
        <f>VLOOKUP(A11,Main!C:M,11,FALSE)</f>
        <v>#N/A</v>
      </c>
    </row>
    <row r="12" spans="1:6" x14ac:dyDescent="0.25">
      <c r="A12" s="469">
        <v>1081618</v>
      </c>
      <c r="B12" s="469" t="s">
        <v>2155</v>
      </c>
      <c r="C12" s="469" t="s">
        <v>2156</v>
      </c>
      <c r="D12" s="469" t="s">
        <v>2140</v>
      </c>
      <c r="F12" s="269" t="e">
        <f>VLOOKUP(A12,Main!C:M,11,FALSE)</f>
        <v>#N/A</v>
      </c>
    </row>
    <row r="13" spans="1:6" x14ac:dyDescent="0.25">
      <c r="A13" s="469">
        <v>1081661</v>
      </c>
      <c r="B13" s="469" t="s">
        <v>2157</v>
      </c>
      <c r="C13" s="469" t="s">
        <v>2142</v>
      </c>
      <c r="D13" s="469" t="s">
        <v>2140</v>
      </c>
      <c r="F13" s="269" t="e">
        <f>VLOOKUP(A13,Main!C:M,11,FALSE)</f>
        <v>#N/A</v>
      </c>
    </row>
    <row r="14" spans="1:6" x14ac:dyDescent="0.25">
      <c r="A14" s="469">
        <v>1081748</v>
      </c>
      <c r="B14" s="469" t="s">
        <v>2158</v>
      </c>
      <c r="C14" s="469" t="s">
        <v>2142</v>
      </c>
      <c r="D14" s="469" t="s">
        <v>2140</v>
      </c>
      <c r="F14" s="269" t="e">
        <f>VLOOKUP(A14,Main!C:M,11,FALSE)</f>
        <v>#N/A</v>
      </c>
    </row>
    <row r="15" spans="1:6" x14ac:dyDescent="0.25">
      <c r="A15" s="469">
        <v>1081749</v>
      </c>
      <c r="B15" s="469" t="s">
        <v>2159</v>
      </c>
      <c r="C15" s="469" t="s">
        <v>2154</v>
      </c>
      <c r="D15" s="469" t="s">
        <v>2140</v>
      </c>
      <c r="F15" s="269" t="e">
        <f>VLOOKUP(A15,Main!C:M,11,FALSE)</f>
        <v>#N/A</v>
      </c>
    </row>
    <row r="16" spans="1:6" x14ac:dyDescent="0.25">
      <c r="A16" s="469">
        <v>1081850</v>
      </c>
      <c r="B16" s="469" t="s">
        <v>2160</v>
      </c>
      <c r="C16" s="469" t="s">
        <v>2154</v>
      </c>
      <c r="D16" s="469" t="s">
        <v>2140</v>
      </c>
      <c r="F16" s="269" t="e">
        <f>VLOOKUP(A16,Main!C:M,11,FALSE)</f>
        <v>#N/A</v>
      </c>
    </row>
    <row r="17" spans="1:6" x14ac:dyDescent="0.25">
      <c r="A17" s="476">
        <v>1081887</v>
      </c>
      <c r="B17" s="476" t="s">
        <v>2169</v>
      </c>
      <c r="C17" s="476" t="s">
        <v>2170</v>
      </c>
      <c r="D17" s="476" t="s">
        <v>2140</v>
      </c>
      <c r="E17" s="476" t="s">
        <v>298</v>
      </c>
      <c r="F17" s="269" t="e">
        <f>VLOOKUP(A17,Main!C:M,11,FALSE)</f>
        <v>#N/A</v>
      </c>
    </row>
    <row r="18" spans="1:6" x14ac:dyDescent="0.25">
      <c r="A18" s="469">
        <v>1081919</v>
      </c>
      <c r="B18" s="469" t="s">
        <v>2162</v>
      </c>
      <c r="C18" s="469" t="s">
        <v>2142</v>
      </c>
      <c r="D18" s="469" t="s">
        <v>2140</v>
      </c>
      <c r="F18" s="269" t="e">
        <f>VLOOKUP(A18,Main!C:M,11,FALSE)</f>
        <v>#N/A</v>
      </c>
    </row>
    <row r="19" spans="1:6" x14ac:dyDescent="0.25">
      <c r="A19" s="469">
        <v>1081930</v>
      </c>
      <c r="B19" s="469" t="s">
        <v>2161</v>
      </c>
      <c r="C19" s="469" t="s">
        <v>2142</v>
      </c>
      <c r="D19" s="469" t="s">
        <v>2140</v>
      </c>
      <c r="F19" s="269" t="e">
        <f>VLOOKUP(A19,Main!C:M,11,FALSE)</f>
        <v>#N/A</v>
      </c>
    </row>
    <row r="20" spans="1:6" x14ac:dyDescent="0.25">
      <c r="A20" s="469">
        <v>1081961</v>
      </c>
      <c r="B20" s="469" t="s">
        <v>2171</v>
      </c>
      <c r="C20" s="469" t="s">
        <v>2164</v>
      </c>
      <c r="D20" s="469" t="s">
        <v>2140</v>
      </c>
      <c r="F20" s="269" t="e">
        <f>VLOOKUP(A20,Main!C:M,11,FALSE)</f>
        <v>#N/A</v>
      </c>
    </row>
    <row r="21" spans="1:6" x14ac:dyDescent="0.25">
      <c r="A21" s="469">
        <v>1081962</v>
      </c>
      <c r="B21" s="469" t="s">
        <v>2163</v>
      </c>
      <c r="C21" s="469" t="s">
        <v>2164</v>
      </c>
      <c r="D21" s="469" t="s">
        <v>2140</v>
      </c>
      <c r="F21" s="269" t="e">
        <f>VLOOKUP(A21,Main!C:M,11,FALSE)</f>
        <v>#N/A</v>
      </c>
    </row>
    <row r="22" spans="1:6" x14ac:dyDescent="0.25">
      <c r="A22" s="469">
        <v>1081963</v>
      </c>
      <c r="B22" s="469" t="s">
        <v>2166</v>
      </c>
      <c r="C22" s="469" t="s">
        <v>2164</v>
      </c>
      <c r="D22" s="469" t="s">
        <v>2140</v>
      </c>
      <c r="F22" s="269" t="e">
        <f>VLOOKUP(A22,Main!C:M,11,FALSE)</f>
        <v>#N/A</v>
      </c>
    </row>
    <row r="23" spans="1:6" x14ac:dyDescent="0.25">
      <c r="A23" s="469">
        <v>1081964</v>
      </c>
      <c r="B23" s="469" t="s">
        <v>2167</v>
      </c>
      <c r="C23" s="469" t="s">
        <v>2164</v>
      </c>
      <c r="D23" s="469" t="s">
        <v>2140</v>
      </c>
      <c r="F23" s="269" t="e">
        <f>VLOOKUP(A23,Main!C:M,11,FALSE)</f>
        <v>#N/A</v>
      </c>
    </row>
    <row r="24" spans="1:6" x14ac:dyDescent="0.25">
      <c r="A24" s="469">
        <v>1081966</v>
      </c>
      <c r="B24" s="469" t="s">
        <v>2168</v>
      </c>
      <c r="C24" s="469" t="s">
        <v>2164</v>
      </c>
      <c r="D24" s="469" t="s">
        <v>2140</v>
      </c>
      <c r="F24" s="269" t="e">
        <f>VLOOKUP(A24,Main!C:M,11,FALSE)</f>
        <v>#N/A</v>
      </c>
    </row>
    <row r="25" spans="1:6" x14ac:dyDescent="0.25">
      <c r="A25" s="469">
        <v>1081972</v>
      </c>
      <c r="B25" s="469" t="s">
        <v>2165</v>
      </c>
      <c r="C25" s="469" t="s">
        <v>2164</v>
      </c>
      <c r="D25" s="469" t="s">
        <v>2140</v>
      </c>
      <c r="F25" s="269" t="e">
        <f>VLOOKUP(A25,Main!C:M,11,FALSE)</f>
        <v>#N/A</v>
      </c>
    </row>
    <row r="26" spans="1:6" x14ac:dyDescent="0.25">
      <c r="A26" s="469">
        <v>1082056</v>
      </c>
      <c r="B26" s="469" t="s">
        <v>2172</v>
      </c>
      <c r="C26" s="469" t="s">
        <v>2154</v>
      </c>
      <c r="D26" s="469" t="s">
        <v>2140</v>
      </c>
      <c r="F26" s="269" t="e">
        <f>VLOOKUP(A26,Main!C:M,11,FALSE)</f>
        <v>#N/A</v>
      </c>
    </row>
    <row r="27" spans="1:6" x14ac:dyDescent="0.25">
      <c r="A27" s="470">
        <v>1082064</v>
      </c>
      <c r="B27" s="470" t="s">
        <v>2240</v>
      </c>
      <c r="C27" s="470" t="s">
        <v>2241</v>
      </c>
      <c r="D27" s="470" t="s">
        <v>2140</v>
      </c>
      <c r="E27" s="479"/>
      <c r="F27" s="269" t="e">
        <f>VLOOKUP(A27,Main!C:M,11,FALSE)</f>
        <v>#N/A</v>
      </c>
    </row>
    <row r="28" spans="1:6" x14ac:dyDescent="0.25">
      <c r="A28" s="469">
        <v>1082086</v>
      </c>
      <c r="B28" s="469" t="s">
        <v>2173</v>
      </c>
      <c r="C28" s="469" t="s">
        <v>2174</v>
      </c>
      <c r="D28" s="469" t="s">
        <v>2140</v>
      </c>
      <c r="F28" s="269" t="e">
        <f>VLOOKUP(A28,Main!C:M,11,FALSE)</f>
        <v>#N/A</v>
      </c>
    </row>
    <row r="29" spans="1:6" x14ac:dyDescent="0.25">
      <c r="A29" s="469">
        <v>1082089</v>
      </c>
      <c r="B29" s="469" t="s">
        <v>2175</v>
      </c>
      <c r="C29" s="469" t="s">
        <v>2142</v>
      </c>
      <c r="D29" s="469" t="s">
        <v>2140</v>
      </c>
      <c r="F29" s="269" t="e">
        <f>VLOOKUP(A29,Main!C:M,11,FALSE)</f>
        <v>#N/A</v>
      </c>
    </row>
    <row r="30" spans="1:6" x14ac:dyDescent="0.25">
      <c r="A30" s="469">
        <v>1082099</v>
      </c>
      <c r="B30" s="469" t="s">
        <v>2184</v>
      </c>
      <c r="C30" s="469" t="s">
        <v>2154</v>
      </c>
      <c r="D30" s="469" t="s">
        <v>2140</v>
      </c>
      <c r="F30" s="269" t="e">
        <f>VLOOKUP(A30,Main!C:M,11,FALSE)</f>
        <v>#N/A</v>
      </c>
    </row>
    <row r="31" spans="1:6" x14ac:dyDescent="0.25">
      <c r="A31" s="469">
        <v>1082123</v>
      </c>
      <c r="B31" s="469" t="s">
        <v>2187</v>
      </c>
      <c r="C31" s="469" t="s">
        <v>2154</v>
      </c>
      <c r="D31" s="469" t="s">
        <v>2140</v>
      </c>
      <c r="F31" s="269" t="e">
        <f>VLOOKUP(A31,Main!C:M,11,FALSE)</f>
        <v>#N/A</v>
      </c>
    </row>
    <row r="32" spans="1:6" x14ac:dyDescent="0.25">
      <c r="A32" s="469">
        <v>1082141</v>
      </c>
      <c r="B32" s="469" t="s">
        <v>2185</v>
      </c>
      <c r="C32" s="469" t="s">
        <v>2186</v>
      </c>
      <c r="D32" s="469" t="s">
        <v>2140</v>
      </c>
      <c r="F32" s="269" t="e">
        <f>VLOOKUP(A32,Main!C:M,11,FALSE)</f>
        <v>#N/A</v>
      </c>
    </row>
    <row r="33" spans="1:6" x14ac:dyDescent="0.25">
      <c r="A33" s="469">
        <v>1082160</v>
      </c>
      <c r="B33" s="469" t="s">
        <v>2190</v>
      </c>
      <c r="C33" s="469" t="s">
        <v>2154</v>
      </c>
      <c r="D33" s="469" t="s">
        <v>2140</v>
      </c>
      <c r="F33" s="269" t="e">
        <f>VLOOKUP(A33,Main!C:M,11,FALSE)</f>
        <v>#N/A</v>
      </c>
    </row>
    <row r="34" spans="1:6" x14ac:dyDescent="0.25">
      <c r="A34" s="469">
        <v>1082175</v>
      </c>
      <c r="B34" s="469" t="s">
        <v>2200</v>
      </c>
      <c r="C34" s="469" t="s">
        <v>2154</v>
      </c>
      <c r="D34" s="469" t="s">
        <v>2140</v>
      </c>
      <c r="F34" s="269" t="e">
        <f>VLOOKUP(A34,Main!C:M,11,FALSE)</f>
        <v>#N/A</v>
      </c>
    </row>
    <row r="35" spans="1:6" x14ac:dyDescent="0.25">
      <c r="A35" s="469">
        <v>1082182</v>
      </c>
      <c r="B35" s="469" t="s">
        <v>2191</v>
      </c>
      <c r="C35" s="469" t="s">
        <v>2192</v>
      </c>
      <c r="D35" s="469" t="s">
        <v>2140</v>
      </c>
      <c r="F35" s="269" t="e">
        <f>VLOOKUP(A35,Main!C:M,11,FALSE)</f>
        <v>#N/A</v>
      </c>
    </row>
    <row r="36" spans="1:6" x14ac:dyDescent="0.25">
      <c r="A36" s="469">
        <v>1082185</v>
      </c>
      <c r="B36" s="469" t="s">
        <v>2193</v>
      </c>
      <c r="C36" s="469" t="s">
        <v>2142</v>
      </c>
      <c r="D36" s="469" t="s">
        <v>2140</v>
      </c>
      <c r="F36" s="269" t="e">
        <f>VLOOKUP(A36,Main!C:M,11,FALSE)</f>
        <v>#N/A</v>
      </c>
    </row>
    <row r="37" spans="1:6" x14ac:dyDescent="0.25">
      <c r="A37" s="469">
        <v>1082196</v>
      </c>
      <c r="B37" s="469" t="s">
        <v>2201</v>
      </c>
      <c r="C37" s="469" t="s">
        <v>2202</v>
      </c>
      <c r="D37" s="469" t="s">
        <v>2140</v>
      </c>
      <c r="F37" s="269" t="e">
        <f>VLOOKUP(A37,Main!C:M,11,FALSE)</f>
        <v>#N/A</v>
      </c>
    </row>
    <row r="38" spans="1:6" x14ac:dyDescent="0.25">
      <c r="A38" s="475">
        <v>1082199</v>
      </c>
      <c r="B38" s="475" t="s">
        <v>2199</v>
      </c>
      <c r="C38" s="475" t="s">
        <v>2196</v>
      </c>
      <c r="D38" s="475" t="s">
        <v>2140</v>
      </c>
      <c r="E38" s="475" t="s">
        <v>302</v>
      </c>
      <c r="F38" s="269" t="e">
        <f>VLOOKUP(A38,Main!C:M,11,FALSE)</f>
        <v>#N/A</v>
      </c>
    </row>
    <row r="39" spans="1:6" x14ac:dyDescent="0.25">
      <c r="A39" s="475">
        <v>1082200</v>
      </c>
      <c r="B39" s="475" t="s">
        <v>2195</v>
      </c>
      <c r="C39" s="475" t="s">
        <v>2196</v>
      </c>
      <c r="D39" s="475" t="s">
        <v>2140</v>
      </c>
      <c r="E39" s="475" t="s">
        <v>302</v>
      </c>
      <c r="F39" s="269" t="e">
        <f>VLOOKUP(A39,Main!C:M,11,FALSE)</f>
        <v>#N/A</v>
      </c>
    </row>
    <row r="40" spans="1:6" x14ac:dyDescent="0.25">
      <c r="A40" s="469">
        <v>1082205</v>
      </c>
      <c r="B40" s="469" t="s">
        <v>2194</v>
      </c>
      <c r="C40" s="469" t="s">
        <v>2142</v>
      </c>
      <c r="D40" s="469" t="s">
        <v>2140</v>
      </c>
      <c r="F40" s="269" t="e">
        <f>VLOOKUP(A40,Main!C:M,11,FALSE)</f>
        <v>#N/A</v>
      </c>
    </row>
    <row r="41" spans="1:6" x14ac:dyDescent="0.25">
      <c r="A41" s="469">
        <v>1082212</v>
      </c>
      <c r="B41" s="469" t="s">
        <v>2203</v>
      </c>
      <c r="C41" s="469" t="s">
        <v>2198</v>
      </c>
      <c r="D41" s="469" t="s">
        <v>2140</v>
      </c>
      <c r="F41" s="269" t="e">
        <f>VLOOKUP(A41,Main!C:M,11,FALSE)</f>
        <v>#N/A</v>
      </c>
    </row>
    <row r="42" spans="1:6" x14ac:dyDescent="0.25">
      <c r="A42" s="469">
        <v>1082215</v>
      </c>
      <c r="B42" s="469" t="s">
        <v>2197</v>
      </c>
      <c r="C42" s="469" t="s">
        <v>2198</v>
      </c>
      <c r="D42" s="469" t="s">
        <v>2140</v>
      </c>
      <c r="F42" s="269" t="e">
        <f>VLOOKUP(A42,Main!C:M,11,FALSE)</f>
        <v>#N/A</v>
      </c>
    </row>
    <row r="43" spans="1:6" x14ac:dyDescent="0.25">
      <c r="A43" s="469">
        <v>1082219</v>
      </c>
      <c r="B43" s="469" t="s">
        <v>2204</v>
      </c>
      <c r="C43" s="469" t="s">
        <v>2164</v>
      </c>
      <c r="D43" s="469" t="s">
        <v>2140</v>
      </c>
      <c r="F43" s="269">
        <f>VLOOKUP(A43,Main!C:M,11,FALSE)</f>
        <v>0</v>
      </c>
    </row>
    <row r="44" spans="1:6" x14ac:dyDescent="0.25">
      <c r="A44" s="475">
        <v>1082275</v>
      </c>
      <c r="B44" s="475" t="s">
        <v>2205</v>
      </c>
      <c r="C44" s="475" t="s">
        <v>2142</v>
      </c>
      <c r="D44" s="469" t="s">
        <v>2140</v>
      </c>
      <c r="F44" s="269">
        <f>VLOOKUP(A44,Main!C:M,11,FALSE)</f>
        <v>42117</v>
      </c>
    </row>
    <row r="45" spans="1:6" x14ac:dyDescent="0.25">
      <c r="A45" s="475">
        <v>1082301</v>
      </c>
      <c r="B45" s="475" t="s">
        <v>2206</v>
      </c>
      <c r="C45" s="475" t="s">
        <v>2142</v>
      </c>
      <c r="D45" s="469" t="s">
        <v>2140</v>
      </c>
      <c r="F45" s="269">
        <f>VLOOKUP(A45,Main!C:M,11,FALSE)</f>
        <v>42117</v>
      </c>
    </row>
    <row r="46" spans="1:6" x14ac:dyDescent="0.25">
      <c r="A46" s="470">
        <v>1082310</v>
      </c>
      <c r="B46" s="470" t="s">
        <v>2250</v>
      </c>
      <c r="C46" s="470" t="s">
        <v>2251</v>
      </c>
      <c r="D46" s="470" t="s">
        <v>2140</v>
      </c>
      <c r="F46" s="269">
        <f>VLOOKUP(A46,Main!C:M,11,FALSE)</f>
        <v>42130</v>
      </c>
    </row>
    <row r="47" spans="1:6" x14ac:dyDescent="0.25">
      <c r="A47" s="475">
        <v>1082317</v>
      </c>
      <c r="B47" s="475" t="s">
        <v>2238</v>
      </c>
      <c r="C47" s="475" t="s">
        <v>2239</v>
      </c>
      <c r="D47" s="475" t="s">
        <v>2140</v>
      </c>
      <c r="F47" s="269">
        <f>VLOOKUP(A47,Main!C:M,11,FALSE)</f>
        <v>42117</v>
      </c>
    </row>
    <row r="48" spans="1:6" x14ac:dyDescent="0.25">
      <c r="A48" s="475">
        <v>1082319</v>
      </c>
      <c r="B48" s="475" t="s">
        <v>2242</v>
      </c>
      <c r="C48" s="475" t="s">
        <v>2239</v>
      </c>
      <c r="D48" s="475" t="s">
        <v>2140</v>
      </c>
      <c r="F48" s="269">
        <f>VLOOKUP(A48,Main!C:M,11,FALSE)</f>
        <v>42117</v>
      </c>
    </row>
    <row r="49" spans="1:6" x14ac:dyDescent="0.25">
      <c r="A49" s="475">
        <v>1082322</v>
      </c>
      <c r="B49" s="475" t="s">
        <v>2249</v>
      </c>
      <c r="C49" s="475" t="s">
        <v>2239</v>
      </c>
      <c r="D49" s="475" t="s">
        <v>2140</v>
      </c>
      <c r="E49" s="475" t="s">
        <v>302</v>
      </c>
      <c r="F49" s="269">
        <f>VLOOKUP(A49,Main!C:M,11,FALSE)</f>
        <v>42102</v>
      </c>
    </row>
    <row r="50" spans="1:6" x14ac:dyDescent="0.25">
      <c r="A50" s="475">
        <v>1082326</v>
      </c>
      <c r="B50" s="475" t="s">
        <v>2243</v>
      </c>
      <c r="C50" s="475" t="s">
        <v>2244</v>
      </c>
      <c r="D50" s="475" t="s">
        <v>2140</v>
      </c>
      <c r="F50" s="269">
        <f>VLOOKUP(A50,Main!C:M,11,FALSE)</f>
        <v>42117</v>
      </c>
    </row>
    <row r="51" spans="1:6" x14ac:dyDescent="0.25">
      <c r="A51" s="475">
        <v>1082328</v>
      </c>
      <c r="B51" s="475" t="s">
        <v>2207</v>
      </c>
      <c r="C51" s="475" t="s">
        <v>2156</v>
      </c>
      <c r="D51" s="475" t="s">
        <v>2140</v>
      </c>
      <c r="E51" s="475" t="s">
        <v>302</v>
      </c>
      <c r="F51" s="269">
        <f>VLOOKUP(A51,Main!C:M,11,FALSE)</f>
        <v>42102</v>
      </c>
    </row>
    <row r="52" spans="1:6" x14ac:dyDescent="0.25">
      <c r="A52" s="475">
        <v>1082329</v>
      </c>
      <c r="B52" s="475" t="s">
        <v>2208</v>
      </c>
      <c r="C52" s="475" t="s">
        <v>2156</v>
      </c>
      <c r="D52" s="475" t="s">
        <v>2140</v>
      </c>
      <c r="E52" s="475" t="s">
        <v>302</v>
      </c>
      <c r="F52" s="269">
        <f>VLOOKUP(A52,Main!C:M,11,FALSE)</f>
        <v>42076</v>
      </c>
    </row>
    <row r="53" spans="1:6" x14ac:dyDescent="0.25">
      <c r="A53" s="475">
        <v>1082332</v>
      </c>
      <c r="B53" s="475" t="s">
        <v>2209</v>
      </c>
      <c r="C53" s="475" t="s">
        <v>2156</v>
      </c>
      <c r="D53" s="475" t="s">
        <v>2140</v>
      </c>
      <c r="E53" s="475" t="s">
        <v>302</v>
      </c>
      <c r="F53" s="269">
        <f>VLOOKUP(A53,Main!C:M,11,FALSE)</f>
        <v>42102</v>
      </c>
    </row>
    <row r="54" spans="1:6" x14ac:dyDescent="0.25">
      <c r="A54" s="475">
        <v>1082333</v>
      </c>
      <c r="B54" s="475" t="s">
        <v>2248</v>
      </c>
      <c r="C54" s="475" t="s">
        <v>2156</v>
      </c>
      <c r="D54" s="475" t="s">
        <v>2140</v>
      </c>
      <c r="E54" s="475" t="s">
        <v>302</v>
      </c>
      <c r="F54" s="269">
        <f>VLOOKUP(A54,Main!C:M,11,FALSE)</f>
        <v>42102</v>
      </c>
    </row>
    <row r="55" spans="1:6" x14ac:dyDescent="0.25">
      <c r="A55" s="476">
        <v>1082340</v>
      </c>
      <c r="B55" s="476" t="s">
        <v>2210</v>
      </c>
      <c r="C55" s="476" t="s">
        <v>2142</v>
      </c>
      <c r="D55" s="476" t="s">
        <v>2140</v>
      </c>
      <c r="E55" s="476" t="s">
        <v>298</v>
      </c>
      <c r="F55" s="269">
        <f>VLOOKUP(A55,Main!C:M,11,FALSE)</f>
        <v>0</v>
      </c>
    </row>
    <row r="56" spans="1:6" x14ac:dyDescent="0.25">
      <c r="A56" s="475">
        <v>1082342</v>
      </c>
      <c r="B56" s="475" t="s">
        <v>2211</v>
      </c>
      <c r="C56" s="475" t="s">
        <v>2142</v>
      </c>
      <c r="D56" s="475" t="s">
        <v>2140</v>
      </c>
      <c r="F56" s="269">
        <f>VLOOKUP(A56,Main!C:M,11,FALSE)</f>
        <v>42117</v>
      </c>
    </row>
    <row r="57" spans="1:6" x14ac:dyDescent="0.25">
      <c r="A57" s="470">
        <v>1082343</v>
      </c>
      <c r="B57" s="470" t="s">
        <v>2236</v>
      </c>
      <c r="C57" s="470" t="s">
        <v>2237</v>
      </c>
      <c r="D57" s="470" t="s">
        <v>2140</v>
      </c>
      <c r="F57" s="269">
        <f>VLOOKUP(A57,Main!C:M,11,FALSE)</f>
        <v>42117</v>
      </c>
    </row>
    <row r="58" spans="1:6" x14ac:dyDescent="0.25">
      <c r="A58" s="478">
        <v>1082347</v>
      </c>
      <c r="B58" s="478" t="s">
        <v>2245</v>
      </c>
      <c r="C58" s="478" t="s">
        <v>2246</v>
      </c>
      <c r="D58" s="478" t="s">
        <v>2140</v>
      </c>
      <c r="E58" s="478" t="s">
        <v>298</v>
      </c>
      <c r="F58" s="269">
        <f>VLOOKUP(A58,Main!C:M,11,FALSE)</f>
        <v>0</v>
      </c>
    </row>
    <row r="59" spans="1:6" x14ac:dyDescent="0.25">
      <c r="A59" s="475">
        <v>1082349</v>
      </c>
      <c r="B59" s="475" t="s">
        <v>2252</v>
      </c>
      <c r="C59" s="475" t="s">
        <v>2246</v>
      </c>
      <c r="D59" s="475" t="s">
        <v>2140</v>
      </c>
      <c r="E59" s="475" t="s">
        <v>302</v>
      </c>
      <c r="F59" s="269">
        <f>VLOOKUP(A59,Main!C:M,11,FALSE)</f>
        <v>42102</v>
      </c>
    </row>
    <row r="60" spans="1:6" x14ac:dyDescent="0.25">
      <c r="A60" s="469">
        <v>1082350</v>
      </c>
      <c r="B60" s="469" t="s">
        <v>2216</v>
      </c>
      <c r="C60" s="469" t="s">
        <v>2142</v>
      </c>
      <c r="D60" s="469" t="s">
        <v>2140</v>
      </c>
      <c r="F60" s="269">
        <f>VLOOKUP(A60,Main!C:M,11,FALSE)</f>
        <v>0</v>
      </c>
    </row>
    <row r="61" spans="1:6" x14ac:dyDescent="0.25">
      <c r="A61" s="469">
        <v>1082351</v>
      </c>
      <c r="B61" s="469" t="s">
        <v>2217</v>
      </c>
      <c r="C61" s="469" t="s">
        <v>2142</v>
      </c>
      <c r="D61" s="469" t="s">
        <v>2140</v>
      </c>
      <c r="F61" s="269">
        <f>VLOOKUP(A61,Main!C:M,11,FALSE)</f>
        <v>0</v>
      </c>
    </row>
    <row r="62" spans="1:6" x14ac:dyDescent="0.25">
      <c r="A62" s="470">
        <v>1082352</v>
      </c>
      <c r="B62" s="470" t="s">
        <v>2247</v>
      </c>
      <c r="C62" s="470" t="s">
        <v>2142</v>
      </c>
      <c r="D62" s="470" t="s">
        <v>2140</v>
      </c>
      <c r="F62" s="269">
        <f>VLOOKUP(A62,Main!C:M,11,FALSE)</f>
        <v>0</v>
      </c>
    </row>
    <row r="63" spans="1:6" x14ac:dyDescent="0.25">
      <c r="A63" s="469">
        <v>1082353</v>
      </c>
      <c r="B63" s="469" t="s">
        <v>2218</v>
      </c>
      <c r="C63" s="469" t="s">
        <v>2142</v>
      </c>
      <c r="D63" s="469" t="s">
        <v>2140</v>
      </c>
      <c r="F63" s="269">
        <f>VLOOKUP(A63,Main!C:M,11,FALSE)</f>
        <v>0</v>
      </c>
    </row>
    <row r="64" spans="1:6" x14ac:dyDescent="0.25">
      <c r="A64" s="476">
        <v>1082354</v>
      </c>
      <c r="B64" s="476" t="s">
        <v>2219</v>
      </c>
      <c r="C64" s="476" t="s">
        <v>2142</v>
      </c>
      <c r="D64" s="476" t="s">
        <v>2140</v>
      </c>
      <c r="E64" s="476" t="s">
        <v>298</v>
      </c>
      <c r="F64" s="269">
        <f>VLOOKUP(A64,Main!C:M,11,FALSE)</f>
        <v>0</v>
      </c>
    </row>
    <row r="65" spans="1:6" x14ac:dyDescent="0.25">
      <c r="A65" s="475">
        <v>1082355</v>
      </c>
      <c r="B65" s="475" t="s">
        <v>2220</v>
      </c>
      <c r="C65" s="475" t="s">
        <v>2142</v>
      </c>
      <c r="D65" s="475" t="s">
        <v>2140</v>
      </c>
      <c r="F65" s="269">
        <f>VLOOKUP(A65,Main!C:M,11,FALSE)</f>
        <v>42117</v>
      </c>
    </row>
    <row r="66" spans="1:6" x14ac:dyDescent="0.25">
      <c r="A66" s="477">
        <v>1082356</v>
      </c>
      <c r="B66" s="477" t="s">
        <v>2221</v>
      </c>
      <c r="C66" s="477" t="s">
        <v>2142</v>
      </c>
      <c r="D66" s="477" t="s">
        <v>2140</v>
      </c>
      <c r="E66" s="477" t="s">
        <v>298</v>
      </c>
      <c r="F66" s="269">
        <f>VLOOKUP(A66,Main!C:M,11,FALSE)</f>
        <v>42102</v>
      </c>
    </row>
    <row r="67" spans="1:6" x14ac:dyDescent="0.25">
      <c r="A67" s="475">
        <v>1082357</v>
      </c>
      <c r="B67" s="475" t="s">
        <v>2222</v>
      </c>
      <c r="C67" s="475" t="s">
        <v>2142</v>
      </c>
      <c r="D67" s="475" t="s">
        <v>2140</v>
      </c>
      <c r="E67" s="475" t="s">
        <v>302</v>
      </c>
      <c r="F67" s="269">
        <f>VLOOKUP(A67,Main!C:M,11,FALSE)</f>
        <v>42102</v>
      </c>
    </row>
    <row r="68" spans="1:6" x14ac:dyDescent="0.25">
      <c r="A68" s="476">
        <v>1082359</v>
      </c>
      <c r="B68" s="476" t="s">
        <v>2223</v>
      </c>
      <c r="C68" s="476" t="s">
        <v>2154</v>
      </c>
      <c r="D68" s="476" t="s">
        <v>2140</v>
      </c>
      <c r="E68" s="476" t="s">
        <v>298</v>
      </c>
      <c r="F68" s="269">
        <f>VLOOKUP(A68,Main!C:M,11,FALSE)</f>
        <v>0</v>
      </c>
    </row>
    <row r="69" spans="1:6" x14ac:dyDescent="0.25">
      <c r="A69" s="475">
        <v>1082361</v>
      </c>
      <c r="B69" s="475" t="s">
        <v>2224</v>
      </c>
      <c r="C69" s="475" t="s">
        <v>2142</v>
      </c>
      <c r="D69" s="475" t="s">
        <v>2140</v>
      </c>
      <c r="E69" s="475" t="s">
        <v>302</v>
      </c>
      <c r="F69" s="269">
        <f>VLOOKUP(A69,Main!C:M,11,FALSE)</f>
        <v>42102</v>
      </c>
    </row>
    <row r="70" spans="1:6" x14ac:dyDescent="0.25">
      <c r="A70" s="475">
        <v>1082362</v>
      </c>
      <c r="B70" s="475" t="s">
        <v>2260</v>
      </c>
      <c r="C70" s="475" t="s">
        <v>2261</v>
      </c>
      <c r="D70" s="475" t="s">
        <v>2140</v>
      </c>
      <c r="F70" s="269">
        <f>VLOOKUP(A70,Main!C:M,11,FALSE)</f>
        <v>42117</v>
      </c>
    </row>
    <row r="71" spans="1:6" x14ac:dyDescent="0.25">
      <c r="A71" s="475">
        <v>1082363</v>
      </c>
      <c r="B71" s="475" t="s">
        <v>2225</v>
      </c>
      <c r="C71" s="475" t="s">
        <v>2213</v>
      </c>
      <c r="D71" s="475" t="s">
        <v>2140</v>
      </c>
      <c r="E71" s="475" t="s">
        <v>302</v>
      </c>
      <c r="F71" s="269">
        <f>VLOOKUP(A71,Main!C:M,11,FALSE)</f>
        <v>42102</v>
      </c>
    </row>
    <row r="72" spans="1:6" x14ac:dyDescent="0.25">
      <c r="A72" s="475">
        <v>1082364</v>
      </c>
      <c r="B72" s="475" t="s">
        <v>2226</v>
      </c>
      <c r="C72" s="475" t="s">
        <v>2227</v>
      </c>
      <c r="D72" s="475" t="s">
        <v>2140</v>
      </c>
      <c r="F72" s="269">
        <f>VLOOKUP(A72,Main!C:M,11,FALSE)</f>
        <v>42117</v>
      </c>
    </row>
    <row r="73" spans="1:6" x14ac:dyDescent="0.25">
      <c r="A73" s="469">
        <v>1082365</v>
      </c>
      <c r="B73" s="469" t="s">
        <v>2212</v>
      </c>
      <c r="C73" s="469" t="s">
        <v>2213</v>
      </c>
      <c r="D73" s="469" t="s">
        <v>2140</v>
      </c>
      <c r="F73" s="269">
        <f>VLOOKUP(A73,Main!C:M,11,FALSE)</f>
        <v>0</v>
      </c>
    </row>
    <row r="74" spans="1:6" x14ac:dyDescent="0.25">
      <c r="A74" s="475">
        <v>1082366</v>
      </c>
      <c r="B74" s="475" t="s">
        <v>2228</v>
      </c>
      <c r="C74" s="475" t="s">
        <v>2213</v>
      </c>
      <c r="D74" s="475" t="s">
        <v>2140</v>
      </c>
      <c r="E74" s="475" t="s">
        <v>302</v>
      </c>
      <c r="F74" s="269">
        <f>VLOOKUP(A74,Main!C:M,11,FALSE)</f>
        <v>42102</v>
      </c>
    </row>
    <row r="75" spans="1:6" x14ac:dyDescent="0.25">
      <c r="A75" s="475">
        <v>1082367</v>
      </c>
      <c r="B75" s="475" t="s">
        <v>2229</v>
      </c>
      <c r="C75" s="475" t="s">
        <v>2213</v>
      </c>
      <c r="D75" s="475" t="s">
        <v>2140</v>
      </c>
      <c r="E75" s="475" t="s">
        <v>302</v>
      </c>
      <c r="F75" s="269">
        <f>VLOOKUP(A75,Main!C:M,11,FALSE)</f>
        <v>42102</v>
      </c>
    </row>
    <row r="76" spans="1:6" x14ac:dyDescent="0.25">
      <c r="A76" s="469">
        <v>1082368</v>
      </c>
      <c r="B76" s="469" t="s">
        <v>2230</v>
      </c>
      <c r="C76" s="469" t="s">
        <v>2213</v>
      </c>
      <c r="D76" s="469" t="s">
        <v>2140</v>
      </c>
      <c r="F76" s="269">
        <f>VLOOKUP(A76,Main!C:M,11,FALSE)</f>
        <v>0</v>
      </c>
    </row>
    <row r="77" spans="1:6" x14ac:dyDescent="0.25">
      <c r="A77" s="475">
        <v>1082369</v>
      </c>
      <c r="B77" s="475" t="s">
        <v>2231</v>
      </c>
      <c r="C77" s="475" t="s">
        <v>2213</v>
      </c>
      <c r="D77" s="475" t="s">
        <v>2140</v>
      </c>
      <c r="E77" s="475" t="s">
        <v>302</v>
      </c>
      <c r="F77" s="269">
        <f>VLOOKUP(A77,Main!C:M,11,FALSE)</f>
        <v>42102</v>
      </c>
    </row>
    <row r="78" spans="1:6" x14ac:dyDescent="0.25">
      <c r="A78" s="476">
        <v>1082370</v>
      </c>
      <c r="B78" s="476" t="s">
        <v>2232</v>
      </c>
      <c r="C78" s="476" t="s">
        <v>2227</v>
      </c>
      <c r="D78" s="476" t="s">
        <v>2140</v>
      </c>
      <c r="E78" s="476" t="s">
        <v>298</v>
      </c>
      <c r="F78" s="269">
        <f>VLOOKUP(A78,Main!C:M,11,FALSE)</f>
        <v>0</v>
      </c>
    </row>
    <row r="79" spans="1:6" x14ac:dyDescent="0.25">
      <c r="A79" s="476">
        <v>1082371</v>
      </c>
      <c r="B79" s="476" t="s">
        <v>2233</v>
      </c>
      <c r="C79" s="476" t="s">
        <v>2227</v>
      </c>
      <c r="D79" s="476" t="s">
        <v>2140</v>
      </c>
      <c r="E79" s="476" t="s">
        <v>298</v>
      </c>
      <c r="F79" s="269">
        <f>VLOOKUP(A79,Main!C:M,11,FALSE)</f>
        <v>0</v>
      </c>
    </row>
    <row r="80" spans="1:6" x14ac:dyDescent="0.25">
      <c r="A80" s="475">
        <v>1082374</v>
      </c>
      <c r="B80" s="475" t="s">
        <v>2234</v>
      </c>
      <c r="C80" s="475" t="s">
        <v>2213</v>
      </c>
      <c r="D80" s="475" t="s">
        <v>2140</v>
      </c>
      <c r="F80" s="269">
        <f>VLOOKUP(A80,Main!C:M,11,FALSE)</f>
        <v>42117</v>
      </c>
    </row>
    <row r="81" spans="1:6" x14ac:dyDescent="0.25">
      <c r="A81" s="475">
        <v>1082375</v>
      </c>
      <c r="B81" s="475" t="s">
        <v>2235</v>
      </c>
      <c r="C81" s="475" t="s">
        <v>2213</v>
      </c>
      <c r="D81" s="475" t="s">
        <v>2140</v>
      </c>
      <c r="F81" s="269">
        <f>VLOOKUP(A81,Main!C:M,11,FALSE)</f>
        <v>42117</v>
      </c>
    </row>
    <row r="82" spans="1:6" x14ac:dyDescent="0.25">
      <c r="A82" s="469">
        <v>1082376</v>
      </c>
      <c r="B82" s="469" t="s">
        <v>2214</v>
      </c>
      <c r="C82" s="469" t="s">
        <v>2215</v>
      </c>
      <c r="D82" s="469" t="s">
        <v>2140</v>
      </c>
      <c r="F82" s="269">
        <f>VLOOKUP(A82,Main!C:M,11,FALSE)</f>
        <v>0</v>
      </c>
    </row>
    <row r="83" spans="1:6" x14ac:dyDescent="0.25">
      <c r="A83" s="470">
        <v>1082378</v>
      </c>
      <c r="B83" s="470" t="s">
        <v>2256</v>
      </c>
      <c r="C83" s="470" t="s">
        <v>2227</v>
      </c>
      <c r="D83" s="470" t="s">
        <v>2140</v>
      </c>
      <c r="F83" s="269">
        <f>VLOOKUP(A83,Main!C:M,11,FALSE)</f>
        <v>0</v>
      </c>
    </row>
    <row r="84" spans="1:6" x14ac:dyDescent="0.25">
      <c r="A84" s="470">
        <v>1082380</v>
      </c>
      <c r="B84" s="470" t="s">
        <v>2264</v>
      </c>
      <c r="C84" s="470" t="s">
        <v>2213</v>
      </c>
      <c r="D84" s="470" t="s">
        <v>2140</v>
      </c>
      <c r="F84" s="269">
        <f>VLOOKUP(A84,Main!C:M,11,FALSE)</f>
        <v>0</v>
      </c>
    </row>
    <row r="85" spans="1:6" x14ac:dyDescent="0.25">
      <c r="A85" s="470">
        <v>1082381</v>
      </c>
      <c r="B85" s="470" t="s">
        <v>2253</v>
      </c>
      <c r="C85" s="470" t="s">
        <v>2213</v>
      </c>
      <c r="D85" s="470" t="s">
        <v>2140</v>
      </c>
      <c r="F85" s="269">
        <f>VLOOKUP(A85,Main!C:M,11,FALSE)</f>
        <v>0</v>
      </c>
    </row>
    <row r="86" spans="1:6" x14ac:dyDescent="0.25">
      <c r="A86" s="470">
        <v>1082382</v>
      </c>
      <c r="B86" s="470" t="s">
        <v>2263</v>
      </c>
      <c r="C86" s="470" t="s">
        <v>2227</v>
      </c>
      <c r="D86" s="470" t="s">
        <v>2140</v>
      </c>
      <c r="F86" s="269">
        <f>VLOOKUP(A86,Main!C:M,11,FALSE)</f>
        <v>0</v>
      </c>
    </row>
    <row r="87" spans="1:6" x14ac:dyDescent="0.25">
      <c r="A87" s="478">
        <v>1082383</v>
      </c>
      <c r="B87" s="478" t="s">
        <v>2269</v>
      </c>
      <c r="C87" s="478" t="s">
        <v>2227</v>
      </c>
      <c r="D87" s="478" t="s">
        <v>2140</v>
      </c>
      <c r="E87" s="478" t="s">
        <v>298</v>
      </c>
      <c r="F87" s="269">
        <f>VLOOKUP(A87,Main!C:M,11,FALSE)</f>
        <v>0</v>
      </c>
    </row>
    <row r="88" spans="1:6" x14ac:dyDescent="0.25">
      <c r="A88" s="470">
        <v>1082385</v>
      </c>
      <c r="B88" s="470" t="s">
        <v>2268</v>
      </c>
      <c r="C88" s="470" t="s">
        <v>2213</v>
      </c>
      <c r="D88" s="470" t="s">
        <v>2140</v>
      </c>
      <c r="F88" s="269">
        <f>VLOOKUP(A88,Main!C:M,11,FALSE)</f>
        <v>0</v>
      </c>
    </row>
    <row r="89" spans="1:6" x14ac:dyDescent="0.25">
      <c r="A89" s="470">
        <v>1082386</v>
      </c>
      <c r="B89" s="470" t="s">
        <v>2254</v>
      </c>
      <c r="C89" s="470" t="s">
        <v>2213</v>
      </c>
      <c r="D89" s="470" t="s">
        <v>2140</v>
      </c>
      <c r="F89" s="269">
        <f>VLOOKUP(A89,Main!C:M,11,FALSE)</f>
        <v>0</v>
      </c>
    </row>
    <row r="90" spans="1:6" x14ac:dyDescent="0.25">
      <c r="A90" s="470">
        <v>1082387</v>
      </c>
      <c r="B90" s="470" t="s">
        <v>2255</v>
      </c>
      <c r="C90" s="470" t="s">
        <v>2213</v>
      </c>
      <c r="D90" s="470" t="s">
        <v>2140</v>
      </c>
      <c r="F90" s="269">
        <f>VLOOKUP(A90,Main!C:M,11,FALSE)</f>
        <v>0</v>
      </c>
    </row>
    <row r="91" spans="1:6" x14ac:dyDescent="0.25">
      <c r="A91" s="470">
        <v>1082388</v>
      </c>
      <c r="B91" s="470" t="s">
        <v>2262</v>
      </c>
      <c r="C91" s="470" t="s">
        <v>2213</v>
      </c>
      <c r="D91" s="470" t="s">
        <v>2140</v>
      </c>
      <c r="F91" s="269">
        <f>VLOOKUP(A91,Main!C:M,11,FALSE)</f>
        <v>0</v>
      </c>
    </row>
    <row r="92" spans="1:6" x14ac:dyDescent="0.25">
      <c r="A92" s="475">
        <v>1082390</v>
      </c>
      <c r="B92" s="475" t="s">
        <v>2257</v>
      </c>
      <c r="C92" s="475" t="s">
        <v>2227</v>
      </c>
      <c r="D92" s="475" t="s">
        <v>2140</v>
      </c>
      <c r="E92" s="475" t="s">
        <v>302</v>
      </c>
      <c r="F92" s="269">
        <f>VLOOKUP(A92,Main!C:M,11,FALSE)</f>
        <v>42102</v>
      </c>
    </row>
    <row r="93" spans="1:6" x14ac:dyDescent="0.25">
      <c r="A93" s="470">
        <v>1082391</v>
      </c>
      <c r="B93" s="470" t="s">
        <v>2265</v>
      </c>
      <c r="C93" s="470" t="s">
        <v>2227</v>
      </c>
      <c r="D93" s="470" t="s">
        <v>2140</v>
      </c>
      <c r="F93" s="269">
        <f>VLOOKUP(A93,Main!C:M,11,FALSE)</f>
        <v>0</v>
      </c>
    </row>
    <row r="94" spans="1:6" x14ac:dyDescent="0.25">
      <c r="A94" s="470">
        <v>1082392</v>
      </c>
      <c r="B94" s="470" t="s">
        <v>2258</v>
      </c>
      <c r="C94" s="470" t="s">
        <v>2259</v>
      </c>
      <c r="D94" s="470" t="s">
        <v>2140</v>
      </c>
      <c r="F94" s="269">
        <f>VLOOKUP(A94,Main!C:M,11,FALSE)</f>
        <v>0</v>
      </c>
    </row>
    <row r="95" spans="1:6" x14ac:dyDescent="0.25">
      <c r="A95" s="470">
        <v>1082393</v>
      </c>
      <c r="B95" s="470" t="s">
        <v>2266</v>
      </c>
      <c r="C95" s="470" t="s">
        <v>2267</v>
      </c>
      <c r="D95" s="470" t="s">
        <v>2140</v>
      </c>
      <c r="F95" s="269">
        <f>VLOOKUP(A95,Main!C:M,11,FALSE)</f>
        <v>0</v>
      </c>
    </row>
    <row r="96" spans="1:6" x14ac:dyDescent="0.25">
      <c r="A96" s="475">
        <v>1083022</v>
      </c>
      <c r="B96" s="475" t="s">
        <v>2176</v>
      </c>
      <c r="C96" s="475" t="s">
        <v>2142</v>
      </c>
      <c r="D96" s="475" t="s">
        <v>2140</v>
      </c>
      <c r="E96" s="475" t="s">
        <v>302</v>
      </c>
      <c r="F96" s="269" t="e">
        <f>VLOOKUP(A96,Main!C:M,11,FALSE)</f>
        <v>#N/A</v>
      </c>
    </row>
    <row r="97" spans="1:6" x14ac:dyDescent="0.25">
      <c r="A97" s="469">
        <v>1083032</v>
      </c>
      <c r="B97" s="469" t="s">
        <v>2178</v>
      </c>
      <c r="C97" s="469" t="s">
        <v>2154</v>
      </c>
      <c r="D97" s="469" t="s">
        <v>2140</v>
      </c>
      <c r="F97" s="269" t="e">
        <f>VLOOKUP(A97,Main!C:M,11,FALSE)</f>
        <v>#N/A</v>
      </c>
    </row>
    <row r="98" spans="1:6" x14ac:dyDescent="0.25">
      <c r="A98" s="469">
        <v>1083034</v>
      </c>
      <c r="B98" s="469" t="s">
        <v>2177</v>
      </c>
      <c r="C98" s="469" t="s">
        <v>2142</v>
      </c>
      <c r="D98" s="469" t="s">
        <v>2140</v>
      </c>
      <c r="F98" s="269" t="e">
        <f>VLOOKUP(A98,Main!C:M,11,FALSE)</f>
        <v>#N/A</v>
      </c>
    </row>
    <row r="99" spans="1:6" x14ac:dyDescent="0.25">
      <c r="A99" s="469">
        <v>1083040</v>
      </c>
      <c r="B99" s="469" t="s">
        <v>2188</v>
      </c>
      <c r="C99" s="469" t="s">
        <v>2189</v>
      </c>
      <c r="D99" s="469" t="s">
        <v>2140</v>
      </c>
      <c r="F99" s="269" t="e">
        <f>VLOOKUP(A99,Main!C:M,11,FALSE)</f>
        <v>#N/A</v>
      </c>
    </row>
    <row r="100" spans="1:6" x14ac:dyDescent="0.25">
      <c r="A100" s="469">
        <v>1083044</v>
      </c>
      <c r="B100" s="469" t="s">
        <v>2179</v>
      </c>
      <c r="C100" s="469" t="s">
        <v>2154</v>
      </c>
      <c r="D100" s="469" t="s">
        <v>2140</v>
      </c>
      <c r="F100" s="269" t="e">
        <f>VLOOKUP(A100,Main!C:M,11,FALSE)</f>
        <v>#N/A</v>
      </c>
    </row>
    <row r="101" spans="1:6" x14ac:dyDescent="0.25">
      <c r="A101" s="469">
        <v>1083053</v>
      </c>
      <c r="B101" s="469" t="s">
        <v>2180</v>
      </c>
      <c r="C101" s="469" t="s">
        <v>2142</v>
      </c>
      <c r="D101" s="469" t="s">
        <v>2140</v>
      </c>
      <c r="F101" s="269" t="e">
        <f>VLOOKUP(A101,Main!C:M,11,FALSE)</f>
        <v>#N/A</v>
      </c>
    </row>
    <row r="102" spans="1:6" x14ac:dyDescent="0.25">
      <c r="A102" s="469">
        <v>1083056</v>
      </c>
      <c r="B102" s="469" t="s">
        <v>2181</v>
      </c>
      <c r="C102" s="469" t="s">
        <v>2142</v>
      </c>
      <c r="D102" s="469" t="s">
        <v>2140</v>
      </c>
      <c r="F102" s="269" t="e">
        <f>VLOOKUP(A102,Main!C:M,11,FALSE)</f>
        <v>#N/A</v>
      </c>
    </row>
    <row r="103" spans="1:6" x14ac:dyDescent="0.25">
      <c r="A103" s="469">
        <v>1083058</v>
      </c>
      <c r="B103" s="469" t="s">
        <v>2182</v>
      </c>
      <c r="C103" s="469" t="s">
        <v>2164</v>
      </c>
      <c r="D103" s="469" t="s">
        <v>2140</v>
      </c>
      <c r="F103" s="269" t="e">
        <f>VLOOKUP(A103,Main!C:M,11,FALSE)</f>
        <v>#N/A</v>
      </c>
    </row>
    <row r="104" spans="1:6" x14ac:dyDescent="0.25">
      <c r="A104" s="469">
        <v>1083061</v>
      </c>
      <c r="B104" s="469" t="s">
        <v>2183</v>
      </c>
      <c r="C104" s="469" t="s">
        <v>2154</v>
      </c>
      <c r="D104" s="469" t="s">
        <v>2140</v>
      </c>
      <c r="F104" s="269" t="e">
        <f>VLOOKUP(A104,Main!C:M,11,FALSE)</f>
        <v>#N/A</v>
      </c>
    </row>
    <row r="105" spans="1:6" x14ac:dyDescent="0.25">
      <c r="A105" s="468"/>
      <c r="F105" s="269" t="e">
        <f>VLOOKUP(A105,Main!C:M,11,FALSE)</f>
        <v>#N/A</v>
      </c>
    </row>
  </sheetData>
  <autoFilter ref="E1:E105"/>
  <sortState ref="A1:D105">
    <sortCondition ref="A4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5"/>
  <sheetViews>
    <sheetView view="pageBreakPreview" zoomScale="60" zoomScaleNormal="100" workbookViewId="0">
      <selection activeCell="B4" sqref="B4"/>
    </sheetView>
  </sheetViews>
  <sheetFormatPr defaultColWidth="59.7109375" defaultRowHeight="15" x14ac:dyDescent="0.25"/>
  <sheetData>
    <row r="1" spans="1:3" ht="26.25" x14ac:dyDescent="0.4">
      <c r="A1" s="471"/>
      <c r="B1" s="474" t="s">
        <v>2273</v>
      </c>
      <c r="C1" s="474" t="s">
        <v>2274</v>
      </c>
    </row>
    <row r="2" spans="1:3" ht="52.5" x14ac:dyDescent="0.4">
      <c r="A2" s="472" t="s">
        <v>2275</v>
      </c>
      <c r="B2" s="474" t="s">
        <v>2279</v>
      </c>
      <c r="C2" s="474" t="s">
        <v>2280</v>
      </c>
    </row>
    <row r="3" spans="1:3" ht="78.75" x14ac:dyDescent="0.4">
      <c r="A3" s="472" t="s">
        <v>2276</v>
      </c>
      <c r="B3" s="474" t="s">
        <v>2281</v>
      </c>
      <c r="C3" s="474" t="s">
        <v>2282</v>
      </c>
    </row>
    <row r="4" spans="1:3" ht="78.75" x14ac:dyDescent="0.4">
      <c r="A4" s="472" t="s">
        <v>2277</v>
      </c>
      <c r="B4" s="474" t="s">
        <v>2283</v>
      </c>
      <c r="C4" s="474" t="s">
        <v>2284</v>
      </c>
    </row>
    <row r="5" spans="1:3" ht="52.5" x14ac:dyDescent="0.4">
      <c r="A5" s="473" t="s">
        <v>2278</v>
      </c>
      <c r="B5" s="474" t="s">
        <v>2285</v>
      </c>
      <c r="C5" s="474" t="s">
        <v>2286</v>
      </c>
    </row>
  </sheetData>
  <pageMargins left="0.7" right="0.7" top="0.75" bottom="0.75" header="0.3" footer="0.3"/>
  <pageSetup scale="4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Main</vt:lpstr>
      <vt:lpstr>May 12</vt:lpstr>
      <vt:lpstr>Apr 23</vt:lpstr>
      <vt:lpstr>DBM</vt:lpstr>
      <vt:lpstr>Print</vt:lpstr>
      <vt:lpstr>Report</vt:lpstr>
      <vt:lpstr>Payroll Cutoff</vt:lpstr>
      <vt:lpstr>Employee Information</vt:lpstr>
      <vt:lpstr>Recurring Earning</vt:lpstr>
      <vt:lpstr>Feb 3</vt:lpstr>
      <vt:lpstr>Feb 10</vt:lpstr>
      <vt:lpstr>Feb 13</vt:lpstr>
      <vt:lpstr>Feb 27</vt:lpstr>
      <vt:lpstr>Mar 5</vt:lpstr>
      <vt:lpstr>Mar 12</vt:lpstr>
      <vt:lpstr>Mar 18</vt:lpstr>
      <vt:lpstr>Apr 8</vt:lpstr>
      <vt:lpstr>Salary Adjustments</vt:lpstr>
      <vt:lpstr>Sheet2</vt:lpstr>
      <vt:lpstr>Sheet3</vt:lpstr>
      <vt:lpstr>Main!Print_Area</vt:lpstr>
      <vt:lpstr>Print!Print_Area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L. Ramirez Jr</dc:creator>
  <cp:lastModifiedBy>Ariel L. Ramirez Jr</cp:lastModifiedBy>
  <cp:lastPrinted>2015-05-14T22:10:28Z</cp:lastPrinted>
  <dcterms:created xsi:type="dcterms:W3CDTF">2015-01-21T23:21:47Z</dcterms:created>
  <dcterms:modified xsi:type="dcterms:W3CDTF">2015-05-16T06:49:22Z</dcterms:modified>
</cp:coreProperties>
</file>